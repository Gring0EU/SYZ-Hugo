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2.xml" ContentType="application/vnd.openxmlformats-officedocument.spreadsheetml.comments+xml"/>
  <Override PartName="/xl/worksheets/sheet8.xml" ContentType="application/vnd.openxmlformats-officedocument.spreadsheetml.worksheet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833" firstSheet="0" activeTab="4" autoFilterDateGrouping="1"/>
  </bookViews>
  <sheets>
    <sheet name="Formulas" sheetId="1" state="visible" r:id="rId1"/>
    <sheet name="Bonds_list_hard" sheetId="2" state="visible" r:id="rId2"/>
    <sheet name="SpreadRanking" sheetId="3" state="visible" r:id="rId3"/>
    <sheet name="Spread - 1 week" sheetId="4" state="visible" r:id="rId4"/>
    <sheet name="Spread - 1 month" sheetId="5" state="visible" r:id="rId5"/>
    <sheet name="Spread - since 14.07.2026" sheetId="6" state="visible" r:id="rId6"/>
    <sheet name="Company_desc" sheetId="7" state="hidden" r:id="rId7"/>
    <sheet name="Sheet1" sheetId="8" state="hidden" r:id="rId8"/>
    <sheet name="UPSLIDE_UndoFormatting" sheetId="9" state="hidden" r:id="rId9"/>
    <sheet name="UPSLIDE_Undo" sheetId="10" state="hidden" r:id="rId10"/>
    <sheet name="ReadMe (changes)" sheetId="11" state="visible" r:id="rId11"/>
    <sheet name="VBA_SPREAD_SINCE" sheetId="12" state="hidden" r:id="rId12"/>
  </sheets>
  <definedNames>
    <definedName name="_bdm.26257eac130945d4b5113861e8641bf5.edm" hidden="1">#REF!</definedName>
    <definedName name="_bdm.584983e4ee304a78bfa3eee08ea34998.edm" hidden="1">#REF!</definedName>
    <definedName name="_bdm.6962709251fe4c48acb7b79f8f262272.edm" hidden="1">#REF!</definedName>
    <definedName name="EM_LAT_USD_AAA">#REF!</definedName>
    <definedName name="_bdm.073c4f95511b4720b5a04947a298af5c.edm" localSheetId="0" hidden="1">Formulas!$A$1:$Q$326</definedName>
    <definedName name="_bdm.07aa7993e4a64b558bd1838d516d9ec2.edm" localSheetId="0" hidden="1">Formulas!$A$533:$Q$561</definedName>
    <definedName name="_bdm.26257eac130945d4b5113861e8641bf5.edm" localSheetId="0" hidden="1">Formulas!#REF!</definedName>
    <definedName name="_bdm.32129b9480734818b62e8ef09cdae95d.edm" localSheetId="0" hidden="1">Formulas!$A$406:$Q$451</definedName>
    <definedName name="_bdm.33718eb3da32468a8290afb9c608e71f.edm" localSheetId="0" hidden="1">Formulas!$A$216:$Q$224</definedName>
    <definedName name="_bdm.3862e7c1fca74d4f8180dd0ddbfcb5ba.edm" localSheetId="0" hidden="1">Formulas!$A$41:$Q$112</definedName>
    <definedName name="_bdm.4b3dba74237d4096a77aef3130f9d2e0.edm" localSheetId="0" hidden="1">Formulas!$A$562:$Q$592</definedName>
    <definedName name="_bdm.5df01d04f7db4ca99414bcc234eb168f.edm" localSheetId="0" hidden="1">Formulas!$A$177:$Q$224</definedName>
    <definedName name="_bdm.5f28d9714bc54126982faa9506f75550.edm" localSheetId="0" hidden="1">Formulas!$A$406:$Q$455</definedName>
    <definedName name="_bdm.6b7d09bc45424e63b9ed93699627d4f0.edm" localSheetId="0" hidden="1">Formulas!$A$225:$Q$246</definedName>
    <definedName name="_bdm.75b039672c2b4aaba2df4976b676b6fe.edm" localSheetId="0" hidden="1">Formulas!$A$562:$Q$595</definedName>
    <definedName name="_bdm.8152eb0466c9486bbfa20e8f1865131d.edm" localSheetId="0" hidden="1">Formulas!$A$452:$Q$492</definedName>
    <definedName name="_bdm.86250ba14a8b47feb62c1ffca95effee.edm" localSheetId="0" hidden="1">Formulas!$A$533:$Q$575</definedName>
    <definedName name="_bdm.8f58914085144496a94e700ffdf329f1.edm" localSheetId="0" hidden="1">Formulas!$A$328:$Q$370</definedName>
    <definedName name="_bdm.a2d95b34660e4bfb9f117296aa95bd06.edm" localSheetId="0" hidden="1">Formulas!$A$493:$Q$532</definedName>
    <definedName name="_bdm.a9f8d1cdab3f4a76ba9996c0b59daf73.edm" localSheetId="0" hidden="1">Formulas!$A$593:$Q$595</definedName>
    <definedName name="_bdm.adeb1800f5c64bc4a96d21ca95b88264.edm" localSheetId="0" hidden="1">Formulas!$A$493:$Q$532</definedName>
    <definedName name="_bdm.ba168e1d26fa498c90a3e08c294aed9b.edm" localSheetId="0" hidden="1">Formulas!$A$493:$Q$532</definedName>
    <definedName name="_bdm.bc1ab5134c2a4fd995ef8e94e7399bb4.edm" localSheetId="0" hidden="1">Formulas!$A$143:$Q$176</definedName>
    <definedName name="_bdm.bc9d29ff6f9545838b8b086d77572d6c.edm" localSheetId="0" hidden="1">Formulas!$A$371:$Q$405</definedName>
    <definedName name="_bdm.bd500855950e494998d0d9d565851444.edm" localSheetId="0" hidden="1">Formulas!$A$177:$Q$224</definedName>
    <definedName name="_bdm.c77773a30fe04012b410a42c944d2aec.edm" localSheetId="0" hidden="1">Formulas!$A$77:$Q$112</definedName>
    <definedName name="_bdm.ca73c9ace8cd4c7aba1de0453c6c52ed.edm" localSheetId="0" hidden="1">Formulas!$A$113:$Q$142</definedName>
    <definedName name="_bdm.d6413a263dd74e6daf442272bf12c31f.edm" localSheetId="0" hidden="1">Formulas!$A$177:$Q$215</definedName>
    <definedName name="_bdm.e24247cab3524b2294933c44706a36d1.edm" localSheetId="0" hidden="1">Formulas!$A$1:$Q$44</definedName>
    <definedName name="_bdm.e3abd681b92d450592e33c650ea72738.edm" localSheetId="0" hidden="1">Formulas!$A$304:$Q$327</definedName>
    <definedName name="_bdm.e4eea7d822e64e3e8b8c2fab34c7104e.edm" localSheetId="0" hidden="1">Formulas!$A$1:$Q$40</definedName>
    <definedName name="_bdm.ea29937bf36240e39210db8c8dba3f78.edm" localSheetId="0" hidden="1">Formulas!$A$285:$Q$303</definedName>
    <definedName name="_bdm.eaf8033fb81b4534968de166030d7044.edm" localSheetId="0" hidden="1">Formulas!$A$247:$Q$284</definedName>
    <definedName name="_bdm.fb81bb0d4d7547298e6e4aad5c2ba745.edm" localSheetId="0" hidden="1">Formulas!$A$41:$Q$76</definedName>
    <definedName name="_bdm.fd975390c9fe4c1399ee1c1fa408433f.edm" localSheetId="0" hidden="1">Formulas!$A$304:$Q$370</definedName>
    <definedName name="_bdm.ffa93628d74442df9768ad86a0863c6c.edm" localSheetId="0" hidden="1">Formulas!$A$225:$Q$246</definedName>
    <definedName name="EM_LAT_USD_AAA" localSheetId="0">#REF!</definedName>
    <definedName name="_xlnm.Print_Area" localSheetId="0">'Formulas'!$A$1:$Q$595</definedName>
    <definedName name="_UNDO_UPS_" localSheetId="6" hidden="1">Company_desc!$1:$1048576</definedName>
    <definedName name="_UNDO_UPS_SEL_" localSheetId="6" hidden="1">Company_desc!$1:$1048576</definedName>
    <definedName name="_UNDO31X31X_" localSheetId="6" hidden="1">Company_desc!$1:$1048576</definedName>
    <definedName name="_xlnm._FilterDatabase" localSheetId="6" hidden="1">'Company_desc'!$E$7:$E$33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00"/>
    <numFmt numFmtId="165" formatCode="_ * #,##0_ ;_ * \-#,##0_ ;_ * &quot;-&quot;??_ ;_ @_ "/>
    <numFmt numFmtId="166" formatCode="#,##0;\(#,##0\);_-* &quot;-&quot;??_-"/>
    <numFmt numFmtId="167" formatCode="_ * #,##0.0_ ;_ * \-#,##0.0_ ;_ * &quot;-&quot;??_ ;_ @_ "/>
    <numFmt numFmtId="168" formatCode="DD.MM.YYYY"/>
    <numFmt numFmtId="169" formatCode="0.###"/>
  </numFmts>
  <fonts count="35">
    <font>
      <name val="Calibri"/>
      <family val="2"/>
      <color theme="1"/>
      <sz val="11"/>
      <scheme val="minor"/>
    </font>
    <font>
      <name val="Nunito Sans"/>
      <family val="2"/>
      <color theme="1"/>
      <sz val="10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Nunito Sans"/>
      <color theme="1"/>
      <sz val="11"/>
    </font>
    <font>
      <name val="Nunito Sans"/>
      <sz val="10"/>
    </font>
    <font>
      <name val="Nunito Sans"/>
      <b val="1"/>
      <sz val="10"/>
    </font>
    <font>
      <name val="Nunito Sans"/>
      <family val="2"/>
      <color rgb="FF006100"/>
      <sz val="10"/>
    </font>
    <font>
      <name val="Lucida Sans"/>
      <family val="2"/>
      <b val="1"/>
      <color rgb="FFFFFFFF"/>
      <sz val="14"/>
    </font>
    <font>
      <name val="Nunito Sans"/>
      <color rgb="FF000000"/>
      <sz val="14"/>
    </font>
    <font>
      <name val="Nunito Sans"/>
      <family val="2"/>
      <color rgb="FF006100"/>
      <sz val="14"/>
    </font>
    <font>
      <name val="Nunito Sans"/>
      <color theme="1"/>
      <sz val="14"/>
    </font>
    <font>
      <name val="Nunito Sans"/>
      <b val="1"/>
      <color rgb="FFFFFFFF"/>
      <sz val="16"/>
    </font>
    <font>
      <name val="Tahoma"/>
      <family val="2"/>
      <color theme="1"/>
      <sz val="10"/>
    </font>
    <font>
      <name val="Nunito Sans"/>
      <color rgb="FF3AB7C8"/>
      <sz val="12"/>
    </font>
    <font>
      <name val="Nunito Sans"/>
      <sz val="11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Nunito Sans"/>
      <color rgb="FF000000"/>
      <sz val="9"/>
    </font>
    <font>
      <name val="Nunito Sans ExtraBold"/>
      <color rgb="FF000000"/>
      <sz val="9"/>
    </font>
    <font>
      <name val="Nunito Sans"/>
      <b val="1"/>
      <color rgb="FF000000"/>
      <sz val="9"/>
    </font>
    <font>
      <name val="Calibri"/>
      <family val="2"/>
      <color indexed="9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0"/>
      <sz val="12"/>
      <u val="single"/>
      <scheme val="minor"/>
    </font>
    <font>
      <name val="Calibri"/>
      <family val="2"/>
      <b val="1"/>
      <color theme="10"/>
      <sz val="14"/>
      <u val="single"/>
      <scheme val="minor"/>
    </font>
    <font>
      <name val="Nunito Sans"/>
      <b val="1"/>
      <sz val="9"/>
    </font>
    <font>
      <name val="Nunito Sans"/>
      <b val="1"/>
      <color rgb="FF0000FF"/>
      <sz val="9"/>
    </font>
    <font>
      <name val="Nunito Sans"/>
      <i val="1"/>
      <sz val="9"/>
    </font>
    <font>
      <name val="Nunito Sans"/>
      <i val="1"/>
      <color rgb="FF808080"/>
      <sz val="12"/>
    </font>
    <font>
      <name val="Nunito Sans"/>
      <b val="1"/>
      <sz val="16"/>
    </font>
    <font>
      <name val="Nunito Sans"/>
      <b val="1"/>
      <color rgb="FF3AB7C8"/>
      <sz val="12"/>
    </font>
    <font>
      <name val="Nunito Sans"/>
      <b val="1"/>
      <color rgb="FFC00000"/>
      <sz val="11"/>
    </font>
    <font>
      <name val="Consolas"/>
      <sz val="9"/>
    </font>
  </fonts>
  <fills count="18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5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AB7C8"/>
        <bgColor indexed="64"/>
      </patternFill>
    </fill>
    <fill>
      <patternFill patternType="solid">
        <fgColor rgb="FFC6EFCE"/>
      </patternFill>
    </fill>
    <fill>
      <patternFill patternType="solid">
        <fgColor indexed="5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rgb="FFF7F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FF5D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4DCC8"/>
        <bgColor indexed="64"/>
      </patternFill>
    </fill>
    <fill>
      <patternFill patternType="solid">
        <fgColor rgb="FFDCF0FF"/>
        <bgColor indexed="64"/>
      </patternFill>
    </fill>
    <fill>
      <patternFill patternType="solid">
        <fgColor rgb="FFFFFF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2" fillId="0" borderId="0"/>
    <xf numFmtId="0" fontId="3" fillId="0" borderId="0"/>
    <xf numFmtId="0" fontId="2" fillId="0" borderId="0"/>
    <xf numFmtId="43" fontId="2" fillId="0" borderId="0"/>
    <xf numFmtId="9" fontId="2" fillId="0" borderId="0"/>
    <xf numFmtId="43" fontId="2" fillId="0" borderId="0"/>
    <xf numFmtId="43" fontId="2" fillId="0" borderId="0"/>
    <xf numFmtId="0" fontId="7" fillId="6" borderId="0"/>
    <xf numFmtId="0" fontId="3" fillId="0" borderId="0"/>
    <xf numFmtId="0" fontId="13" fillId="0" borderId="0"/>
    <xf numFmtId="43" fontId="2" fillId="0" borderId="0"/>
    <xf numFmtId="0" fontId="1" fillId="0" borderId="0"/>
    <xf numFmtId="0" fontId="21" fillId="7" borderId="0"/>
    <xf numFmtId="9" fontId="1" fillId="0" borderId="0"/>
    <xf numFmtId="0" fontId="24" fillId="0" borderId="0"/>
  </cellStyleXfs>
  <cellXfs count="114">
    <xf numFmtId="0" fontId="0" fillId="0" borderId="0" pivotButton="0" quotePrefix="0" xfId="0"/>
    <xf numFmtId="0" fontId="4" fillId="0" borderId="0" pivotButton="0" quotePrefix="0" xfId="0"/>
    <xf numFmtId="0" fontId="4" fillId="0" borderId="0" pivotButton="0" quotePrefix="0" xfId="2"/>
    <xf numFmtId="0" fontId="8" fillId="5" borderId="0" applyAlignment="1" pivotButton="0" quotePrefix="0" xfId="2">
      <alignment horizontal="left" vertical="center"/>
    </xf>
    <xf numFmtId="0" fontId="10" fillId="3" borderId="0" applyAlignment="1" pivotButton="0" quotePrefix="0" xfId="7">
      <alignment horizontal="left" vertical="center"/>
    </xf>
    <xf numFmtId="2" fontId="10" fillId="3" borderId="0" applyAlignment="1" pivotButton="0" quotePrefix="0" xfId="7">
      <alignment horizontal="center" vertical="center"/>
    </xf>
    <xf numFmtId="164" fontId="10" fillId="3" borderId="0" applyAlignment="1" pivotButton="0" quotePrefix="0" xfId="7">
      <alignment horizontal="center" vertical="center"/>
    </xf>
    <xf numFmtId="0" fontId="10" fillId="3" borderId="0" applyAlignment="1" pivotButton="0" quotePrefix="0" xfId="7">
      <alignment horizontal="center" vertical="center"/>
    </xf>
    <xf numFmtId="0" fontId="10" fillId="3" borderId="0" applyAlignment="1" pivotButton="0" quotePrefix="0" xfId="7">
      <alignment horizontal="left" vertical="center"/>
    </xf>
    <xf numFmtId="0" fontId="11" fillId="0" borderId="0" applyAlignment="1" pivotButton="0" quotePrefix="0" xfId="2">
      <alignment horizontal="left" vertical="center"/>
    </xf>
    <xf numFmtId="164" fontId="5" fillId="2" borderId="0" applyAlignment="1" pivotButton="0" quotePrefix="0" xfId="2">
      <alignment horizontal="left"/>
    </xf>
    <xf numFmtId="0" fontId="14" fillId="4" borderId="0" applyAlignment="1" pivotButton="0" quotePrefix="0" xfId="7">
      <alignment horizontal="left" vertical="center"/>
    </xf>
    <xf numFmtId="2" fontId="14" fillId="4" borderId="0" applyAlignment="1" pivotButton="0" quotePrefix="0" xfId="7">
      <alignment horizontal="left" vertical="center"/>
    </xf>
    <xf numFmtId="2" fontId="14" fillId="4" borderId="0" applyAlignment="1" pivotButton="0" quotePrefix="0" xfId="7">
      <alignment horizontal="center" vertical="center"/>
    </xf>
    <xf numFmtId="164" fontId="14" fillId="4" borderId="0" applyAlignment="1" pivotButton="0" quotePrefix="0" xfId="7">
      <alignment horizontal="center" vertical="center"/>
    </xf>
    <xf numFmtId="0" fontId="14" fillId="4" borderId="0" applyAlignment="1" pivotButton="0" quotePrefix="0" xfId="7">
      <alignment horizontal="center" vertical="center"/>
    </xf>
    <xf numFmtId="0" fontId="14" fillId="4" borderId="0" applyAlignment="1" pivotButton="0" quotePrefix="0" xfId="7">
      <alignment horizontal="left" vertical="center"/>
    </xf>
    <xf numFmtId="164" fontId="5" fillId="2" borderId="0" applyAlignment="1" pivotButton="0" quotePrefix="0" xfId="2">
      <alignment horizontal="right"/>
    </xf>
    <xf numFmtId="0" fontId="5" fillId="2" borderId="0" pivotButton="0" quotePrefix="0" xfId="2"/>
    <xf numFmtId="165" fontId="5" fillId="2" borderId="0" pivotButton="0" quotePrefix="0" xfId="3"/>
    <xf numFmtId="2" fontId="5" fillId="2" borderId="0" pivotButton="0" quotePrefix="0" xfId="2"/>
    <xf numFmtId="0" fontId="6" fillId="2" borderId="0" pivotButton="0" quotePrefix="0" xfId="2"/>
    <xf numFmtId="0" fontId="15" fillId="0" borderId="0" pivotButton="0" quotePrefix="0" xfId="2"/>
    <xf numFmtId="0" fontId="18" fillId="0" borderId="0" applyAlignment="1" pivotButton="0" quotePrefix="0" xfId="0">
      <alignment horizontal="left" vertical="center"/>
    </xf>
    <xf numFmtId="166" fontId="19" fillId="0" borderId="0" applyAlignment="1" pivotButton="0" quotePrefix="0" xfId="0">
      <alignment horizontal="left" vertical="center"/>
    </xf>
    <xf numFmtId="166" fontId="18" fillId="0" borderId="0" applyAlignment="1" pivotButton="0" quotePrefix="0" xfId="0">
      <alignment horizontal="left" vertical="center"/>
    </xf>
    <xf numFmtId="166" fontId="20" fillId="0" borderId="0" applyAlignment="1" pivotButton="0" quotePrefix="0" xfId="0">
      <alignment horizontal="left" vertical="center"/>
    </xf>
    <xf numFmtId="0" fontId="9" fillId="0" borderId="0" applyAlignment="1" pivotButton="0" quotePrefix="0" xfId="2">
      <alignment horizontal="left" vertical="top"/>
    </xf>
    <xf numFmtId="0" fontId="9" fillId="0" borderId="0" applyAlignment="1" pivotButton="0" quotePrefix="0" xfId="1">
      <alignment horizontal="left" vertical="top"/>
    </xf>
    <xf numFmtId="2" fontId="9" fillId="0" borderId="0" applyAlignment="1" pivotButton="0" quotePrefix="0" xfId="2">
      <alignment horizontal="left" vertical="top"/>
    </xf>
    <xf numFmtId="164" fontId="9" fillId="0" borderId="0" applyAlignment="1" pivotButton="0" quotePrefix="0" xfId="2">
      <alignment horizontal="left" vertical="top"/>
    </xf>
    <xf numFmtId="2" fontId="9" fillId="0" borderId="0" applyAlignment="1" pivotButton="0" quotePrefix="0" xfId="4">
      <alignment horizontal="left" vertical="top"/>
    </xf>
    <xf numFmtId="0" fontId="9" fillId="0" borderId="0" applyAlignment="1" pivotButton="0" quotePrefix="0" xfId="4">
      <alignment horizontal="left" vertical="top"/>
    </xf>
    <xf numFmtId="0" fontId="12" fillId="5" borderId="0" applyAlignment="1" pivotButton="0" quotePrefix="0" xfId="2">
      <alignment horizontal="left" vertical="top"/>
    </xf>
    <xf numFmtId="14" fontId="9" fillId="0" borderId="0" applyAlignment="1" pivotButton="0" quotePrefix="0" xfId="2">
      <alignment horizontal="left" vertical="top"/>
    </xf>
    <xf numFmtId="2" fontId="11" fillId="0" borderId="0" applyAlignment="1" pivotButton="0" quotePrefix="0" xfId="2">
      <alignment horizontal="left" vertical="center"/>
    </xf>
    <xf numFmtId="14" fontId="18" fillId="0" borderId="0" applyAlignment="1" pivotButton="0" quotePrefix="0" xfId="0">
      <alignment horizontal="left" vertical="center"/>
    </xf>
    <xf numFmtId="14" fontId="18" fillId="8" borderId="0" applyAlignment="1" pivotButton="0" quotePrefix="0" xfId="0">
      <alignment horizontal="left" vertical="center"/>
    </xf>
    <xf numFmtId="0" fontId="12" fillId="9" borderId="0" applyAlignment="1" pivotButton="0" quotePrefix="0" xfId="2">
      <alignment horizontal="left" vertical="top"/>
    </xf>
    <xf numFmtId="2" fontId="12" fillId="9" borderId="0" applyAlignment="1" pivotButton="0" quotePrefix="0" xfId="2">
      <alignment horizontal="left" vertical="top"/>
    </xf>
    <xf numFmtId="0" fontId="0" fillId="0" borderId="0" applyAlignment="1" pivotButton="0" quotePrefix="0" xfId="0">
      <alignment wrapText="1"/>
    </xf>
    <xf numFmtId="11" fontId="0" fillId="0" borderId="0" pivotButton="0" quotePrefix="0" xfId="0"/>
    <xf numFmtId="0" fontId="9" fillId="0" borderId="0" applyAlignment="1" pivotButton="0" quotePrefix="0" xfId="1">
      <alignment vertical="top"/>
    </xf>
    <xf numFmtId="2" fontId="9" fillId="0" borderId="0" applyAlignment="1" pivotButton="0" quotePrefix="0" xfId="0">
      <alignment horizontal="center" vertical="top"/>
    </xf>
    <xf numFmtId="2" fontId="9" fillId="0" borderId="0" applyAlignment="1" pivotButton="0" quotePrefix="0" xfId="2">
      <alignment horizontal="center" vertical="center"/>
    </xf>
    <xf numFmtId="0" fontId="9" fillId="0" borderId="0" applyAlignment="1" pivotButton="0" quotePrefix="0" xfId="3">
      <alignment horizontal="left" vertical="top"/>
    </xf>
    <xf numFmtId="0" fontId="9" fillId="0" borderId="0" applyAlignment="1" pivotButton="0" quotePrefix="0" xfId="3">
      <alignment horizontal="center" vertical="top"/>
    </xf>
    <xf numFmtId="0" fontId="9" fillId="0" borderId="0" applyAlignment="1" pivotButton="0" quotePrefix="0" xfId="1">
      <alignment horizontal="center" vertical="center"/>
    </xf>
    <xf numFmtId="14" fontId="0" fillId="0" borderId="0" pivotButton="0" quotePrefix="0" xfId="0"/>
    <xf numFmtId="0" fontId="25" fillId="11" borderId="1" applyAlignment="1" pivotButton="0" quotePrefix="0" xfId="14">
      <alignment horizontal="left" vertical="center"/>
    </xf>
    <xf numFmtId="0" fontId="25" fillId="12" borderId="1" applyAlignment="1" pivotButton="0" quotePrefix="0" xfId="14">
      <alignment horizontal="left" vertical="center"/>
    </xf>
    <xf numFmtId="0" fontId="25" fillId="13" borderId="1" applyAlignment="1" pivotButton="0" quotePrefix="0" xfId="14">
      <alignment horizontal="left" vertical="center"/>
    </xf>
    <xf numFmtId="0" fontId="25" fillId="14" borderId="1" applyAlignment="1" pivotButton="0" quotePrefix="0" xfId="14">
      <alignment horizontal="left" vertical="center"/>
    </xf>
    <xf numFmtId="0" fontId="25" fillId="0" borderId="0" applyAlignment="1" pivotButton="0" quotePrefix="0" xfId="14">
      <alignment horizontal="left" vertical="center"/>
    </xf>
    <xf numFmtId="0" fontId="25" fillId="16" borderId="1" applyAlignment="1" pivotButton="0" quotePrefix="0" xfId="14">
      <alignment horizontal="center" vertical="center"/>
    </xf>
    <xf numFmtId="2" fontId="0" fillId="0" borderId="0" pivotButton="0" quotePrefix="0" xfId="0"/>
    <xf numFmtId="1" fontId="0" fillId="0" borderId="0" pivotButton="0" quotePrefix="0" xfId="0"/>
    <xf numFmtId="1" fontId="22" fillId="0" borderId="0" pivotButton="0" quotePrefix="0" xfId="0"/>
    <xf numFmtId="0" fontId="11" fillId="0" borderId="0" applyAlignment="1" pivotButton="0" quotePrefix="0" xfId="2">
      <alignment horizontal="center" vertical="center"/>
    </xf>
    <xf numFmtId="14" fontId="11" fillId="0" borderId="0" applyAlignment="1" pivotButton="0" quotePrefix="0" xfId="2">
      <alignment horizontal="center" vertical="center"/>
    </xf>
    <xf numFmtId="0" fontId="12" fillId="5" borderId="0" applyAlignment="1" pivotButton="0" quotePrefix="0" xfId="2">
      <alignment vertical="top"/>
    </xf>
    <xf numFmtId="14" fontId="12" fillId="5" borderId="0" applyAlignment="1" pivotButton="0" quotePrefix="0" xfId="2">
      <alignment vertical="top"/>
    </xf>
    <xf numFmtId="0" fontId="12" fillId="5" borderId="0" applyAlignment="1" pivotButton="0" quotePrefix="0" xfId="2">
      <alignment horizontal="center" vertical="top"/>
    </xf>
    <xf numFmtId="165" fontId="12" fillId="5" borderId="0" applyAlignment="1" pivotButton="0" quotePrefix="0" xfId="3">
      <alignment vertical="top"/>
    </xf>
    <xf numFmtId="0" fontId="12" fillId="5" borderId="0" applyAlignment="1" pivotButton="0" quotePrefix="0" xfId="2">
      <alignment horizontal="center" vertical="center"/>
    </xf>
    <xf numFmtId="167" fontId="12" fillId="5" borderId="0" applyAlignment="1" pivotButton="0" quotePrefix="0" xfId="2">
      <alignment horizontal="center" vertical="top"/>
    </xf>
    <xf numFmtId="167" fontId="9" fillId="0" borderId="0" applyAlignment="1" pivotButton="0" quotePrefix="0" xfId="4">
      <alignment horizontal="center" vertical="top"/>
    </xf>
    <xf numFmtId="2" fontId="9" fillId="0" borderId="0" applyAlignment="1" pivotButton="0" quotePrefix="0" xfId="4">
      <alignment horizontal="center" vertical="top"/>
    </xf>
    <xf numFmtId="167" fontId="11" fillId="0" borderId="0" applyAlignment="1" pivotButton="0" quotePrefix="0" xfId="2">
      <alignment horizontal="center" vertical="center"/>
    </xf>
    <xf numFmtId="0" fontId="23" fillId="10" borderId="1" applyAlignment="1" pivotButton="0" quotePrefix="0" xfId="0">
      <alignment horizontal="center" vertical="center"/>
    </xf>
    <xf numFmtId="0" fontId="26" fillId="15" borderId="1" applyAlignment="1" pivotButton="0" quotePrefix="0" xfId="14">
      <alignment horizontal="center" vertical="center"/>
    </xf>
    <xf numFmtId="0" fontId="18" fillId="8" borderId="0" applyAlignment="1" pivotButton="0" quotePrefix="0" xfId="0">
      <alignment horizontal="center" vertical="center"/>
    </xf>
    <xf numFmtId="167" fontId="11" fillId="0" borderId="0" applyAlignment="1" pivotButton="0" quotePrefix="0" xfId="2">
      <alignment horizontal="center" vertical="center"/>
    </xf>
    <xf numFmtId="167" fontId="12" fillId="5" borderId="0" applyAlignment="1" pivotButton="0" quotePrefix="0" xfId="2">
      <alignment horizontal="center" vertical="top"/>
    </xf>
    <xf numFmtId="0" fontId="12" fillId="9" borderId="0" applyAlignment="1" pivotButton="0" quotePrefix="0" xfId="0">
      <alignment horizontal="left" vertical="top"/>
    </xf>
    <xf numFmtId="0" fontId="9" fillId="0" borderId="0" pivotButton="0" quotePrefix="0" xfId="0"/>
    <xf numFmtId="164" fontId="9" fillId="0" borderId="0" pivotButton="0" quotePrefix="0" xfId="0"/>
    <xf numFmtId="168" fontId="9" fillId="0" borderId="0" pivotButton="0" quotePrefix="0" xfId="0"/>
    <xf numFmtId="169" fontId="9" fillId="0" borderId="0" pivotButton="0" quotePrefix="0" xfId="0"/>
    <xf numFmtId="1" fontId="9" fillId="0" borderId="0" applyAlignment="1" pivotButton="0" quotePrefix="0" xfId="4">
      <alignment horizontal="left" vertical="top"/>
    </xf>
    <xf numFmtId="1" fontId="9" fillId="0" borderId="0" pivotButton="0" quotePrefix="0" xfId="0"/>
    <xf numFmtId="1" fontId="9" fillId="0" borderId="0" applyAlignment="1" pivotButton="0" quotePrefix="0" xfId="2">
      <alignment horizontal="left" vertical="top"/>
    </xf>
    <xf numFmtId="2" fontId="9" fillId="0" borderId="0" pivotButton="0" quotePrefix="0" xfId="0"/>
    <xf numFmtId="0" fontId="9" fillId="0" borderId="0" pivotButton="0" quotePrefix="0" xfId="2"/>
    <xf numFmtId="164" fontId="9" fillId="0" borderId="0" applyAlignment="1" pivotButton="0" quotePrefix="0" xfId="2">
      <alignment horizontal="left" vertical="top"/>
    </xf>
    <xf numFmtId="168" fontId="9" fillId="0" borderId="0" applyAlignment="1" pivotButton="0" quotePrefix="0" xfId="2">
      <alignment horizontal="left" vertical="top"/>
    </xf>
    <xf numFmtId="169" fontId="9" fillId="0" borderId="0" applyAlignment="1" pivotButton="0" quotePrefix="0" xfId="3">
      <alignment horizontal="left" vertical="top"/>
    </xf>
    <xf numFmtId="169" fontId="9" fillId="0" borderId="0" applyAlignment="1" pivotButton="0" quotePrefix="0" xfId="3">
      <alignment horizontal="center" vertical="top"/>
    </xf>
    <xf numFmtId="0" fontId="0" fillId="0" borderId="4" pivotButton="0" quotePrefix="0" xfId="0"/>
    <xf numFmtId="0" fontId="0" fillId="0" borderId="5" pivotButton="0" quotePrefix="0" xfId="0"/>
    <xf numFmtId="0" fontId="27" fillId="0" borderId="0" pivotButton="0" quotePrefix="0" xfId="0"/>
    <xf numFmtId="168" fontId="28" fillId="17" borderId="0" applyAlignment="1" pivotButton="0" quotePrefix="0" xfId="0">
      <alignment horizontal="left" vertical="center"/>
    </xf>
    <xf numFmtId="166" fontId="18" fillId="0" borderId="0" applyAlignment="1" pivotButton="0" quotePrefix="0" xfId="0">
      <alignment horizontal="left" vertical="center"/>
    </xf>
    <xf numFmtId="0" fontId="29" fillId="0" borderId="0" pivotButton="0" quotePrefix="0" xfId="0"/>
    <xf numFmtId="166" fontId="20" fillId="0" borderId="0" applyAlignment="1" pivotButton="0" quotePrefix="0" xfId="0">
      <alignment horizontal="left" vertical="center"/>
    </xf>
    <xf numFmtId="166" fontId="19" fillId="0" borderId="0" applyAlignment="1" pivotButton="0" quotePrefix="0" xfId="0">
      <alignment horizontal="left" vertical="center"/>
    </xf>
    <xf numFmtId="164" fontId="14" fillId="4" borderId="0" applyAlignment="1" pivotButton="0" quotePrefix="0" xfId="7">
      <alignment horizontal="center" vertical="center"/>
    </xf>
    <xf numFmtId="164" fontId="5" fillId="2" borderId="0" applyAlignment="1" pivotButton="0" quotePrefix="0" xfId="2">
      <alignment horizontal="left"/>
    </xf>
    <xf numFmtId="164" fontId="5" fillId="2" borderId="0" applyAlignment="1" pivotButton="0" quotePrefix="0" xfId="2">
      <alignment horizontal="right"/>
    </xf>
    <xf numFmtId="164" fontId="10" fillId="3" borderId="0" applyAlignment="1" pivotButton="0" quotePrefix="0" xfId="7">
      <alignment horizontal="center" vertical="center"/>
    </xf>
    <xf numFmtId="168" fontId="9" fillId="0" borderId="0" pivotButton="0" quotePrefix="0" xfId="0"/>
    <xf numFmtId="169" fontId="9" fillId="0" borderId="0" pivotButton="0" quotePrefix="0" xfId="0"/>
    <xf numFmtId="168" fontId="9" fillId="0" borderId="0" applyAlignment="1" pivotButton="0" quotePrefix="0" xfId="2">
      <alignment horizontal="left" vertical="top"/>
    </xf>
    <xf numFmtId="169" fontId="9" fillId="0" borderId="0" applyAlignment="1" pivotButton="0" quotePrefix="0" xfId="3">
      <alignment horizontal="left" vertical="top"/>
    </xf>
    <xf numFmtId="169" fontId="9" fillId="0" borderId="0" applyAlignment="1" pivotButton="0" quotePrefix="0" xfId="3">
      <alignment horizontal="center" vertical="top"/>
    </xf>
    <xf numFmtId="0" fontId="30" fillId="0" borderId="0" pivotButton="0" quotePrefix="0" xfId="0"/>
    <xf numFmtId="168" fontId="28" fillId="17" borderId="0" applyAlignment="1" pivotButton="0" quotePrefix="0" xfId="0">
      <alignment horizontal="left" vertical="center"/>
    </xf>
    <xf numFmtId="0" fontId="31" fillId="0" borderId="0" pivotButton="0" quotePrefix="0" xfId="0"/>
    <xf numFmtId="0" fontId="0" fillId="0" borderId="0" applyAlignment="1" pivotButton="0" quotePrefix="0" xfId="0">
      <alignment vertical="top" wrapText="1"/>
    </xf>
    <xf numFmtId="0" fontId="6" fillId="0" borderId="0" pivotButton="0" quotePrefix="0" xfId="0"/>
    <xf numFmtId="0" fontId="5" fillId="0" borderId="0" applyAlignment="1" pivotButton="0" quotePrefix="0" xfId="0">
      <alignment vertical="top" wrapText="1"/>
    </xf>
    <xf numFmtId="0" fontId="32" fillId="0" borderId="0" pivotButton="0" quotePrefix="0" xfId="0"/>
    <xf numFmtId="0" fontId="33" fillId="0" borderId="0" pivotButton="0" quotePrefix="0" xfId="0"/>
    <xf numFmtId="0" fontId="34" fillId="0" borderId="0" applyAlignment="1" pivotButton="0" quotePrefix="0" xfId="0">
      <alignment horizontal="left"/>
    </xf>
  </cellXfs>
  <cellStyles count="15">
    <cellStyle name="Normal" xfId="0" builtinId="0"/>
    <cellStyle name="Normal 2" xfId="1"/>
    <cellStyle name="Normal 3" xfId="2"/>
    <cellStyle name="Comma 2" xfId="3"/>
    <cellStyle name="Percent 2" xfId="4"/>
    <cellStyle name="Comma 3" xfId="5"/>
    <cellStyle name="Comma 2 2" xfId="6"/>
    <cellStyle name="Good" xfId="7" builtinId="26"/>
    <cellStyle name="Normal 2 3" xfId="8"/>
    <cellStyle name="Normal 4" xfId="9"/>
    <cellStyle name="Comma 4" xfId="10"/>
    <cellStyle name="Normal 2 2" xfId="11"/>
    <cellStyle name="60 % - Accent6" xfId="12"/>
    <cellStyle name="Percent 2 2" xfId="13"/>
    <cellStyle name="Hyperlink" xfId="14" builtinId="8"/>
  </cellStyles>
  <dxfs count="45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0" formatCode="General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9"/>
        <vertAlign val="baseline"/>
      </font>
      <numFmt numFmtId="0" formatCode="General"/>
      <fill>
        <patternFill>
          <fgColor indexed="64"/>
          <bgColor indexed="65"/>
        </patternFill>
      </fill>
      <alignment horizontal="left" vertical="bottom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168" formatCode="_ * #,##0.0_ ;_ * \-#,##0.0_ ;_ * &quot;-&quot;??_ ;_ @_ 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top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166" formatCode="0.000"/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166" formatCode="0.000"/>
      <fill>
        <patternFill>
          <fgColor indexed="64"/>
          <bgColor indexed="65"/>
        </patternFill>
      </fill>
      <alignment horizontal="center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numFmt numFmtId="2" formatCode="0.00"/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center"/>
    </dxf>
    <dxf>
      <font>
        <name val="Nunito Sans"/>
        <strike val="0"/>
        <outline val="0"/>
        <shadow val="0"/>
        <condense val="0"/>
        <color rgb="FF000000"/>
        <extend val="0"/>
        <sz val="14"/>
        <vertAlign val="baseline"/>
      </font>
      <fill>
        <patternFill>
          <fgColor indexed="64"/>
          <bgColor indexed="65"/>
        </patternFill>
      </fill>
      <alignment horizontal="left" vertical="top"/>
    </dxf>
    <dxf>
      <font>
        <name val="Nunito Sans"/>
        <b val="1"/>
        <strike val="0"/>
        <outline val="0"/>
        <shadow val="0"/>
        <condense val="0"/>
        <color rgb="FFFFFFFF"/>
        <extend val="0"/>
        <sz val="16"/>
        <vertAlign val="baseline"/>
      </font>
      <fill>
        <patternFill patternType="solid">
          <fgColor indexed="64"/>
          <bgColor rgb="FF3AB7C8"/>
        </patternFill>
      </fill>
      <alignment horizontal="left" vertical="top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omments/comment1.xml><?xml version="1.0" encoding="utf-8"?>
<comments xmlns="http://schemas.openxmlformats.org/spreadsheetml/2006/main">
  <authors>
    <author>GD Team Luc Filip</author>
  </authors>
  <commentList>
    <comment ref="A1" authorId="0" shapeId="0">
      <text>
        <t>GD Team Luc Filip:
rule: top pick shoudl be</t>
      </text>
    </comment>
  </commentList>
</comments>
</file>

<file path=xl/comments/comment2.xml><?xml version="1.0" encoding="utf-8"?>
<comments xmlns="http://schemas.openxmlformats.org/spreadsheetml/2006/main">
  <authors>
    <author>Claude</author>
  </authors>
  <commentList>
    <comment ref="D1" authorId="0" shapeId="0">
      <text>
        <t>Reference date for the "since" spread/yield columns (Formulas!Y:AA).
Hardcoded input requested by the user: 14 July 2026.
Change this cell to re-base the whole "since" analysis, then update the
headers in Formulas!Y1:AA1 so the table labels stay in sync.</t>
      </text>
    </comment>
  </commentList>
</comments>
</file>

<file path=xl/tables/table1.xml><?xml version="1.0" encoding="utf-8"?>
<table xmlns="http://schemas.openxmlformats.org/spreadsheetml/2006/main" id="1" name="Table1" displayName="Table1" ref="A1:AA1048576" headerRowCount="1" totalsRowShown="0" headerRowDxfId="43" dataDxfId="42" headerRowCellStyle="Normal 3" dataCellStyle="Normal 3">
  <autoFilter ref="A1:AA1048576"/>
  <sortState ref="A2:V1048576">
    <sortCondition descending="1" ref="I1:I1048576"/>
  </sortState>
  <tableColumns count="27">
    <tableColumn id="1" name="ISIN"/>
    <tableColumn id="2" name="List"/>
    <tableColumn id="3" name="Company"/>
    <tableColumn id="4" name="Coupon"/>
    <tableColumn id="5" name="Structure"/>
    <tableColumn id="6" name="Maturity"/>
    <tableColumn id="7" name="Country"/>
    <tableColumn id="8" name="Sector"/>
    <tableColumn id="9" name="Den. (k)"/>
    <tableColumn id="10" name="Price"/>
    <tableColumn id="11" name="YTW"/>
    <tableColumn id="12" name="YTW - 1 week change"/>
    <tableColumn id="13" name="YTW - 1 month change"/>
    <tableColumn id="14" name="Spread"/>
    <tableColumn id="15" name="Dur."/>
    <tableColumn id="16" name="Ind LV."/>
    <tableColumn id="17" name="Company Description"/>
    <tableColumn id="18" name="Currency"/>
    <tableColumn id="19" name="Bond Classification"/>
    <tableColumn id="20" name="rating"/>
    <tableColumn id="21" name="Tax Group"/>
    <tableColumn id="22" name="Column1"/>
    <tableColumn id="23" name="Spread change 1 week"/>
    <tableColumn id="24" name="Spread change 1 month"/>
    <tableColumn id="25" name="Spread change since 14.07.2026"/>
    <tableColumn id="26" name="YTW change since 14.07.2026"/>
    <tableColumn id="27" name="Spread on 14.07.2026"/>
  </tableColumns>
  <tableStyleInfo name="TableStyleLight5" showFirstColumn="0" showLastColumn="0" showRowStripes="0" showColumnStripes="0"/>
</table>
</file>

<file path=xl/tables/table2.xml><?xml version="1.0" encoding="utf-8"?>
<table xmlns="http://schemas.openxmlformats.org/spreadsheetml/2006/main" id="2" name="Tableau_Bonds_Final" displayName="Tableau_Bonds_Final" ref="A1:X769" headerRowCount="1" totalsRowShown="0">
  <autoFilter ref="A1:X769"/>
  <tableColumns count="24">
    <tableColumn id="1" name="ISIN"/>
    <tableColumn id="2" name="List"/>
    <tableColumn id="3" name="Company"/>
    <tableColumn id="4" name="Coupon"/>
    <tableColumn id="5" name="Structure"/>
    <tableColumn id="6" name="Maturity"/>
    <tableColumn id="7" name="Country"/>
    <tableColumn id="8" name="Sector"/>
    <tableColumn id="9" name="Den. (k)"/>
    <tableColumn id="10" name="Price"/>
    <tableColumn id="11" name="YTW" dataDxfId="17"/>
    <tableColumn id="12" name="YTW - 1 week change" dataDxfId="16"/>
    <tableColumn id="13" name="YTW - 1 month change" dataDxfId="15"/>
    <tableColumn id="14" name="Spread" dataDxfId="14"/>
    <tableColumn id="15" name="Dur."/>
    <tableColumn id="16" name="Ind LV."/>
    <tableColumn id="17" name="Company Description"/>
    <tableColumn id="18" name="Currency"/>
    <tableColumn id="19" name="Bond Classification"/>
    <tableColumn id="20" name="rating"/>
    <tableColumn id="21" name="Tax Group"/>
    <tableColumn id="22" name="Column1"/>
    <tableColumn id="23" name="Spread change 1 week" dataDxfId="13"/>
    <tableColumn id="24" name="Spread change 1 month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MyDataTable34" displayName="MyDataTable34" ref="A1:V753" headerRowCount="1" totalsRowShown="0">
  <autoFilter ref="A1:V753"/>
  <tableColumns count="22">
    <tableColumn id="1" name="ISIN"/>
    <tableColumn id="2" name="Syz view"/>
    <tableColumn id="3" name="Company"/>
    <tableColumn id="4" name="Coupon"/>
    <tableColumn id="5" name="Structure"/>
    <tableColumn id="6" name="Maturity"/>
    <tableColumn id="7" name="Country"/>
    <tableColumn id="8" name="Sector"/>
    <tableColumn id="9" name="Den. (k)"/>
    <tableColumn id="10" name="Price"/>
    <tableColumn id="11" name="YTW"/>
    <tableColumn id="12" name="YTW - 1 week change"/>
    <tableColumn id="13" name="YTW - 1 month change"/>
    <tableColumn id="14" name="Spread"/>
    <tableColumn id="15" name="Dur."/>
    <tableColumn id="16" name="Ind LV."/>
    <tableColumn id="17" name="Company Description"/>
    <tableColumn id="18" name="CRNCY"/>
    <tableColumn id="19" name="CLASSIFICATION"/>
    <tableColumn id="20" name="rating"/>
    <tableColumn id="21" name="Tax Group"/>
    <tableColumn id="22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YZ_THEME">
      <a:dk1>
        <a:sysClr val="windowText" lastClr="000000"/>
      </a:dk1>
      <a:lt1>
        <a:sysClr val="window" lastClr="FFFFFF"/>
      </a:lt1>
      <a:dk2>
        <a:srgbClr val="004B84"/>
      </a:dk2>
      <a:lt2>
        <a:srgbClr val="7F7E7C"/>
      </a:lt2>
      <a:accent1>
        <a:srgbClr val="EC880E"/>
      </a:accent1>
      <a:accent2>
        <a:srgbClr val="B0CD53"/>
      </a:accent2>
      <a:accent3>
        <a:srgbClr val="DBDCE0"/>
      </a:accent3>
      <a:accent4>
        <a:srgbClr val="0FA4E0"/>
      </a:accent4>
      <a:accent5>
        <a:srgbClr val="343331"/>
      </a:accent5>
      <a:accent6>
        <a:srgbClr val="FF0000"/>
      </a:accent6>
      <a:hlink>
        <a:srgbClr val="1003B5"/>
      </a:hlink>
      <a:folHlink>
        <a:srgbClr val="7030A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sheet1.xml><?xml version="1.0" encoding="utf-8"?>
<worksheet xmlns="http://schemas.openxmlformats.org/spreadsheetml/2006/main">
  <sheetPr codeName="Sheet28">
    <outlinePr summaryBelow="1" summaryRight="1"/>
    <pageSetUpPr/>
  </sheetPr>
  <dimension ref="A1:AA1147"/>
  <sheetViews>
    <sheetView showGridLines="0" topLeftCell="G1" zoomScale="55" zoomScaleNormal="55" workbookViewId="0">
      <selection activeCell="X47" sqref="X47"/>
    </sheetView>
  </sheetViews>
  <sheetFormatPr baseColWidth="8" defaultColWidth="9.21875" defaultRowHeight="21.6"/>
  <cols>
    <col width="27.44140625" customWidth="1" style="9" min="1" max="1"/>
    <col width="25.77734375" customWidth="1" style="9" min="2" max="2"/>
    <col width="36.5546875" customWidth="1" style="9" min="3" max="3"/>
    <col width="12.5546875" customWidth="1" style="58" min="4" max="4"/>
    <col width="22.5546875" customWidth="1" style="9" min="5" max="5"/>
    <col width="16.5546875" customWidth="1" style="59" min="6" max="6"/>
    <col width="21.5546875" customWidth="1" style="58" min="7" max="7"/>
    <col outlineLevel="1" width="29.44140625" customWidth="1" style="58" min="8" max="8"/>
    <col outlineLevel="1" width="12.44140625" customWidth="1" style="58" min="9" max="9"/>
    <col width="13" bestFit="1" customWidth="1" style="23" min="10" max="11"/>
    <col width="37.21875" bestFit="1" customWidth="1" style="23" min="12" max="12"/>
    <col width="39.21875" bestFit="1" customWidth="1" style="23" min="13" max="13"/>
    <col width="15.5546875" bestFit="1" customWidth="1" style="23" min="14" max="14"/>
    <col outlineLevel="1" width="12.44140625" customWidth="1" style="72" min="15" max="15"/>
    <col outlineLevel="1" width="11.44140625" customWidth="1" style="58" min="16" max="16"/>
    <col outlineLevel="1" width="102.5546875" customWidth="1" style="9" min="17" max="17"/>
    <col outlineLevel="1" width="24.5546875" customWidth="1" style="9" min="18" max="19"/>
    <col outlineLevel="1" width="33.5546875" customWidth="1" style="58" min="20" max="20"/>
    <col width="33.44140625" customWidth="1" style="2" min="21" max="21"/>
    <col width="9.21875" customWidth="1" style="27" min="22" max="22"/>
    <col width="35.77734375" bestFit="1" customWidth="1" style="29" min="23" max="23"/>
    <col width="37.44140625" bestFit="1" customWidth="1" style="29" min="24" max="24"/>
    <col width="30" customWidth="1" style="23" min="25" max="16384"/>
    <col width="30" customWidth="1" min="26" max="26"/>
    <col width="24" customWidth="1" min="27" max="27"/>
  </cols>
  <sheetData>
    <row r="1" ht="25.8" customHeight="1">
      <c r="A1" s="60" t="inlineStr">
        <is>
          <t>ISIN</t>
        </is>
      </c>
      <c r="B1" s="60" t="inlineStr">
        <is>
          <t>List</t>
        </is>
      </c>
      <c r="C1" s="60" t="inlineStr">
        <is>
          <t>Company</t>
        </is>
      </c>
      <c r="D1" s="60" t="inlineStr">
        <is>
          <t>Coupon</t>
        </is>
      </c>
      <c r="E1" s="33" t="inlineStr">
        <is>
          <t>Structure</t>
        </is>
      </c>
      <c r="F1" s="61" t="inlineStr">
        <is>
          <t>Maturity</t>
        </is>
      </c>
      <c r="G1" s="62" t="inlineStr">
        <is>
          <t>Country</t>
        </is>
      </c>
      <c r="H1" s="60" t="inlineStr">
        <is>
          <t>Sector</t>
        </is>
      </c>
      <c r="I1" s="63" t="inlineStr">
        <is>
          <t>Den. (k)</t>
        </is>
      </c>
      <c r="J1" s="38" t="inlineStr">
        <is>
          <t>Price</t>
        </is>
      </c>
      <c r="K1" s="39" t="inlineStr">
        <is>
          <t>YTW</t>
        </is>
      </c>
      <c r="L1" s="38" t="inlineStr">
        <is>
          <t>YTW - 1 week change</t>
        </is>
      </c>
      <c r="M1" s="38" t="inlineStr">
        <is>
          <t>YTW - 1 month change</t>
        </is>
      </c>
      <c r="N1" s="39" t="inlineStr">
        <is>
          <t>Spread</t>
        </is>
      </c>
      <c r="O1" s="73" t="inlineStr">
        <is>
          <t>Dur.</t>
        </is>
      </c>
      <c r="P1" s="60" t="inlineStr">
        <is>
          <t>Ind LV.</t>
        </is>
      </c>
      <c r="Q1" s="60" t="inlineStr">
        <is>
          <t>Company Description</t>
        </is>
      </c>
      <c r="R1" s="60" t="inlineStr">
        <is>
          <t>Currency</t>
        </is>
      </c>
      <c r="S1" s="60" t="inlineStr">
        <is>
          <t>Bond Classification</t>
        </is>
      </c>
      <c r="T1" s="64" t="inlineStr">
        <is>
          <t>rating</t>
        </is>
      </c>
      <c r="U1" s="60" t="inlineStr">
        <is>
          <t>Tax Group</t>
        </is>
      </c>
      <c r="V1" s="33" t="inlineStr">
        <is>
          <t>Column1</t>
        </is>
      </c>
      <c r="W1" s="38" t="inlineStr">
        <is>
          <t>Spread change 1 week</t>
        </is>
      </c>
      <c r="X1" s="38" t="inlineStr">
        <is>
          <t>Spread change 1 month</t>
        </is>
      </c>
      <c r="Y1" s="74" t="inlineStr">
        <is>
          <t>Spread change since 14.07.2026</t>
        </is>
      </c>
      <c r="Z1" s="74" t="inlineStr">
        <is>
          <t>YTW change since 14.07.2026</t>
        </is>
      </c>
      <c r="AA1" s="74" t="inlineStr">
        <is>
          <t>Spread on 14.07.2026</t>
        </is>
      </c>
    </row>
    <row r="2">
      <c r="A2" s="23" t="inlineStr">
        <is>
          <t>US25160PAS65</t>
        </is>
      </c>
      <c r="B2" s="75">
        <f>IF($A2="","",IFERROR(INDEX(Sheet1!$B:$B,MATCH($A2,Sheet1!$A:$A,0)),""))</f>
        <v/>
      </c>
      <c r="C2" s="75">
        <f>IF($A2="","",PROPER(_xll.BDP($A2&amp;" Corp","NAME")))</f>
        <v/>
      </c>
      <c r="D2" s="76">
        <f>IF($A2="","",_xll.BDP($A2&amp;" Corp","CPN"))</f>
        <v/>
      </c>
      <c r="E2" s="75">
        <f>IF($A2="","",_xll.BDP($A2&amp;" Corp","PAYMENT_RANK"))</f>
        <v/>
      </c>
      <c r="F2" s="100">
        <f>IF($A2="","",_xll.BDP($A2&amp;" Corp","MATURITY"))</f>
        <v/>
      </c>
      <c r="G2" s="75">
        <f>IF($A2="","",PROPER(_xll.BDP($A2&amp;" Corp","COUNTRY_FULL_NAME")))</f>
        <v/>
      </c>
      <c r="H2" s="75">
        <f>IF($A2="","",_xll.BDP($A2&amp;" Corp","INDUSTRY_SECTOR"))</f>
        <v/>
      </c>
      <c r="I2" s="101">
        <f>IF($A2="","",IFERROR(_xll.BDP($A2&amp;" Corp","MIN_PIECE")/1000,""))</f>
        <v/>
      </c>
      <c r="J2" s="31">
        <f>IF($A2="","",_xll.BDP($A2&amp;" Corp","PX_LAST"))</f>
        <v/>
      </c>
      <c r="K2" s="31">
        <f>IF($A2="","",_xll.BDP($A2&amp;" Corp","YAS_BOND_YLD","YAS_YLD_FLAG=15"))</f>
        <v/>
      </c>
      <c r="L2" s="31">
        <f>IF($A2="","",K2-_xll.BDP($A2&amp;" Corp","YAS_BOND_YLD","YAS_YLD_FLAG=15","SETTLE_DT",Company_desc!$A$1))</f>
        <v/>
      </c>
      <c r="M2" s="31">
        <f>IF($A2="","",K2-_xll.BDP($A2&amp;" Corp","YAS_BOND_YLD","YAS_YLD_FLAG=15","SETTLE_DT",Company_desc!$A$2))</f>
        <v/>
      </c>
      <c r="N2" s="79">
        <f>IF($A2="","",_xll.BDP($A2&amp;" Corp","YAS_OAS_SPRD"))</f>
        <v/>
      </c>
      <c r="O2" s="67">
        <f>IF($A2="","",_xll.BDP($A2&amp;" Corp","YAS_MOD_DUR"))</f>
        <v/>
      </c>
      <c r="P2" s="80">
        <f>IF($A2="","",IFERROR(INDEX(Sheet1!$P:$P,MATCH($A2,Sheet1!$A:$A,0)),""))</f>
        <v/>
      </c>
      <c r="Q2" s="75">
        <f>IF($A2="","",IFERROR(INDEX(Company_desc!$C:$C,MATCH($A2,Company_desc!$A:$A,0)),IFERROR(INDEX(Sheet1!$Q:$Q,MATCH($A2,Sheet1!$A:$A,0)),"")))</f>
        <v/>
      </c>
      <c r="R2" s="75">
        <f>IF($A2="","",_xll.BDP($A2&amp;" Corp","CRNCY"))</f>
        <v/>
      </c>
      <c r="S2" s="75">
        <f>IF($A2="","",IFERROR(INDEX(Sheet1!$S:$S,MATCH($A2,Sheet1!$A:$A,0)),""))</f>
        <v/>
      </c>
      <c r="T2" s="75">
        <f>IF($A2="","",IFERROR(INDEX(Sheet1!$T:$T,MATCH($A2,Sheet1!$A:$A,0)),_xll.BDP($A2&amp;" Corp","RTG_SP")))</f>
        <v/>
      </c>
      <c r="U2" s="75">
        <f>IF($A2="","",IFERROR(INDEX(Sheet1!$U:$U,MATCH($A2,Sheet1!$A:$A,0)),""))</f>
        <v/>
      </c>
      <c r="W2" s="81">
        <f>IF($A2="","",N2-_xll.BDP($A2&amp;" Corp","YAS_OAS_SPRD","SETTLE_DT",Company_desc!$A$1))</f>
        <v/>
      </c>
      <c r="X2" s="81">
        <f>IF($A2="","",N2-_xll.BDP($A2&amp;" Corp","YAS_OAS_SPRD","SETTLE_DT",Company_desc!$A$2))</f>
        <v/>
      </c>
      <c r="Y2" s="80">
        <f>IF($A2="","",N2-_xll.BDP($A2&amp;" Corp","YAS_OAS_SPRD","SETTLE_DT",Company_desc!$D$1))</f>
        <v/>
      </c>
      <c r="Z2" s="82">
        <f>IF($A2="","",K2-_xll.BDP($A2&amp;" Corp","YAS_BOND_YLD","YAS_YLD_FLAG=15","SETTLE_DT",Company_desc!$D$1))</f>
        <v/>
      </c>
      <c r="AA2" s="80">
        <f>IF($A2="","",_xll.BDP($A2&amp;" Corp","YAS_OAS_SPRD","SETTLE_DT",Company_desc!$D$1))</f>
        <v/>
      </c>
    </row>
    <row r="3">
      <c r="A3" s="23" t="inlineStr">
        <is>
          <t>US30303MAC64</t>
        </is>
      </c>
      <c r="B3" s="75">
        <f>IF($A3="","",IFERROR(INDEX(Sheet1!$B:$B,MATCH($A3,Sheet1!$A:$A,0)),""))</f>
        <v/>
      </c>
      <c r="C3" s="75">
        <f>IF($A3="","",PROPER(_xll.BDP($A3&amp;" Corp","NAME")))</f>
        <v/>
      </c>
      <c r="D3" s="76">
        <f>IF($A3="","",_xll.BDP($A3&amp;" Corp","CPN"))</f>
        <v/>
      </c>
      <c r="E3" s="75">
        <f>IF($A3="","",_xll.BDP($A3&amp;" Corp","PAYMENT_RANK"))</f>
        <v/>
      </c>
      <c r="F3" s="100">
        <f>IF($A3="","",_xll.BDP($A3&amp;" Corp","MATURITY"))</f>
        <v/>
      </c>
      <c r="G3" s="75">
        <f>IF($A3="","",PROPER(_xll.BDP($A3&amp;" Corp","COUNTRY_FULL_NAME")))</f>
        <v/>
      </c>
      <c r="H3" s="75">
        <f>IF($A3="","",_xll.BDP($A3&amp;" Corp","INDUSTRY_SECTOR"))</f>
        <v/>
      </c>
      <c r="I3" s="101">
        <f>IF($A3="","",IFERROR(_xll.BDP($A3&amp;" Corp","MIN_PIECE")/1000,""))</f>
        <v/>
      </c>
      <c r="J3" s="31">
        <f>IF($A3="","",_xll.BDP($A3&amp;" Corp","PX_LAST"))</f>
        <v/>
      </c>
      <c r="K3" s="31">
        <f>IF($A3="","",_xll.BDP($A3&amp;" Corp","YAS_BOND_YLD","YAS_YLD_FLAG=15"))</f>
        <v/>
      </c>
      <c r="L3" s="31">
        <f>IF($A3="","",K3-_xll.BDP($A3&amp;" Corp","YAS_BOND_YLD","YAS_YLD_FLAG=15","SETTLE_DT",Company_desc!$A$1))</f>
        <v/>
      </c>
      <c r="M3" s="31">
        <f>IF($A3="","",K3-_xll.BDP($A3&amp;" Corp","YAS_BOND_YLD","YAS_YLD_FLAG=15","SETTLE_DT",Company_desc!$A$2))</f>
        <v/>
      </c>
      <c r="N3" s="79">
        <f>IF($A3="","",_xll.BDP($A3&amp;" Corp","YAS_OAS_SPRD"))</f>
        <v/>
      </c>
      <c r="O3" s="67">
        <f>IF($A3="","",_xll.BDP($A3&amp;" Corp","YAS_MOD_DUR"))</f>
        <v/>
      </c>
      <c r="P3" s="80">
        <f>IF($A3="","",IFERROR(INDEX(Sheet1!$P:$P,MATCH($A3,Sheet1!$A:$A,0)),""))</f>
        <v/>
      </c>
      <c r="Q3" s="75">
        <f>IF($A3="","",IFERROR(INDEX(Company_desc!$C:$C,MATCH($A3,Company_desc!$A:$A,0)),IFERROR(INDEX(Sheet1!$Q:$Q,MATCH($A3,Sheet1!$A:$A,0)),"")))</f>
        <v/>
      </c>
      <c r="R3" s="75">
        <f>IF($A3="","",_xll.BDP($A3&amp;" Corp","CRNCY"))</f>
        <v/>
      </c>
      <c r="S3" s="75">
        <f>IF($A3="","",IFERROR(INDEX(Sheet1!$S:$S,MATCH($A3,Sheet1!$A:$A,0)),""))</f>
        <v/>
      </c>
      <c r="T3" s="75">
        <f>IF($A3="","",IFERROR(INDEX(Sheet1!$T:$T,MATCH($A3,Sheet1!$A:$A,0)),_xll.BDP($A3&amp;" Corp","RTG_SP")))</f>
        <v/>
      </c>
      <c r="U3" s="75">
        <f>IF($A3="","",IFERROR(INDEX(Sheet1!$U:$U,MATCH($A3,Sheet1!$A:$A,0)),""))</f>
        <v/>
      </c>
      <c r="W3" s="81">
        <f>IF($A3="","",N3-_xll.BDP($A3&amp;" Corp","YAS_OAS_SPRD","SETTLE_DT",Company_desc!$A$1))</f>
        <v/>
      </c>
      <c r="X3" s="81">
        <f>IF($A3="","",N3-_xll.BDP($A3&amp;" Corp","YAS_OAS_SPRD","SETTLE_DT",Company_desc!$A$2))</f>
        <v/>
      </c>
      <c r="Y3" s="80">
        <f>IF($A3="","",N3-_xll.BDP($A3&amp;" Corp","YAS_OAS_SPRD","SETTLE_DT",Company_desc!$D$1))</f>
        <v/>
      </c>
      <c r="Z3" s="82">
        <f>IF($A3="","",K3-_xll.BDP($A3&amp;" Corp","YAS_BOND_YLD","YAS_YLD_FLAG=15","SETTLE_DT",Company_desc!$D$1))</f>
        <v/>
      </c>
      <c r="AA3" s="80">
        <f>IF($A3="","",_xll.BDP($A3&amp;" Corp","YAS_OAS_SPRD","SETTLE_DT",Company_desc!$D$1))</f>
        <v/>
      </c>
    </row>
    <row r="4">
      <c r="A4" s="23" t="inlineStr">
        <is>
          <t>US92343VHF40</t>
        </is>
      </c>
      <c r="B4" s="75">
        <f>IF($A4="","",IFERROR(INDEX(Sheet1!$B:$B,MATCH($A4,Sheet1!$A:$A,0)),""))</f>
        <v/>
      </c>
      <c r="C4" s="75">
        <f>IF($A4="","",PROPER(_xll.BDP($A4&amp;" Corp","NAME")))</f>
        <v/>
      </c>
      <c r="D4" s="76">
        <f>IF($A4="","",_xll.BDP($A4&amp;" Corp","CPN"))</f>
        <v/>
      </c>
      <c r="E4" s="75">
        <f>IF($A4="","",_xll.BDP($A4&amp;" Corp","PAYMENT_RANK"))</f>
        <v/>
      </c>
      <c r="F4" s="100">
        <f>IF($A4="","",_xll.BDP($A4&amp;" Corp","MATURITY"))</f>
        <v/>
      </c>
      <c r="G4" s="75">
        <f>IF($A4="","",PROPER(_xll.BDP($A4&amp;" Corp","COUNTRY_FULL_NAME")))</f>
        <v/>
      </c>
      <c r="H4" s="75">
        <f>IF($A4="","",_xll.BDP($A4&amp;" Corp","INDUSTRY_SECTOR"))</f>
        <v/>
      </c>
      <c r="I4" s="101">
        <f>IF($A4="","",IFERROR(_xll.BDP($A4&amp;" Corp","MIN_PIECE")/1000,""))</f>
        <v/>
      </c>
      <c r="J4" s="31">
        <f>IF($A4="","",_xll.BDP($A4&amp;" Corp","PX_LAST"))</f>
        <v/>
      </c>
      <c r="K4" s="31">
        <f>IF($A4="","",_xll.BDP($A4&amp;" Corp","YAS_BOND_YLD","YAS_YLD_FLAG=15"))</f>
        <v/>
      </c>
      <c r="L4" s="31">
        <f>IF($A4="","",K4-_xll.BDP($A4&amp;" Corp","YAS_BOND_YLD","YAS_YLD_FLAG=15","SETTLE_DT",Company_desc!$A$1))</f>
        <v/>
      </c>
      <c r="M4" s="31">
        <f>IF($A4="","",K4-_xll.BDP($A4&amp;" Corp","YAS_BOND_YLD","YAS_YLD_FLAG=15","SETTLE_DT",Company_desc!$A$2))</f>
        <v/>
      </c>
      <c r="N4" s="79">
        <f>IF($A4="","",_xll.BDP($A4&amp;" Corp","YAS_OAS_SPRD"))</f>
        <v/>
      </c>
      <c r="O4" s="67">
        <f>IF($A4="","",_xll.BDP($A4&amp;" Corp","YAS_MOD_DUR"))</f>
        <v/>
      </c>
      <c r="P4" s="80">
        <f>IF($A4="","",IFERROR(INDEX(Sheet1!$P:$P,MATCH($A4,Sheet1!$A:$A,0)),""))</f>
        <v/>
      </c>
      <c r="Q4" s="75">
        <f>IF($A4="","",IFERROR(INDEX(Company_desc!$C:$C,MATCH($A4,Company_desc!$A:$A,0)),IFERROR(INDEX(Sheet1!$Q:$Q,MATCH($A4,Sheet1!$A:$A,0)),"")))</f>
        <v/>
      </c>
      <c r="R4" s="75">
        <f>IF($A4="","",_xll.BDP($A4&amp;" Corp","CRNCY"))</f>
        <v/>
      </c>
      <c r="S4" s="75">
        <f>IF($A4="","",IFERROR(INDEX(Sheet1!$S:$S,MATCH($A4,Sheet1!$A:$A,0)),""))</f>
        <v/>
      </c>
      <c r="T4" s="75">
        <f>IF($A4="","",IFERROR(INDEX(Sheet1!$T:$T,MATCH($A4,Sheet1!$A:$A,0)),_xll.BDP($A4&amp;" Corp","RTG_SP")))</f>
        <v/>
      </c>
      <c r="U4" s="75">
        <f>IF($A4="","",IFERROR(INDEX(Sheet1!$U:$U,MATCH($A4,Sheet1!$A:$A,0)),""))</f>
        <v/>
      </c>
      <c r="W4" s="81">
        <f>IF($A4="","",N4-_xll.BDP($A4&amp;" Corp","YAS_OAS_SPRD","SETTLE_DT",Company_desc!$A$1))</f>
        <v/>
      </c>
      <c r="X4" s="81">
        <f>IF($A4="","",N4-_xll.BDP($A4&amp;" Corp","YAS_OAS_SPRD","SETTLE_DT",Company_desc!$A$2))</f>
        <v/>
      </c>
      <c r="Y4" s="80">
        <f>IF($A4="","",N4-_xll.BDP($A4&amp;" Corp","YAS_OAS_SPRD","SETTLE_DT",Company_desc!$D$1))</f>
        <v/>
      </c>
      <c r="Z4" s="82">
        <f>IF($A4="","",K4-_xll.BDP($A4&amp;" Corp","YAS_BOND_YLD","YAS_YLD_FLAG=15","SETTLE_DT",Company_desc!$D$1))</f>
        <v/>
      </c>
      <c r="AA4" s="80">
        <f>IF($A4="","",_xll.BDP($A4&amp;" Corp","YAS_OAS_SPRD","SETTLE_DT",Company_desc!$D$1))</f>
        <v/>
      </c>
    </row>
    <row r="5">
      <c r="A5" s="23" t="inlineStr">
        <is>
          <t>US456837BU63</t>
        </is>
      </c>
      <c r="B5" s="75">
        <f>IF($A5="","",IFERROR(INDEX(Sheet1!$B:$B,MATCH($A5,Sheet1!$A:$A,0)),""))</f>
        <v/>
      </c>
      <c r="C5" s="75">
        <f>IF($A5="","",PROPER(_xll.BDP($A5&amp;" Corp","NAME")))</f>
        <v/>
      </c>
      <c r="D5" s="76">
        <f>IF($A5="","",_xll.BDP($A5&amp;" Corp","CPN"))</f>
        <v/>
      </c>
      <c r="E5" s="75">
        <f>IF($A5="","",_xll.BDP($A5&amp;" Corp","PAYMENT_RANK"))</f>
        <v/>
      </c>
      <c r="F5" s="100">
        <f>IF($A5="","",_xll.BDP($A5&amp;" Corp","MATURITY"))</f>
        <v/>
      </c>
      <c r="G5" s="75">
        <f>IF($A5="","",PROPER(_xll.BDP($A5&amp;" Corp","COUNTRY_FULL_NAME")))</f>
        <v/>
      </c>
      <c r="H5" s="75">
        <f>IF($A5="","",_xll.BDP($A5&amp;" Corp","INDUSTRY_SECTOR"))</f>
        <v/>
      </c>
      <c r="I5" s="101">
        <f>IF($A5="","",IFERROR(_xll.BDP($A5&amp;" Corp","MIN_PIECE")/1000,""))</f>
        <v/>
      </c>
      <c r="J5" s="31">
        <f>IF($A5="","",_xll.BDP($A5&amp;" Corp","PX_LAST"))</f>
        <v/>
      </c>
      <c r="K5" s="31">
        <f>IF($A5="","",_xll.BDP($A5&amp;" Corp","YAS_BOND_YLD","YAS_YLD_FLAG=15"))</f>
        <v/>
      </c>
      <c r="L5" s="31">
        <f>IF($A5="","",K5-_xll.BDP($A5&amp;" Corp","YAS_BOND_YLD","YAS_YLD_FLAG=15","SETTLE_DT",Company_desc!$A$1))</f>
        <v/>
      </c>
      <c r="M5" s="31">
        <f>IF($A5="","",K5-_xll.BDP($A5&amp;" Corp","YAS_BOND_YLD","YAS_YLD_FLAG=15","SETTLE_DT",Company_desc!$A$2))</f>
        <v/>
      </c>
      <c r="N5" s="79">
        <f>IF($A5="","",_xll.BDP($A5&amp;" Corp","YAS_OAS_SPRD"))</f>
        <v/>
      </c>
      <c r="O5" s="67">
        <f>IF($A5="","",_xll.BDP($A5&amp;" Corp","YAS_MOD_DUR"))</f>
        <v/>
      </c>
      <c r="P5" s="80">
        <f>IF($A5="","",IFERROR(INDEX(Sheet1!$P:$P,MATCH($A5,Sheet1!$A:$A,0)),""))</f>
        <v/>
      </c>
      <c r="Q5" s="75">
        <f>IF($A5="","",IFERROR(INDEX(Company_desc!$C:$C,MATCH($A5,Company_desc!$A:$A,0)),IFERROR(INDEX(Sheet1!$Q:$Q,MATCH($A5,Sheet1!$A:$A,0)),"")))</f>
        <v/>
      </c>
      <c r="R5" s="75">
        <f>IF($A5="","",_xll.BDP($A5&amp;" Corp","CRNCY"))</f>
        <v/>
      </c>
      <c r="S5" s="75">
        <f>IF($A5="","",IFERROR(INDEX(Sheet1!$S:$S,MATCH($A5,Sheet1!$A:$A,0)),""))</f>
        <v/>
      </c>
      <c r="T5" s="75">
        <f>IF($A5="","",IFERROR(INDEX(Sheet1!$T:$T,MATCH($A5,Sheet1!$A:$A,0)),_xll.BDP($A5&amp;" Corp","RTG_SP")))</f>
        <v/>
      </c>
      <c r="U5" s="75">
        <f>IF($A5="","",IFERROR(INDEX(Sheet1!$U:$U,MATCH($A5,Sheet1!$A:$A,0)),""))</f>
        <v/>
      </c>
      <c r="W5" s="81">
        <f>IF($A5="","",N5-_xll.BDP($A5&amp;" Corp","YAS_OAS_SPRD","SETTLE_DT",Company_desc!$A$1))</f>
        <v/>
      </c>
      <c r="X5" s="81">
        <f>IF($A5="","",N5-_xll.BDP($A5&amp;" Corp","YAS_OAS_SPRD","SETTLE_DT",Company_desc!$A$2))</f>
        <v/>
      </c>
      <c r="Y5" s="80">
        <f>IF($A5="","",N5-_xll.BDP($A5&amp;" Corp","YAS_OAS_SPRD","SETTLE_DT",Company_desc!$D$1))</f>
        <v/>
      </c>
      <c r="Z5" s="82">
        <f>IF($A5="","",K5-_xll.BDP($A5&amp;" Corp","YAS_BOND_YLD","YAS_YLD_FLAG=15","SETTLE_DT",Company_desc!$D$1))</f>
        <v/>
      </c>
      <c r="AA5" s="80">
        <f>IF($A5="","",_xll.BDP($A5&amp;" Corp","YAS_OAS_SPRD","SETTLE_DT",Company_desc!$D$1))</f>
        <v/>
      </c>
    </row>
    <row r="6">
      <c r="A6" s="23" t="inlineStr">
        <is>
          <t>US05971KAV17</t>
        </is>
      </c>
      <c r="B6" s="75">
        <f>IF($A6="","",IFERROR(INDEX(Sheet1!$B:$B,MATCH($A6,Sheet1!$A:$A,0)),""))</f>
        <v/>
      </c>
      <c r="C6" s="75">
        <f>IF($A6="","",PROPER(_xll.BDP($A6&amp;" Corp","NAME")))</f>
        <v/>
      </c>
      <c r="D6" s="76">
        <f>IF($A6="","",_xll.BDP($A6&amp;" Corp","CPN"))</f>
        <v/>
      </c>
      <c r="E6" s="75">
        <f>IF($A6="","",_xll.BDP($A6&amp;" Corp","PAYMENT_RANK"))</f>
        <v/>
      </c>
      <c r="F6" s="100">
        <f>IF($A6="","",_xll.BDP($A6&amp;" Corp","MATURITY"))</f>
        <v/>
      </c>
      <c r="G6" s="75">
        <f>IF($A6="","",PROPER(_xll.BDP($A6&amp;" Corp","COUNTRY_FULL_NAME")))</f>
        <v/>
      </c>
      <c r="H6" s="75">
        <f>IF($A6="","",_xll.BDP($A6&amp;" Corp","INDUSTRY_SECTOR"))</f>
        <v/>
      </c>
      <c r="I6" s="101">
        <f>IF($A6="","",IFERROR(_xll.BDP($A6&amp;" Corp","MIN_PIECE")/1000,""))</f>
        <v/>
      </c>
      <c r="J6" s="31">
        <f>IF($A6="","",_xll.BDP($A6&amp;" Corp","PX_LAST"))</f>
        <v/>
      </c>
      <c r="K6" s="31">
        <f>IF($A6="","",_xll.BDP($A6&amp;" Corp","YAS_BOND_YLD","YAS_YLD_FLAG=15"))</f>
        <v/>
      </c>
      <c r="L6" s="31">
        <f>IF($A6="","",K6-_xll.BDP($A6&amp;" Corp","YAS_BOND_YLD","YAS_YLD_FLAG=15","SETTLE_DT",Company_desc!$A$1))</f>
        <v/>
      </c>
      <c r="M6" s="31">
        <f>IF($A6="","",K6-_xll.BDP($A6&amp;" Corp","YAS_BOND_YLD","YAS_YLD_FLAG=15","SETTLE_DT",Company_desc!$A$2))</f>
        <v/>
      </c>
      <c r="N6" s="79">
        <f>IF($A6="","",_xll.BDP($A6&amp;" Corp","YAS_OAS_SPRD"))</f>
        <v/>
      </c>
      <c r="O6" s="82">
        <f>IF($A6="","",_xll.BDP($A6&amp;" Corp","YAS_MOD_DUR"))</f>
        <v/>
      </c>
      <c r="P6" s="80">
        <f>IF($A6="","",IFERROR(INDEX(Sheet1!$P:$P,MATCH($A6,Sheet1!$A:$A,0)),""))</f>
        <v/>
      </c>
      <c r="Q6" s="75">
        <f>IF($A6="","",IFERROR(INDEX(Company_desc!$C:$C,MATCH($A6,Company_desc!$A:$A,0)),IFERROR(INDEX(Sheet1!$Q:$Q,MATCH($A6,Sheet1!$A:$A,0)),"")))</f>
        <v/>
      </c>
      <c r="R6" s="75">
        <f>IF($A6="","",_xll.BDP($A6&amp;" Corp","CRNCY"))</f>
        <v/>
      </c>
      <c r="S6" s="75">
        <f>IF($A6="","",IFERROR(INDEX(Sheet1!$S:$S,MATCH($A6,Sheet1!$A:$A,0)),""))</f>
        <v/>
      </c>
      <c r="T6" s="75">
        <f>IF($A6="","",IFERROR(INDEX(Sheet1!$T:$T,MATCH($A6,Sheet1!$A:$A,0)),_xll.BDP($A6&amp;" Corp","RTG_SP")))</f>
        <v/>
      </c>
      <c r="U6" s="75">
        <f>IF($A6="","",IFERROR(INDEX(Sheet1!$U:$U,MATCH($A6,Sheet1!$A:$A,0)),""))</f>
        <v/>
      </c>
      <c r="W6" s="81">
        <f>IF($A6="","",N6-_xll.BDP($A6&amp;" Corp","YAS_OAS_SPRD","SETTLE_DT",Company_desc!$A$1))</f>
        <v/>
      </c>
      <c r="X6" s="81">
        <f>IF($A6="","",N6-_xll.BDP($A6&amp;" Corp","YAS_OAS_SPRD","SETTLE_DT",Company_desc!$A$2))</f>
        <v/>
      </c>
      <c r="Y6" s="80">
        <f>IF($A6="","",N6-_xll.BDP($A6&amp;" Corp","YAS_OAS_SPRD","SETTLE_DT",Company_desc!$D$1))</f>
        <v/>
      </c>
      <c r="Z6" s="82">
        <f>IF($A6="","",K6-_xll.BDP($A6&amp;" Corp","YAS_BOND_YLD","YAS_YLD_FLAG=15","SETTLE_DT",Company_desc!$D$1))</f>
        <v/>
      </c>
      <c r="AA6" s="80">
        <f>IF($A6="","",_xll.BDP($A6&amp;" Corp","YAS_OAS_SPRD","SETTLE_DT",Company_desc!$D$1))</f>
        <v/>
      </c>
    </row>
    <row r="7">
      <c r="A7" s="23" t="inlineStr">
        <is>
          <t>US24703DBT72</t>
        </is>
      </c>
      <c r="B7" s="75">
        <f>IF($A7="","",IFERROR(INDEX(Sheet1!$B:$B,MATCH($A7,Sheet1!$A:$A,0)),""))</f>
        <v/>
      </c>
      <c r="C7" s="75">
        <f>IF($A7="","",PROPER(_xll.BDP($A7&amp;" Corp","NAME")))</f>
        <v/>
      </c>
      <c r="D7" s="76">
        <f>IF($A7="","",_xll.BDP($A7&amp;" Corp","CPN"))</f>
        <v/>
      </c>
      <c r="E7" s="75">
        <f>IF($A7="","",_xll.BDP($A7&amp;" Corp","PAYMENT_RANK"))</f>
        <v/>
      </c>
      <c r="F7" s="100">
        <f>IF($A7="","",_xll.BDP($A7&amp;" Corp","MATURITY"))</f>
        <v/>
      </c>
      <c r="G7" s="75">
        <f>IF($A7="","",PROPER(_xll.BDP($A7&amp;" Corp","COUNTRY_FULL_NAME")))</f>
        <v/>
      </c>
      <c r="H7" s="75">
        <f>IF($A7="","",_xll.BDP($A7&amp;" Corp","INDUSTRY_SECTOR"))</f>
        <v/>
      </c>
      <c r="I7" s="101">
        <f>IF($A7="","",IFERROR(_xll.BDP($A7&amp;" Corp","MIN_PIECE")/1000,""))</f>
        <v/>
      </c>
      <c r="J7" s="31">
        <f>IF($A7="","",_xll.BDP($A7&amp;" Corp","PX_LAST"))</f>
        <v/>
      </c>
      <c r="K7" s="31">
        <f>IF($A7="","",_xll.BDP($A7&amp;" Corp","YAS_BOND_YLD","YAS_YLD_FLAG=15"))</f>
        <v/>
      </c>
      <c r="L7" s="31">
        <f>IF($A7="","",K7-_xll.BDP($A7&amp;" Corp","YAS_BOND_YLD","YAS_YLD_FLAG=15","SETTLE_DT",Company_desc!$A$1))</f>
        <v/>
      </c>
      <c r="M7" s="31">
        <f>IF($A7="","",K7-_xll.BDP($A7&amp;" Corp","YAS_BOND_YLD","YAS_YLD_FLAG=15","SETTLE_DT",Company_desc!$A$2))</f>
        <v/>
      </c>
      <c r="N7" s="79">
        <f>IF($A7="","",_xll.BDP($A7&amp;" Corp","YAS_OAS_SPRD"))</f>
        <v/>
      </c>
      <c r="O7" s="67">
        <f>IF($A7="","",_xll.BDP($A7&amp;" Corp","YAS_MOD_DUR"))</f>
        <v/>
      </c>
      <c r="P7" s="80">
        <f>IF($A7="","",IFERROR(INDEX(Sheet1!$P:$P,MATCH($A7,Sheet1!$A:$A,0)),""))</f>
        <v/>
      </c>
      <c r="Q7" s="75">
        <f>IF($A7="","",IFERROR(INDEX(Company_desc!$C:$C,MATCH($A7,Company_desc!$A:$A,0)),IFERROR(INDEX(Sheet1!$Q:$Q,MATCH($A7,Sheet1!$A:$A,0)),"")))</f>
        <v/>
      </c>
      <c r="R7" s="75">
        <f>IF($A7="","",_xll.BDP($A7&amp;" Corp","CRNCY"))</f>
        <v/>
      </c>
      <c r="S7" s="75">
        <f>IF($A7="","",IFERROR(INDEX(Sheet1!$S:$S,MATCH($A7,Sheet1!$A:$A,0)),""))</f>
        <v/>
      </c>
      <c r="T7" s="75">
        <f>IF($A7="","",IFERROR(INDEX(Sheet1!$T:$T,MATCH($A7,Sheet1!$A:$A,0)),_xll.BDP($A7&amp;" Corp","RTG_SP")))</f>
        <v/>
      </c>
      <c r="U7" s="75">
        <f>IF($A7="","",IFERROR(INDEX(Sheet1!$U:$U,MATCH($A7,Sheet1!$A:$A,0)),""))</f>
        <v/>
      </c>
      <c r="W7" s="81">
        <f>IF($A7="","",N7-_xll.BDP($A7&amp;" Corp","YAS_OAS_SPRD","SETTLE_DT",Company_desc!$A$1))</f>
        <v/>
      </c>
      <c r="X7" s="81">
        <f>IF($A7="","",N7-_xll.BDP($A7&amp;" Corp","YAS_OAS_SPRD","SETTLE_DT",Company_desc!$A$2))</f>
        <v/>
      </c>
      <c r="Y7" s="80">
        <f>IF($A7="","",N7-_xll.BDP($A7&amp;" Corp","YAS_OAS_SPRD","SETTLE_DT",Company_desc!$D$1))</f>
        <v/>
      </c>
      <c r="Z7" s="82">
        <f>IF($A7="","",K7-_xll.BDP($A7&amp;" Corp","YAS_BOND_YLD","YAS_YLD_FLAG=15","SETTLE_DT",Company_desc!$D$1))</f>
        <v/>
      </c>
      <c r="AA7" s="80">
        <f>IF($A7="","",_xll.BDP($A7&amp;" Corp","YAS_OAS_SPRD","SETTLE_DT",Company_desc!$D$1))</f>
        <v/>
      </c>
    </row>
    <row r="8">
      <c r="A8" s="23" t="inlineStr">
        <is>
          <t>USE2428RAL99</t>
        </is>
      </c>
      <c r="B8" s="75">
        <f>IF($A8="","",IFERROR(INDEX(Sheet1!$B:$B,MATCH($A8,Sheet1!$A:$A,0)),""))</f>
        <v/>
      </c>
      <c r="C8" s="75">
        <f>IF($A8="","",PROPER(_xll.BDP($A8&amp;" Corp","NAME")))</f>
        <v/>
      </c>
      <c r="D8" s="76">
        <f>IF($A8="","",_xll.BDP($A8&amp;" Corp","CPN"))</f>
        <v/>
      </c>
      <c r="E8" s="75">
        <f>IF($A8="","",_xll.BDP($A8&amp;" Corp","PAYMENT_RANK"))</f>
        <v/>
      </c>
      <c r="F8" s="100">
        <f>IF($A8="","",_xll.BDP($A8&amp;" Corp","MATURITY"))</f>
        <v/>
      </c>
      <c r="G8" s="75">
        <f>IF($A8="","",PROPER(_xll.BDP($A8&amp;" Corp","COUNTRY_FULL_NAME")))</f>
        <v/>
      </c>
      <c r="H8" s="75">
        <f>IF($A8="","",_xll.BDP($A8&amp;" Corp","INDUSTRY_SECTOR"))</f>
        <v/>
      </c>
      <c r="I8" s="101">
        <f>IF($A8="","",IFERROR(_xll.BDP($A8&amp;" Corp","MIN_PIECE")/1000,""))</f>
        <v/>
      </c>
      <c r="J8" s="31">
        <f>IF($A8="","",_xll.BDP($A8&amp;" Corp","PX_LAST"))</f>
        <v/>
      </c>
      <c r="K8" s="31">
        <f>IF($A8="","",_xll.BDP($A8&amp;" Corp","YAS_BOND_YLD","YAS_YLD_FLAG=15"))</f>
        <v/>
      </c>
      <c r="L8" s="31">
        <f>IF($A8="","",K8-_xll.BDP($A8&amp;" Corp","YAS_BOND_YLD","YAS_YLD_FLAG=15","SETTLE_DT",Company_desc!$A$1))</f>
        <v/>
      </c>
      <c r="M8" s="31">
        <f>IF($A8="","",K8-_xll.BDP($A8&amp;" Corp","YAS_BOND_YLD","YAS_YLD_FLAG=15","SETTLE_DT",Company_desc!$A$2))</f>
        <v/>
      </c>
      <c r="N8" s="79">
        <f>IF($A8="","",_xll.BDP($A8&amp;" Corp","YAS_OAS_SPRD"))</f>
        <v/>
      </c>
      <c r="O8" s="67">
        <f>IF($A8="","",_xll.BDP($A8&amp;" Corp","YAS_MOD_DUR"))</f>
        <v/>
      </c>
      <c r="P8" s="80">
        <f>IF($A8="","",IFERROR(INDEX(Sheet1!$P:$P,MATCH($A8,Sheet1!$A:$A,0)),""))</f>
        <v/>
      </c>
      <c r="Q8" s="75">
        <f>IF($A8="","",IFERROR(INDEX(Company_desc!$C:$C,MATCH($A8,Company_desc!$A:$A,0)),IFERROR(INDEX(Sheet1!$Q:$Q,MATCH($A8,Sheet1!$A:$A,0)),"")))</f>
        <v/>
      </c>
      <c r="R8" s="75">
        <f>IF($A8="","",_xll.BDP($A8&amp;" Corp","CRNCY"))</f>
        <v/>
      </c>
      <c r="S8" s="75">
        <f>IF($A8="","",IFERROR(INDEX(Sheet1!$S:$S,MATCH($A8,Sheet1!$A:$A,0)),""))</f>
        <v/>
      </c>
      <c r="T8" s="75">
        <f>IF($A8="","",IFERROR(INDEX(Sheet1!$T:$T,MATCH($A8,Sheet1!$A:$A,0)),_xll.BDP($A8&amp;" Corp","RTG_SP")))</f>
        <v/>
      </c>
      <c r="U8" s="75">
        <f>IF($A8="","",IFERROR(INDEX(Sheet1!$U:$U,MATCH($A8,Sheet1!$A:$A,0)),""))</f>
        <v/>
      </c>
      <c r="W8" s="81">
        <f>IF($A8="","",N8-_xll.BDP($A8&amp;" Corp","YAS_OAS_SPRD","SETTLE_DT",Company_desc!$A$1))</f>
        <v/>
      </c>
      <c r="X8" s="81">
        <f>IF($A8="","",N8-_xll.BDP($A8&amp;" Corp","YAS_OAS_SPRD","SETTLE_DT",Company_desc!$A$2))</f>
        <v/>
      </c>
      <c r="Y8" s="80">
        <f>IF($A8="","",N8-_xll.BDP($A8&amp;" Corp","YAS_OAS_SPRD","SETTLE_DT",Company_desc!$D$1))</f>
        <v/>
      </c>
      <c r="Z8" s="82">
        <f>IF($A8="","",K8-_xll.BDP($A8&amp;" Corp","YAS_BOND_YLD","YAS_YLD_FLAG=15","SETTLE_DT",Company_desc!$D$1))</f>
        <v/>
      </c>
      <c r="AA8" s="80">
        <f>IF($A8="","",_xll.BDP($A8&amp;" Corp","YAS_OAS_SPRD","SETTLE_DT",Company_desc!$D$1))</f>
        <v/>
      </c>
    </row>
    <row r="9">
      <c r="A9" s="23" t="inlineStr">
        <is>
          <t>US404280FE46</t>
        </is>
      </c>
      <c r="B9" s="75">
        <f>IF($A9="","",IFERROR(INDEX(Sheet1!$B:$B,MATCH($A9,Sheet1!$A:$A,0)),""))</f>
        <v/>
      </c>
      <c r="C9" s="75">
        <f>IF($A9="","",PROPER(_xll.BDP($A9&amp;" Corp","NAME")))</f>
        <v/>
      </c>
      <c r="D9" s="76">
        <f>IF($A9="","",_xll.BDP($A9&amp;" Corp","CPN"))</f>
        <v/>
      </c>
      <c r="E9" s="75">
        <f>IF($A9="","",_xll.BDP($A9&amp;" Corp","PAYMENT_RANK"))</f>
        <v/>
      </c>
      <c r="F9" s="100">
        <f>IF($A9="","",_xll.BDP($A9&amp;" Corp","MATURITY"))</f>
        <v/>
      </c>
      <c r="G9" s="75">
        <f>IF($A9="","",PROPER(_xll.BDP($A9&amp;" Corp","COUNTRY_FULL_NAME")))</f>
        <v/>
      </c>
      <c r="H9" s="75">
        <f>IF($A9="","",_xll.BDP($A9&amp;" Corp","INDUSTRY_SECTOR"))</f>
        <v/>
      </c>
      <c r="I9" s="101">
        <f>IF($A9="","",IFERROR(_xll.BDP($A9&amp;" Corp","MIN_PIECE")/1000,""))</f>
        <v/>
      </c>
      <c r="J9" s="31">
        <f>IF($A9="","",_xll.BDP($A9&amp;" Corp","PX_LAST"))</f>
        <v/>
      </c>
      <c r="K9" s="31">
        <f>IF($A9="","",_xll.BDP($A9&amp;" Corp","YAS_BOND_YLD","YAS_YLD_FLAG=15"))</f>
        <v/>
      </c>
      <c r="L9" s="31">
        <f>IF($A9="","",K9-_xll.BDP($A9&amp;" Corp","YAS_BOND_YLD","YAS_YLD_FLAG=15","SETTLE_DT",Company_desc!$A$1))</f>
        <v/>
      </c>
      <c r="M9" s="31">
        <f>IF($A9="","",K9-_xll.BDP($A9&amp;" Corp","YAS_BOND_YLD","YAS_YLD_FLAG=15","SETTLE_DT",Company_desc!$A$2))</f>
        <v/>
      </c>
      <c r="N9" s="79">
        <f>IF($A9="","",_xll.BDP($A9&amp;" Corp","YAS_OAS_SPRD"))</f>
        <v/>
      </c>
      <c r="O9" s="67">
        <f>IF($A9="","",_xll.BDP($A9&amp;" Corp","YAS_MOD_DUR"))</f>
        <v/>
      </c>
      <c r="P9" s="80">
        <f>IF($A9="","",IFERROR(INDEX(Sheet1!$P:$P,MATCH($A9,Sheet1!$A:$A,0)),""))</f>
        <v/>
      </c>
      <c r="Q9" s="75">
        <f>IF($A9="","",IFERROR(INDEX(Company_desc!$C:$C,MATCH($A9,Company_desc!$A:$A,0)),IFERROR(INDEX(Sheet1!$Q:$Q,MATCH($A9,Sheet1!$A:$A,0)),"")))</f>
        <v/>
      </c>
      <c r="R9" s="75">
        <f>IF($A9="","",_xll.BDP($A9&amp;" Corp","CRNCY"))</f>
        <v/>
      </c>
      <c r="S9" s="75">
        <f>IF($A9="","",IFERROR(INDEX(Sheet1!$S:$S,MATCH($A9,Sheet1!$A:$A,0)),""))</f>
        <v/>
      </c>
      <c r="T9" s="75">
        <f>IF($A9="","",IFERROR(INDEX(Sheet1!$T:$T,MATCH($A9,Sheet1!$A:$A,0)),_xll.BDP($A9&amp;" Corp","RTG_SP")))</f>
        <v/>
      </c>
      <c r="U9" s="75">
        <f>IF($A9="","",IFERROR(INDEX(Sheet1!$U:$U,MATCH($A9,Sheet1!$A:$A,0)),""))</f>
        <v/>
      </c>
      <c r="W9" s="81">
        <f>IF($A9="","",N9-_xll.BDP($A9&amp;" Corp","YAS_OAS_SPRD","SETTLE_DT",Company_desc!$A$1))</f>
        <v/>
      </c>
      <c r="X9" s="81">
        <f>IF($A9="","",N9-_xll.BDP($A9&amp;" Corp","YAS_OAS_SPRD","SETTLE_DT",Company_desc!$A$2))</f>
        <v/>
      </c>
      <c r="Y9" s="80">
        <f>IF($A9="","",N9-_xll.BDP($A9&amp;" Corp","YAS_OAS_SPRD","SETTLE_DT",Company_desc!$D$1))</f>
        <v/>
      </c>
      <c r="Z9" s="82">
        <f>IF($A9="","",K9-_xll.BDP($A9&amp;" Corp","YAS_BOND_YLD","YAS_YLD_FLAG=15","SETTLE_DT",Company_desc!$D$1))</f>
        <v/>
      </c>
      <c r="AA9" s="80">
        <f>IF($A9="","",_xll.BDP($A9&amp;" Corp","YAS_OAS_SPRD","SETTLE_DT",Company_desc!$D$1))</f>
        <v/>
      </c>
    </row>
    <row r="10">
      <c r="A10" s="23" t="inlineStr">
        <is>
          <t>US61748UAM45</t>
        </is>
      </c>
      <c r="B10" s="75">
        <f>IF($A10="","",IFERROR(INDEX(Sheet1!$B:$B,MATCH($A10,Sheet1!$A:$A,0)),""))</f>
        <v/>
      </c>
      <c r="C10" s="75">
        <f>IF($A10="","",PROPER(_xll.BDP($A10&amp;" Corp","NAME")))</f>
        <v/>
      </c>
      <c r="D10" s="76">
        <f>IF($A10="","",_xll.BDP($A10&amp;" Corp","CPN"))</f>
        <v/>
      </c>
      <c r="E10" s="75">
        <f>IF($A10="","",_xll.BDP($A10&amp;" Corp","PAYMENT_RANK"))</f>
        <v/>
      </c>
      <c r="F10" s="100">
        <f>IF($A10="","",_xll.BDP($A10&amp;" Corp","MATURITY"))</f>
        <v/>
      </c>
      <c r="G10" s="75">
        <f>IF($A10="","",PROPER(_xll.BDP($A10&amp;" Corp","COUNTRY_FULL_NAME")))</f>
        <v/>
      </c>
      <c r="H10" s="75">
        <f>IF($A10="","",_xll.BDP($A10&amp;" Corp","INDUSTRY_SECTOR"))</f>
        <v/>
      </c>
      <c r="I10" s="101">
        <f>IF($A10="","",IFERROR(_xll.BDP($A10&amp;" Corp","MIN_PIECE")/1000,""))</f>
        <v/>
      </c>
      <c r="J10" s="31">
        <f>IF($A10="","",_xll.BDP($A10&amp;" Corp","PX_LAST"))</f>
        <v/>
      </c>
      <c r="K10" s="31">
        <f>IF($A10="","",_xll.BDP($A10&amp;" Corp","YAS_BOND_YLD","YAS_YLD_FLAG=15"))</f>
        <v/>
      </c>
      <c r="L10" s="31">
        <f>IF($A10="","",K10-_xll.BDP($A10&amp;" Corp","YAS_BOND_YLD","YAS_YLD_FLAG=15","SETTLE_DT",Company_desc!$A$1))</f>
        <v/>
      </c>
      <c r="M10" s="31">
        <f>IF($A10="","",K10-_xll.BDP($A10&amp;" Corp","YAS_BOND_YLD","YAS_YLD_FLAG=15","SETTLE_DT",Company_desc!$A$2))</f>
        <v/>
      </c>
      <c r="N10" s="79">
        <f>IF($A10="","",_xll.BDP($A10&amp;" Corp","YAS_OAS_SPRD"))</f>
        <v/>
      </c>
      <c r="O10" s="67">
        <f>IF($A10="","",_xll.BDP($A10&amp;" Corp","YAS_MOD_DUR"))</f>
        <v/>
      </c>
      <c r="P10" s="80">
        <f>IF($A10="","",IFERROR(INDEX(Sheet1!$P:$P,MATCH($A10,Sheet1!$A:$A,0)),""))</f>
        <v/>
      </c>
      <c r="Q10" s="75">
        <f>IF($A10="","",IFERROR(INDEX(Company_desc!$C:$C,MATCH($A10,Company_desc!$A:$A,0)),IFERROR(INDEX(Sheet1!$Q:$Q,MATCH($A10,Sheet1!$A:$A,0)),"")))</f>
        <v/>
      </c>
      <c r="R10" s="75">
        <f>IF($A10="","",_xll.BDP($A10&amp;" Corp","CRNCY"))</f>
        <v/>
      </c>
      <c r="S10" s="75">
        <f>IF($A10="","",IFERROR(INDEX(Sheet1!$S:$S,MATCH($A10,Sheet1!$A:$A,0)),""))</f>
        <v/>
      </c>
      <c r="T10" s="75">
        <f>IF($A10="","",IFERROR(INDEX(Sheet1!$T:$T,MATCH($A10,Sheet1!$A:$A,0)),_xll.BDP($A10&amp;" Corp","RTG_SP")))</f>
        <v/>
      </c>
      <c r="U10" s="75">
        <f>IF($A10="","",IFERROR(INDEX(Sheet1!$U:$U,MATCH($A10,Sheet1!$A:$A,0)),""))</f>
        <v/>
      </c>
      <c r="W10" s="81">
        <f>IF($A10="","",N10-_xll.BDP($A10&amp;" Corp","YAS_OAS_SPRD","SETTLE_DT",Company_desc!$A$1))</f>
        <v/>
      </c>
      <c r="X10" s="81">
        <f>IF($A10="","",N10-_xll.BDP($A10&amp;" Corp","YAS_OAS_SPRD","SETTLE_DT",Company_desc!$A$2))</f>
        <v/>
      </c>
      <c r="Y10" s="80">
        <f>IF($A10="","",N10-_xll.BDP($A10&amp;" Corp","YAS_OAS_SPRD","SETTLE_DT",Company_desc!$D$1))</f>
        <v/>
      </c>
      <c r="Z10" s="82">
        <f>IF($A10="","",K10-_xll.BDP($A10&amp;" Corp","YAS_BOND_YLD","YAS_YLD_FLAG=15","SETTLE_DT",Company_desc!$D$1))</f>
        <v/>
      </c>
      <c r="AA10" s="80">
        <f>IF($A10="","",_xll.BDP($A10&amp;" Corp","YAS_OAS_SPRD","SETTLE_DT",Company_desc!$D$1))</f>
        <v/>
      </c>
    </row>
    <row r="11">
      <c r="A11" s="23" t="inlineStr">
        <is>
          <t>XS3074432959</t>
        </is>
      </c>
      <c r="B11" s="75">
        <f>IF($A11="","",IFERROR(INDEX(Sheet1!$B:$B,MATCH($A11,Sheet1!$A:$A,0)),""))</f>
        <v/>
      </c>
      <c r="C11" s="75">
        <f>IF($A11="","",PROPER(_xll.BDP($A11&amp;" Corp","NAME")))</f>
        <v/>
      </c>
      <c r="D11" s="76">
        <f>IF($A11="","",_xll.BDP($A11&amp;" Corp","CPN"))</f>
        <v/>
      </c>
      <c r="E11" s="75">
        <f>IF($A11="","",_xll.BDP($A11&amp;" Corp","PAYMENT_RANK"))</f>
        <v/>
      </c>
      <c r="F11" s="100">
        <f>IF($A11="","",_xll.BDP($A11&amp;" Corp","MATURITY"))</f>
        <v/>
      </c>
      <c r="G11" s="75">
        <f>IF($A11="","",PROPER(_xll.BDP($A11&amp;" Corp","COUNTRY_FULL_NAME")))</f>
        <v/>
      </c>
      <c r="H11" s="75">
        <f>IF($A11="","",_xll.BDP($A11&amp;" Corp","INDUSTRY_SECTOR"))</f>
        <v/>
      </c>
      <c r="I11" s="101">
        <f>IF($A11="","",IFERROR(_xll.BDP($A11&amp;" Corp","MIN_PIECE")/1000,""))</f>
        <v/>
      </c>
      <c r="J11" s="31">
        <f>IF($A11="","",_xll.BDP($A11&amp;" Corp","PX_LAST"))</f>
        <v/>
      </c>
      <c r="K11" s="31">
        <f>IF($A11="","",_xll.BDP($A11&amp;" Corp","YAS_BOND_YLD","YAS_YLD_FLAG=15"))</f>
        <v/>
      </c>
      <c r="L11" s="31">
        <f>IF($A11="","",K11-_xll.BDP($A11&amp;" Corp","YAS_BOND_YLD","YAS_YLD_FLAG=15","SETTLE_DT",Company_desc!$A$1))</f>
        <v/>
      </c>
      <c r="M11" s="31">
        <f>IF($A11="","",K11-_xll.BDP($A11&amp;" Corp","YAS_BOND_YLD","YAS_YLD_FLAG=15","SETTLE_DT",Company_desc!$A$2))</f>
        <v/>
      </c>
      <c r="N11" s="79">
        <f>IF($A11="","",_xll.BDP($A11&amp;" Corp","YAS_OAS_SPRD"))</f>
        <v/>
      </c>
      <c r="O11" s="67">
        <f>IF($A11="","",_xll.BDP($A11&amp;" Corp","YAS_MOD_DUR"))</f>
        <v/>
      </c>
      <c r="P11" s="80">
        <f>IF($A11="","",IFERROR(INDEX(Sheet1!$P:$P,MATCH($A11,Sheet1!$A:$A,0)),""))</f>
        <v/>
      </c>
      <c r="Q11" s="75">
        <f>IF($A11="","",IFERROR(INDEX(Company_desc!$C:$C,MATCH($A11,Company_desc!$A:$A,0)),IFERROR(INDEX(Sheet1!$Q:$Q,MATCH($A11,Sheet1!$A:$A,0)),"")))</f>
        <v/>
      </c>
      <c r="R11" s="75">
        <f>IF($A11="","",_xll.BDP($A11&amp;" Corp","CRNCY"))</f>
        <v/>
      </c>
      <c r="S11" s="75">
        <f>IF($A11="","",IFERROR(INDEX(Sheet1!$S:$S,MATCH($A11,Sheet1!$A:$A,0)),""))</f>
        <v/>
      </c>
      <c r="T11" s="75">
        <f>IF($A11="","",IFERROR(INDEX(Sheet1!$T:$T,MATCH($A11,Sheet1!$A:$A,0)),_xll.BDP($A11&amp;" Corp","RTG_SP")))</f>
        <v/>
      </c>
      <c r="U11" s="75">
        <f>IF($A11="","",IFERROR(INDEX(Sheet1!$U:$U,MATCH($A11,Sheet1!$A:$A,0)),""))</f>
        <v/>
      </c>
      <c r="W11" s="81">
        <f>IF($A11="","",N11-_xll.BDP($A11&amp;" Corp","YAS_OAS_SPRD","SETTLE_DT",Company_desc!$A$1))</f>
        <v/>
      </c>
      <c r="X11" s="81">
        <f>IF($A11="","",N11-_xll.BDP($A11&amp;" Corp","YAS_OAS_SPRD","SETTLE_DT",Company_desc!$A$2))</f>
        <v/>
      </c>
      <c r="Y11" s="80">
        <f>IF($A11="","",N11-_xll.BDP($A11&amp;" Corp","YAS_OAS_SPRD","SETTLE_DT",Company_desc!$D$1))</f>
        <v/>
      </c>
      <c r="Z11" s="82">
        <f>IF($A11="","",K11-_xll.BDP($A11&amp;" Corp","YAS_BOND_YLD","YAS_YLD_FLAG=15","SETTLE_DT",Company_desc!$D$1))</f>
        <v/>
      </c>
      <c r="AA11" s="80">
        <f>IF($A11="","",_xll.BDP($A11&amp;" Corp","YAS_OAS_SPRD","SETTLE_DT",Company_desc!$D$1))</f>
        <v/>
      </c>
    </row>
    <row r="12">
      <c r="A12" s="23" t="inlineStr">
        <is>
          <t>USU7603CAB29</t>
        </is>
      </c>
      <c r="B12" s="75">
        <f>IF($A12="","",IFERROR(INDEX(Sheet1!$B:$B,MATCH($A12,Sheet1!$A:$A,0)),""))</f>
        <v/>
      </c>
      <c r="C12" s="75">
        <f>IF($A12="","",PROPER(_xll.BDP($A12&amp;" Corp","NAME")))</f>
        <v/>
      </c>
      <c r="D12" s="76">
        <f>IF($A12="","",_xll.BDP($A12&amp;" Corp","CPN"))</f>
        <v/>
      </c>
      <c r="E12" s="75">
        <f>IF($A12="","",_xll.BDP($A12&amp;" Corp","PAYMENT_RANK"))</f>
        <v/>
      </c>
      <c r="F12" s="100">
        <f>IF($A12="","",_xll.BDP($A12&amp;" Corp","MATURITY"))</f>
        <v/>
      </c>
      <c r="G12" s="75">
        <f>IF($A12="","",PROPER(_xll.BDP($A12&amp;" Corp","COUNTRY_FULL_NAME")))</f>
        <v/>
      </c>
      <c r="H12" s="75">
        <f>IF($A12="","",_xll.BDP($A12&amp;" Corp","INDUSTRY_SECTOR"))</f>
        <v/>
      </c>
      <c r="I12" s="101">
        <f>IF($A12="","",IFERROR(_xll.BDP($A12&amp;" Corp","MIN_PIECE")/1000,""))</f>
        <v/>
      </c>
      <c r="J12" s="31">
        <f>IF($A12="","",_xll.BDP($A12&amp;" Corp","PX_LAST"))</f>
        <v/>
      </c>
      <c r="K12" s="31">
        <f>IF($A12="","",_xll.BDP($A12&amp;" Corp","YAS_BOND_YLD","YAS_YLD_FLAG=15"))</f>
        <v/>
      </c>
      <c r="L12" s="31">
        <f>IF($A12="","",K12-_xll.BDP($A12&amp;" Corp","YAS_BOND_YLD","YAS_YLD_FLAG=15","SETTLE_DT",Company_desc!$A$1))</f>
        <v/>
      </c>
      <c r="M12" s="31">
        <f>IF($A12="","",K12-_xll.BDP($A12&amp;" Corp","YAS_BOND_YLD","YAS_YLD_FLAG=15","SETTLE_DT",Company_desc!$A$2))</f>
        <v/>
      </c>
      <c r="N12" s="79">
        <f>IF($A12="","",_xll.BDP($A12&amp;" Corp","YAS_OAS_SPRD"))</f>
        <v/>
      </c>
      <c r="O12" s="82">
        <f>IF($A12="","",_xll.BDP($A12&amp;" Corp","YAS_MOD_DUR"))</f>
        <v/>
      </c>
      <c r="P12" s="80">
        <f>IF($A12="","",IFERROR(INDEX(Sheet1!$P:$P,MATCH($A12,Sheet1!$A:$A,0)),""))</f>
        <v/>
      </c>
      <c r="Q12" s="75">
        <f>IF($A12="","",IFERROR(INDEX(Company_desc!$C:$C,MATCH($A12,Company_desc!$A:$A,0)),IFERROR(INDEX(Sheet1!$Q:$Q,MATCH($A12,Sheet1!$A:$A,0)),"")))</f>
        <v/>
      </c>
      <c r="R12" s="75">
        <f>IF($A12="","",_xll.BDP($A12&amp;" Corp","CRNCY"))</f>
        <v/>
      </c>
      <c r="S12" s="75">
        <f>IF($A12="","",IFERROR(INDEX(Sheet1!$S:$S,MATCH($A12,Sheet1!$A:$A,0)),""))</f>
        <v/>
      </c>
      <c r="T12" s="75">
        <f>IF($A12="","",IFERROR(INDEX(Sheet1!$T:$T,MATCH($A12,Sheet1!$A:$A,0)),_xll.BDP($A12&amp;" Corp","RTG_SP")))</f>
        <v/>
      </c>
      <c r="U12" s="75">
        <f>IF($A12="","",IFERROR(INDEX(Sheet1!$U:$U,MATCH($A12,Sheet1!$A:$A,0)),""))</f>
        <v/>
      </c>
      <c r="W12" s="81">
        <f>IF($A12="","",N12-_xll.BDP($A12&amp;" Corp","YAS_OAS_SPRD","SETTLE_DT",Company_desc!$A$1))</f>
        <v/>
      </c>
      <c r="X12" s="81">
        <f>IF($A12="","",N12-_xll.BDP($A12&amp;" Corp","YAS_OAS_SPRD","SETTLE_DT",Company_desc!$A$2))</f>
        <v/>
      </c>
      <c r="Y12" s="80">
        <f>IF($A12="","",N12-_xll.BDP($A12&amp;" Corp","YAS_OAS_SPRD","SETTLE_DT",Company_desc!$D$1))</f>
        <v/>
      </c>
      <c r="Z12" s="82">
        <f>IF($A12="","",K12-_xll.BDP($A12&amp;" Corp","YAS_BOND_YLD","YAS_YLD_FLAG=15","SETTLE_DT",Company_desc!$D$1))</f>
        <v/>
      </c>
      <c r="AA12" s="80">
        <f>IF($A12="","",_xll.BDP($A12&amp;" Corp","YAS_OAS_SPRD","SETTLE_DT",Company_desc!$D$1))</f>
        <v/>
      </c>
    </row>
    <row r="13">
      <c r="A13" s="23" t="inlineStr">
        <is>
          <t>USU37818BY30</t>
        </is>
      </c>
      <c r="B13" s="75">
        <f>IF($A13="","",IFERROR(INDEX(Sheet1!$B:$B,MATCH($A13,Sheet1!$A:$A,0)),""))</f>
        <v/>
      </c>
      <c r="C13" s="75">
        <f>IF($A13="","",PROPER(_xll.BDP($A13&amp;" Corp","NAME")))</f>
        <v/>
      </c>
      <c r="D13" s="76">
        <f>IF($A13="","",_xll.BDP($A13&amp;" Corp","CPN"))</f>
        <v/>
      </c>
      <c r="E13" s="75">
        <f>IF($A13="","",_xll.BDP($A13&amp;" Corp","PAYMENT_RANK"))</f>
        <v/>
      </c>
      <c r="F13" s="100">
        <f>IF($A13="","",_xll.BDP($A13&amp;" Corp","MATURITY"))</f>
        <v/>
      </c>
      <c r="G13" s="75">
        <f>IF($A13="","",PROPER(_xll.BDP($A13&amp;" Corp","COUNTRY_FULL_NAME")))</f>
        <v/>
      </c>
      <c r="H13" s="75">
        <f>IF($A13="","",_xll.BDP($A13&amp;" Corp","INDUSTRY_SECTOR"))</f>
        <v/>
      </c>
      <c r="I13" s="101">
        <f>IF($A13="","",IFERROR(_xll.BDP($A13&amp;" Corp","MIN_PIECE")/1000,""))</f>
        <v/>
      </c>
      <c r="J13" s="31">
        <f>IF($A13="","",_xll.BDP($A13&amp;" Corp","PX_LAST"))</f>
        <v/>
      </c>
      <c r="K13" s="31">
        <f>IF($A13="","",_xll.BDP($A13&amp;" Corp","YAS_BOND_YLD","YAS_YLD_FLAG=15"))</f>
        <v/>
      </c>
      <c r="L13" s="31">
        <f>IF($A13="","",K13-_xll.BDP($A13&amp;" Corp","YAS_BOND_YLD","YAS_YLD_FLAG=15","SETTLE_DT",Company_desc!$A$1))</f>
        <v/>
      </c>
      <c r="M13" s="31">
        <f>IF($A13="","",K13-_xll.BDP($A13&amp;" Corp","YAS_BOND_YLD","YAS_YLD_FLAG=15","SETTLE_DT",Company_desc!$A$2))</f>
        <v/>
      </c>
      <c r="N13" s="79">
        <f>IF($A13="","",_xll.BDP($A13&amp;" Corp","YAS_OAS_SPRD"))</f>
        <v/>
      </c>
      <c r="O13" s="67">
        <f>IF($A13="","",_xll.BDP($A13&amp;" Corp","YAS_MOD_DUR"))</f>
        <v/>
      </c>
      <c r="P13" s="80">
        <f>IF($A13="","",IFERROR(INDEX(Sheet1!$P:$P,MATCH($A13,Sheet1!$A:$A,0)),""))</f>
        <v/>
      </c>
      <c r="Q13" s="75">
        <f>IF($A13="","",IFERROR(INDEX(Company_desc!$C:$C,MATCH($A13,Company_desc!$A:$A,0)),IFERROR(INDEX(Sheet1!$Q:$Q,MATCH($A13,Sheet1!$A:$A,0)),"")))</f>
        <v/>
      </c>
      <c r="R13" s="75">
        <f>IF($A13="","",_xll.BDP($A13&amp;" Corp","CRNCY"))</f>
        <v/>
      </c>
      <c r="S13" s="75">
        <f>IF($A13="","",IFERROR(INDEX(Sheet1!$S:$S,MATCH($A13,Sheet1!$A:$A,0)),""))</f>
        <v/>
      </c>
      <c r="T13" s="75">
        <f>IF($A13="","",IFERROR(INDEX(Sheet1!$T:$T,MATCH($A13,Sheet1!$A:$A,0)),_xll.BDP($A13&amp;" Corp","RTG_SP")))</f>
        <v/>
      </c>
      <c r="U13" s="75">
        <f>IF($A13="","",IFERROR(INDEX(Sheet1!$U:$U,MATCH($A13,Sheet1!$A:$A,0)),""))</f>
        <v/>
      </c>
      <c r="W13" s="81">
        <f>IF($A13="","",N13-_xll.BDP($A13&amp;" Corp","YAS_OAS_SPRD","SETTLE_DT",Company_desc!$A$1))</f>
        <v/>
      </c>
      <c r="X13" s="81">
        <f>IF($A13="","",N13-_xll.BDP($A13&amp;" Corp","YAS_OAS_SPRD","SETTLE_DT",Company_desc!$A$2))</f>
        <v/>
      </c>
      <c r="Y13" s="80">
        <f>IF($A13="","",N13-_xll.BDP($A13&amp;" Corp","YAS_OAS_SPRD","SETTLE_DT",Company_desc!$D$1))</f>
        <v/>
      </c>
      <c r="Z13" s="82">
        <f>IF($A13="","",K13-_xll.BDP($A13&amp;" Corp","YAS_BOND_YLD","YAS_YLD_FLAG=15","SETTLE_DT",Company_desc!$D$1))</f>
        <v/>
      </c>
      <c r="AA13" s="80">
        <f>IF($A13="","",_xll.BDP($A13&amp;" Corp","YAS_OAS_SPRD","SETTLE_DT",Company_desc!$D$1))</f>
        <v/>
      </c>
    </row>
    <row r="14">
      <c r="A14" s="23" t="inlineStr">
        <is>
          <t>US06051GNA30</t>
        </is>
      </c>
      <c r="B14" s="75">
        <f>IF($A14="","",IFERROR(INDEX(Sheet1!$B:$B,MATCH($A14,Sheet1!$A:$A,0)),""))</f>
        <v/>
      </c>
      <c r="C14" s="75">
        <f>IF($A14="","",PROPER(_xll.BDP($A14&amp;" Corp","NAME")))</f>
        <v/>
      </c>
      <c r="D14" s="76">
        <f>IF($A14="","",_xll.BDP($A14&amp;" Corp","CPN"))</f>
        <v/>
      </c>
      <c r="E14" s="75">
        <f>IF($A14="","",_xll.BDP($A14&amp;" Corp","PAYMENT_RANK"))</f>
        <v/>
      </c>
      <c r="F14" s="100">
        <f>IF($A14="","",_xll.BDP($A14&amp;" Corp","MATURITY"))</f>
        <v/>
      </c>
      <c r="G14" s="75">
        <f>IF($A14="","",PROPER(_xll.BDP($A14&amp;" Corp","COUNTRY_FULL_NAME")))</f>
        <v/>
      </c>
      <c r="H14" s="75">
        <f>IF($A14="","",_xll.BDP($A14&amp;" Corp","INDUSTRY_SECTOR"))</f>
        <v/>
      </c>
      <c r="I14" s="101">
        <f>IF($A14="","",IFERROR(_xll.BDP($A14&amp;" Corp","MIN_PIECE")/1000,""))</f>
        <v/>
      </c>
      <c r="J14" s="31">
        <f>IF($A14="","",_xll.BDP($A14&amp;" Corp","PX_LAST"))</f>
        <v/>
      </c>
      <c r="K14" s="31">
        <f>IF($A14="","",_xll.BDP($A14&amp;" Corp","YAS_BOND_YLD","YAS_YLD_FLAG=15"))</f>
        <v/>
      </c>
      <c r="L14" s="31">
        <f>IF($A14="","",K14-_xll.BDP($A14&amp;" Corp","YAS_BOND_YLD","YAS_YLD_FLAG=15","SETTLE_DT",Company_desc!$A$1))</f>
        <v/>
      </c>
      <c r="M14" s="31">
        <f>IF($A14="","",K14-_xll.BDP($A14&amp;" Corp","YAS_BOND_YLD","YAS_YLD_FLAG=15","SETTLE_DT",Company_desc!$A$2))</f>
        <v/>
      </c>
      <c r="N14" s="79">
        <f>IF($A14="","",_xll.BDP($A14&amp;" Corp","YAS_OAS_SPRD"))</f>
        <v/>
      </c>
      <c r="O14" s="67">
        <f>IF($A14="","",_xll.BDP($A14&amp;" Corp","YAS_MOD_DUR"))</f>
        <v/>
      </c>
      <c r="P14" s="80">
        <f>IF($A14="","",IFERROR(INDEX(Sheet1!$P:$P,MATCH($A14,Sheet1!$A:$A,0)),""))</f>
        <v/>
      </c>
      <c r="Q14" s="75">
        <f>IF($A14="","",IFERROR(INDEX(Company_desc!$C:$C,MATCH($A14,Company_desc!$A:$A,0)),IFERROR(INDEX(Sheet1!$Q:$Q,MATCH($A14,Sheet1!$A:$A,0)),"")))</f>
        <v/>
      </c>
      <c r="R14" s="75">
        <f>IF($A14="","",_xll.BDP($A14&amp;" Corp","CRNCY"))</f>
        <v/>
      </c>
      <c r="S14" s="75">
        <f>IF($A14="","",IFERROR(INDEX(Sheet1!$S:$S,MATCH($A14,Sheet1!$A:$A,0)),""))</f>
        <v/>
      </c>
      <c r="T14" s="75">
        <f>IF($A14="","",IFERROR(INDEX(Sheet1!$T:$T,MATCH($A14,Sheet1!$A:$A,0)),_xll.BDP($A14&amp;" Corp","RTG_SP")))</f>
        <v/>
      </c>
      <c r="U14" s="75">
        <f>IF($A14="","",IFERROR(INDEX(Sheet1!$U:$U,MATCH($A14,Sheet1!$A:$A,0)),""))</f>
        <v/>
      </c>
      <c r="W14" s="81">
        <f>IF($A14="","",N14-_xll.BDP($A14&amp;" Corp","YAS_OAS_SPRD","SETTLE_DT",Company_desc!$A$1))</f>
        <v/>
      </c>
      <c r="X14" s="81">
        <f>IF($A14="","",N14-_xll.BDP($A14&amp;" Corp","YAS_OAS_SPRD","SETTLE_DT",Company_desc!$A$2))</f>
        <v/>
      </c>
      <c r="Y14" s="80">
        <f>IF($A14="","",N14-_xll.BDP($A14&amp;" Corp","YAS_OAS_SPRD","SETTLE_DT",Company_desc!$D$1))</f>
        <v/>
      </c>
      <c r="Z14" s="82">
        <f>IF($A14="","",K14-_xll.BDP($A14&amp;" Corp","YAS_BOND_YLD","YAS_YLD_FLAG=15","SETTLE_DT",Company_desc!$D$1))</f>
        <v/>
      </c>
      <c r="AA14" s="80">
        <f>IF($A14="","",_xll.BDP($A14&amp;" Corp","YAS_OAS_SPRD","SETTLE_DT",Company_desc!$D$1))</f>
        <v/>
      </c>
    </row>
    <row r="15">
      <c r="A15" s="23" t="inlineStr">
        <is>
          <t>XS3270992640</t>
        </is>
      </c>
      <c r="B15" s="75">
        <f>IF($A15="","",IFERROR(INDEX(Sheet1!$B:$B,MATCH($A15,Sheet1!$A:$A,0)),""))</f>
        <v/>
      </c>
      <c r="C15" s="75">
        <f>IF($A15="","",PROPER(_xll.BDP($A15&amp;" Corp","NAME")))</f>
        <v/>
      </c>
      <c r="D15" s="76">
        <f>IF($A15="","",_xll.BDP($A15&amp;" Corp","CPN"))</f>
        <v/>
      </c>
      <c r="E15" s="75">
        <f>IF($A15="","",_xll.BDP($A15&amp;" Corp","PAYMENT_RANK"))</f>
        <v/>
      </c>
      <c r="F15" s="100">
        <f>IF($A15="","",_xll.BDP($A15&amp;" Corp","MATURITY"))</f>
        <v/>
      </c>
      <c r="G15" s="75">
        <f>IF($A15="","",PROPER(_xll.BDP($A15&amp;" Corp","COUNTRY_FULL_NAME")))</f>
        <v/>
      </c>
      <c r="H15" s="75">
        <f>IF($A15="","",_xll.BDP($A15&amp;" Corp","INDUSTRY_SECTOR"))</f>
        <v/>
      </c>
      <c r="I15" s="101">
        <f>IF($A15="","",IFERROR(_xll.BDP($A15&amp;" Corp","MIN_PIECE")/1000,""))</f>
        <v/>
      </c>
      <c r="J15" s="31">
        <f>IF($A15="","",_xll.BDP($A15&amp;" Corp","PX_LAST"))</f>
        <v/>
      </c>
      <c r="K15" s="31">
        <f>IF($A15="","",_xll.BDP($A15&amp;" Corp","YAS_BOND_YLD","YAS_YLD_FLAG=15"))</f>
        <v/>
      </c>
      <c r="L15" s="31">
        <f>IF($A15="","",K15-_xll.BDP($A15&amp;" Corp","YAS_BOND_YLD","YAS_YLD_FLAG=15","SETTLE_DT",Company_desc!$A$1))</f>
        <v/>
      </c>
      <c r="M15" s="31">
        <f>IF($A15="","",K15-_xll.BDP($A15&amp;" Corp","YAS_BOND_YLD","YAS_YLD_FLAG=15","SETTLE_DT",Company_desc!$A$2))</f>
        <v/>
      </c>
      <c r="N15" s="79">
        <f>IF($A15="","",_xll.BDP($A15&amp;" Corp","YAS_OAS_SPRD"))</f>
        <v/>
      </c>
      <c r="O15" s="67">
        <f>IF($A15="","",_xll.BDP($A15&amp;" Corp","YAS_MOD_DUR"))</f>
        <v/>
      </c>
      <c r="P15" s="80">
        <f>IF($A15="","",IFERROR(INDEX(Sheet1!$P:$P,MATCH($A15,Sheet1!$A:$A,0)),""))</f>
        <v/>
      </c>
      <c r="Q15" s="75">
        <f>IF($A15="","",IFERROR(INDEX(Company_desc!$C:$C,MATCH($A15,Company_desc!$A:$A,0)),IFERROR(INDEX(Sheet1!$Q:$Q,MATCH($A15,Sheet1!$A:$A,0)),"")))</f>
        <v/>
      </c>
      <c r="R15" s="75">
        <f>IF($A15="","",_xll.BDP($A15&amp;" Corp","CRNCY"))</f>
        <v/>
      </c>
      <c r="S15" s="75">
        <f>IF($A15="","",IFERROR(INDEX(Sheet1!$S:$S,MATCH($A15,Sheet1!$A:$A,0)),""))</f>
        <v/>
      </c>
      <c r="T15" s="75">
        <f>IF($A15="","",IFERROR(INDEX(Sheet1!$T:$T,MATCH($A15,Sheet1!$A:$A,0)),_xll.BDP($A15&amp;" Corp","RTG_SP")))</f>
        <v/>
      </c>
      <c r="U15" s="75">
        <f>IF($A15="","",IFERROR(INDEX(Sheet1!$U:$U,MATCH($A15,Sheet1!$A:$A,0)),""))</f>
        <v/>
      </c>
      <c r="W15" s="81">
        <f>IF($A15="","",N15-_xll.BDP($A15&amp;" Corp","YAS_OAS_SPRD","SETTLE_DT",Company_desc!$A$1))</f>
        <v/>
      </c>
      <c r="X15" s="81">
        <f>IF($A15="","",N15-_xll.BDP($A15&amp;" Corp","YAS_OAS_SPRD","SETTLE_DT",Company_desc!$A$2))</f>
        <v/>
      </c>
      <c r="Y15" s="80">
        <f>IF($A15="","",N15-_xll.BDP($A15&amp;" Corp","YAS_OAS_SPRD","SETTLE_DT",Company_desc!$D$1))</f>
        <v/>
      </c>
      <c r="Z15" s="82">
        <f>IF($A15="","",K15-_xll.BDP($A15&amp;" Corp","YAS_BOND_YLD","YAS_YLD_FLAG=15","SETTLE_DT",Company_desc!$D$1))</f>
        <v/>
      </c>
      <c r="AA15" s="80">
        <f>IF($A15="","",_xll.BDP($A15&amp;" Corp","YAS_OAS_SPRD","SETTLE_DT",Company_desc!$D$1))</f>
        <v/>
      </c>
    </row>
    <row r="16">
      <c r="A16" s="23" t="inlineStr">
        <is>
          <t>XS3282974933</t>
        </is>
      </c>
      <c r="B16" s="75">
        <f>IF($A16="","",IFERROR(INDEX(Sheet1!$B:$B,MATCH($A16,Sheet1!$A:$A,0)),""))</f>
        <v/>
      </c>
      <c r="C16" s="75">
        <f>IF($A16="","",PROPER(_xll.BDP($A16&amp;" Corp","NAME")))</f>
        <v/>
      </c>
      <c r="D16" s="76">
        <f>IF($A16="","",_xll.BDP($A16&amp;" Corp","CPN"))</f>
        <v/>
      </c>
      <c r="E16" s="75">
        <f>IF($A16="","",_xll.BDP($A16&amp;" Corp","PAYMENT_RANK"))</f>
        <v/>
      </c>
      <c r="F16" s="100">
        <f>IF($A16="","",_xll.BDP($A16&amp;" Corp","MATURITY"))</f>
        <v/>
      </c>
      <c r="G16" s="75">
        <f>IF($A16="","",PROPER(_xll.BDP($A16&amp;" Corp","COUNTRY_FULL_NAME")))</f>
        <v/>
      </c>
      <c r="H16" s="75">
        <f>IF($A16="","",_xll.BDP($A16&amp;" Corp","INDUSTRY_SECTOR"))</f>
        <v/>
      </c>
      <c r="I16" s="101">
        <f>IF($A16="","",IFERROR(_xll.BDP($A16&amp;" Corp","MIN_PIECE")/1000,""))</f>
        <v/>
      </c>
      <c r="J16" s="31">
        <f>IF($A16="","",_xll.BDP($A16&amp;" Corp","PX_LAST"))</f>
        <v/>
      </c>
      <c r="K16" s="31">
        <f>IF($A16="","",_xll.BDP($A16&amp;" Corp","YAS_BOND_YLD","YAS_YLD_FLAG=15"))</f>
        <v/>
      </c>
      <c r="L16" s="31">
        <f>IF($A16="","",K16-_xll.BDP($A16&amp;" Corp","YAS_BOND_YLD","YAS_YLD_FLAG=15","SETTLE_DT",Company_desc!$A$1))</f>
        <v/>
      </c>
      <c r="M16" s="31">
        <f>IF($A16="","",K16-_xll.BDP($A16&amp;" Corp","YAS_BOND_YLD","YAS_YLD_FLAG=15","SETTLE_DT",Company_desc!$A$2))</f>
        <v/>
      </c>
      <c r="N16" s="79">
        <f>IF($A16="","",_xll.BDP($A16&amp;" Corp","YAS_OAS_SPRD"))</f>
        <v/>
      </c>
      <c r="O16" s="67">
        <f>IF($A16="","",_xll.BDP($A16&amp;" Corp","YAS_MOD_DUR"))</f>
        <v/>
      </c>
      <c r="P16" s="80">
        <f>IF($A16="","",IFERROR(INDEX(Sheet1!$P:$P,MATCH($A16,Sheet1!$A:$A,0)),""))</f>
        <v/>
      </c>
      <c r="Q16" s="75">
        <f>IF($A16="","",IFERROR(INDEX(Company_desc!$C:$C,MATCH($A16,Company_desc!$A:$A,0)),IFERROR(INDEX(Sheet1!$Q:$Q,MATCH($A16,Sheet1!$A:$A,0)),"")))</f>
        <v/>
      </c>
      <c r="R16" s="75">
        <f>IF($A16="","",_xll.BDP($A16&amp;" Corp","CRNCY"))</f>
        <v/>
      </c>
      <c r="S16" s="75">
        <f>IF($A16="","",IFERROR(INDEX(Sheet1!$S:$S,MATCH($A16,Sheet1!$A:$A,0)),""))</f>
        <v/>
      </c>
      <c r="T16" s="75">
        <f>IF($A16="","",IFERROR(INDEX(Sheet1!$T:$T,MATCH($A16,Sheet1!$A:$A,0)),_xll.BDP($A16&amp;" Corp","RTG_SP")))</f>
        <v/>
      </c>
      <c r="U16" s="75">
        <f>IF($A16="","",IFERROR(INDEX(Sheet1!$U:$U,MATCH($A16,Sheet1!$A:$A,0)),""))</f>
        <v/>
      </c>
      <c r="W16" s="81">
        <f>IF($A16="","",N16-_xll.BDP($A16&amp;" Corp","YAS_OAS_SPRD","SETTLE_DT",Company_desc!$A$1))</f>
        <v/>
      </c>
      <c r="X16" s="81">
        <f>IF($A16="","",N16-_xll.BDP($A16&amp;" Corp","YAS_OAS_SPRD","SETTLE_DT",Company_desc!$A$2))</f>
        <v/>
      </c>
      <c r="Y16" s="80">
        <f>IF($A16="","",N16-_xll.BDP($A16&amp;" Corp","YAS_OAS_SPRD","SETTLE_DT",Company_desc!$D$1))</f>
        <v/>
      </c>
      <c r="Z16" s="82">
        <f>IF($A16="","",K16-_xll.BDP($A16&amp;" Corp","YAS_BOND_YLD","YAS_YLD_FLAG=15","SETTLE_DT",Company_desc!$D$1))</f>
        <v/>
      </c>
      <c r="AA16" s="80">
        <f>IF($A16="","",_xll.BDP($A16&amp;" Corp","YAS_OAS_SPRD","SETTLE_DT",Company_desc!$D$1))</f>
        <v/>
      </c>
    </row>
    <row r="17">
      <c r="A17" s="23" t="inlineStr">
        <is>
          <t>US29250NCQ60</t>
        </is>
      </c>
      <c r="B17" s="75">
        <f>IF($A17="","",IFERROR(INDEX(Sheet1!$B:$B,MATCH($A17,Sheet1!$A:$A,0)),""))</f>
        <v/>
      </c>
      <c r="C17" s="75">
        <f>IF($A17="","",PROPER(_xll.BDP($A17&amp;" Corp","NAME")))</f>
        <v/>
      </c>
      <c r="D17" s="76">
        <f>IF($A17="","",_xll.BDP($A17&amp;" Corp","CPN"))</f>
        <v/>
      </c>
      <c r="E17" s="75">
        <f>IF($A17="","",_xll.BDP($A17&amp;" Corp","PAYMENT_RANK"))</f>
        <v/>
      </c>
      <c r="F17" s="100">
        <f>IF($A17="","",_xll.BDP($A17&amp;" Corp","MATURITY"))</f>
        <v/>
      </c>
      <c r="G17" s="75">
        <f>IF($A17="","",PROPER(_xll.BDP($A17&amp;" Corp","COUNTRY_FULL_NAME")))</f>
        <v/>
      </c>
      <c r="H17" s="75">
        <f>IF($A17="","",_xll.BDP($A17&amp;" Corp","INDUSTRY_SECTOR"))</f>
        <v/>
      </c>
      <c r="I17" s="101">
        <f>IF($A17="","",IFERROR(_xll.BDP($A17&amp;" Corp","MIN_PIECE")/1000,""))</f>
        <v/>
      </c>
      <c r="J17" s="31">
        <f>IF($A17="","",_xll.BDP($A17&amp;" Corp","PX_LAST"))</f>
        <v/>
      </c>
      <c r="K17" s="31">
        <f>IF($A17="","",_xll.BDP($A17&amp;" Corp","YAS_BOND_YLD","YAS_YLD_FLAG=15"))</f>
        <v/>
      </c>
      <c r="L17" s="31">
        <f>IF($A17="","",K17-_xll.BDP($A17&amp;" Corp","YAS_BOND_YLD","YAS_YLD_FLAG=15","SETTLE_DT",Company_desc!$A$1))</f>
        <v/>
      </c>
      <c r="M17" s="31">
        <f>IF($A17="","",K17-_xll.BDP($A17&amp;" Corp","YAS_BOND_YLD","YAS_YLD_FLAG=15","SETTLE_DT",Company_desc!$A$2))</f>
        <v/>
      </c>
      <c r="N17" s="79">
        <f>IF($A17="","",_xll.BDP($A17&amp;" Corp","YAS_OAS_SPRD"))</f>
        <v/>
      </c>
      <c r="O17" s="67">
        <f>IF($A17="","",_xll.BDP($A17&amp;" Corp","YAS_MOD_DUR"))</f>
        <v/>
      </c>
      <c r="P17" s="80">
        <f>IF($A17="","",IFERROR(INDEX(Sheet1!$P:$P,MATCH($A17,Sheet1!$A:$A,0)),""))</f>
        <v/>
      </c>
      <c r="Q17" s="75">
        <f>IF($A17="","",IFERROR(INDEX(Company_desc!$C:$C,MATCH($A17,Company_desc!$A:$A,0)),IFERROR(INDEX(Sheet1!$Q:$Q,MATCH($A17,Sheet1!$A:$A,0)),"")))</f>
        <v/>
      </c>
      <c r="R17" s="75">
        <f>IF($A17="","",_xll.BDP($A17&amp;" Corp","CRNCY"))</f>
        <v/>
      </c>
      <c r="S17" s="75">
        <f>IF($A17="","",IFERROR(INDEX(Sheet1!$S:$S,MATCH($A17,Sheet1!$A:$A,0)),""))</f>
        <v/>
      </c>
      <c r="T17" s="75">
        <f>IF($A17="","",IFERROR(INDEX(Sheet1!$T:$T,MATCH($A17,Sheet1!$A:$A,0)),_xll.BDP($A17&amp;" Corp","RTG_SP")))</f>
        <v/>
      </c>
      <c r="U17" s="75">
        <f>IF($A17="","",IFERROR(INDEX(Sheet1!$U:$U,MATCH($A17,Sheet1!$A:$A,0)),""))</f>
        <v/>
      </c>
      <c r="W17" s="81">
        <f>IF($A17="","",N17-_xll.BDP($A17&amp;" Corp","YAS_OAS_SPRD","SETTLE_DT",Company_desc!$A$1))</f>
        <v/>
      </c>
      <c r="X17" s="81">
        <f>IF($A17="","",N17-_xll.BDP($A17&amp;" Corp","YAS_OAS_SPRD","SETTLE_DT",Company_desc!$A$2))</f>
        <v/>
      </c>
      <c r="Y17" s="80">
        <f>IF($A17="","",N17-_xll.BDP($A17&amp;" Corp","YAS_OAS_SPRD","SETTLE_DT",Company_desc!$D$1))</f>
        <v/>
      </c>
      <c r="Z17" s="82">
        <f>IF($A17="","",K17-_xll.BDP($A17&amp;" Corp","YAS_BOND_YLD","YAS_YLD_FLAG=15","SETTLE_DT",Company_desc!$D$1))</f>
        <v/>
      </c>
      <c r="AA17" s="80">
        <f>IF($A17="","",_xll.BDP($A17&amp;" Corp","YAS_OAS_SPRD","SETTLE_DT",Company_desc!$D$1))</f>
        <v/>
      </c>
    </row>
    <row r="18">
      <c r="A18" s="23" t="inlineStr">
        <is>
          <t>US04636NAR44</t>
        </is>
      </c>
      <c r="B18" s="75">
        <f>IF($A18="","",IFERROR(INDEX(Sheet1!$B:$B,MATCH($A18,Sheet1!$A:$A,0)),""))</f>
        <v/>
      </c>
      <c r="C18" s="75">
        <f>IF($A18="","",PROPER(_xll.BDP($A18&amp;" Corp","NAME")))</f>
        <v/>
      </c>
      <c r="D18" s="76">
        <f>IF($A18="","",_xll.BDP($A18&amp;" Corp","CPN"))</f>
        <v/>
      </c>
      <c r="E18" s="75">
        <f>IF($A18="","",_xll.BDP($A18&amp;" Corp","PAYMENT_RANK"))</f>
        <v/>
      </c>
      <c r="F18" s="100">
        <f>IF($A18="","",_xll.BDP($A18&amp;" Corp","MATURITY"))</f>
        <v/>
      </c>
      <c r="G18" s="75">
        <f>IF($A18="","",PROPER(_xll.BDP($A18&amp;" Corp","COUNTRY_FULL_NAME")))</f>
        <v/>
      </c>
      <c r="H18" s="75">
        <f>IF($A18="","",_xll.BDP($A18&amp;" Corp","INDUSTRY_SECTOR"))</f>
        <v/>
      </c>
      <c r="I18" s="101">
        <f>IF($A18="","",IFERROR(_xll.BDP($A18&amp;" Corp","MIN_PIECE")/1000,""))</f>
        <v/>
      </c>
      <c r="J18" s="31">
        <f>IF($A18="","",_xll.BDP($A18&amp;" Corp","PX_LAST"))</f>
        <v/>
      </c>
      <c r="K18" s="31">
        <f>IF($A18="","",_xll.BDP($A18&amp;" Corp","YAS_BOND_YLD","YAS_YLD_FLAG=15"))</f>
        <v/>
      </c>
      <c r="L18" s="31">
        <f>IF($A18="","",K18-_xll.BDP($A18&amp;" Corp","YAS_BOND_YLD","YAS_YLD_FLAG=15","SETTLE_DT",Company_desc!$A$1))</f>
        <v/>
      </c>
      <c r="M18" s="31">
        <f>IF($A18="","",K18-_xll.BDP($A18&amp;" Corp","YAS_BOND_YLD","YAS_YLD_FLAG=15","SETTLE_DT",Company_desc!$A$2))</f>
        <v/>
      </c>
      <c r="N18" s="79">
        <f>IF($A18="","",_xll.BDP($A18&amp;" Corp","YAS_OAS_SPRD"))</f>
        <v/>
      </c>
      <c r="O18" s="67">
        <f>IF($A18="","",_xll.BDP($A18&amp;" Corp","YAS_MOD_DUR"))</f>
        <v/>
      </c>
      <c r="P18" s="80">
        <f>IF($A18="","",IFERROR(INDEX(Sheet1!$P:$P,MATCH($A18,Sheet1!$A:$A,0)),""))</f>
        <v/>
      </c>
      <c r="Q18" s="75">
        <f>IF($A18="","",IFERROR(INDEX(Company_desc!$C:$C,MATCH($A18,Company_desc!$A:$A,0)),IFERROR(INDEX(Sheet1!$Q:$Q,MATCH($A18,Sheet1!$A:$A,0)),"")))</f>
        <v/>
      </c>
      <c r="R18" s="75">
        <f>IF($A18="","",_xll.BDP($A18&amp;" Corp","CRNCY"))</f>
        <v/>
      </c>
      <c r="S18" s="75">
        <f>IF($A18="","",IFERROR(INDEX(Sheet1!$S:$S,MATCH($A18,Sheet1!$A:$A,0)),""))</f>
        <v/>
      </c>
      <c r="T18" s="75">
        <f>IF($A18="","",IFERROR(INDEX(Sheet1!$T:$T,MATCH($A18,Sheet1!$A:$A,0)),_xll.BDP($A18&amp;" Corp","RTG_SP")))</f>
        <v/>
      </c>
      <c r="U18" s="83">
        <f>IF($A18="","",IFERROR(INDEX(Sheet1!$U:$U,MATCH($A18,Sheet1!$A:$A,0)),""))</f>
        <v/>
      </c>
      <c r="W18" s="81">
        <f>IF($A18="","",N18-_xll.BDP($A18&amp;" Corp","YAS_OAS_SPRD","SETTLE_DT",Company_desc!$A$1))</f>
        <v/>
      </c>
      <c r="X18" s="81">
        <f>IF($A18="","",N18-_xll.BDP($A18&amp;" Corp","YAS_OAS_SPRD","SETTLE_DT",Company_desc!$A$2))</f>
        <v/>
      </c>
      <c r="Y18" s="80">
        <f>IF($A18="","",N18-_xll.BDP($A18&amp;" Corp","YAS_OAS_SPRD","SETTLE_DT",Company_desc!$D$1))</f>
        <v/>
      </c>
      <c r="Z18" s="82">
        <f>IF($A18="","",K18-_xll.BDP($A18&amp;" Corp","YAS_BOND_YLD","YAS_YLD_FLAG=15","SETTLE_DT",Company_desc!$D$1))</f>
        <v/>
      </c>
      <c r="AA18" s="80">
        <f>IF($A18="","",_xll.BDP($A18&amp;" Corp","YAS_OAS_SPRD","SETTLE_DT",Company_desc!$D$1))</f>
        <v/>
      </c>
    </row>
    <row r="19">
      <c r="A19" s="23" t="inlineStr">
        <is>
          <t>US718172DP15</t>
        </is>
      </c>
      <c r="B19" s="75">
        <f>IF($A19="","",IFERROR(INDEX(Sheet1!$B:$B,MATCH($A19,Sheet1!$A:$A,0)),""))</f>
        <v/>
      </c>
      <c r="C19" s="75">
        <f>IF($A19="","",PROPER(_xll.BDP($A19&amp;" Corp","NAME")))</f>
        <v/>
      </c>
      <c r="D19" s="76">
        <f>IF($A19="","",_xll.BDP($A19&amp;" Corp","CPN"))</f>
        <v/>
      </c>
      <c r="E19" s="75">
        <f>IF($A19="","",_xll.BDP($A19&amp;" Corp","PAYMENT_RANK"))</f>
        <v/>
      </c>
      <c r="F19" s="100">
        <f>IF($A19="","",_xll.BDP($A19&amp;" Corp","MATURITY"))</f>
        <v/>
      </c>
      <c r="G19" s="75">
        <f>IF($A19="","",PROPER(_xll.BDP($A19&amp;" Corp","COUNTRY_FULL_NAME")))</f>
        <v/>
      </c>
      <c r="H19" s="75">
        <f>IF($A19="","",_xll.BDP($A19&amp;" Corp","INDUSTRY_SECTOR"))</f>
        <v/>
      </c>
      <c r="I19" s="101">
        <f>IF($A19="","",IFERROR(_xll.BDP($A19&amp;" Corp","MIN_PIECE")/1000,""))</f>
        <v/>
      </c>
      <c r="J19" s="31">
        <f>IF($A19="","",_xll.BDP($A19&amp;" Corp","PX_LAST"))</f>
        <v/>
      </c>
      <c r="K19" s="31">
        <f>IF($A19="","",_xll.BDP($A19&amp;" Corp","YAS_BOND_YLD","YAS_YLD_FLAG=15"))</f>
        <v/>
      </c>
      <c r="L19" s="31">
        <f>IF($A19="","",K19-_xll.BDP($A19&amp;" Corp","YAS_BOND_YLD","YAS_YLD_FLAG=15","SETTLE_DT",Company_desc!$A$1))</f>
        <v/>
      </c>
      <c r="M19" s="31">
        <f>IF($A19="","",K19-_xll.BDP($A19&amp;" Corp","YAS_BOND_YLD","YAS_YLD_FLAG=15","SETTLE_DT",Company_desc!$A$2))</f>
        <v/>
      </c>
      <c r="N19" s="79">
        <f>IF($A19="","",_xll.BDP($A19&amp;" Corp","YAS_OAS_SPRD"))</f>
        <v/>
      </c>
      <c r="O19" s="67">
        <f>IF($A19="","",_xll.BDP($A19&amp;" Corp","YAS_MOD_DUR"))</f>
        <v/>
      </c>
      <c r="P19" s="80">
        <f>IF($A19="","",IFERROR(INDEX(Sheet1!$P:$P,MATCH($A19,Sheet1!$A:$A,0)),""))</f>
        <v/>
      </c>
      <c r="Q19" s="75">
        <f>IF($A19="","",IFERROR(INDEX(Company_desc!$C:$C,MATCH($A19,Company_desc!$A:$A,0)),IFERROR(INDEX(Sheet1!$Q:$Q,MATCH($A19,Sheet1!$A:$A,0)),"")))</f>
        <v/>
      </c>
      <c r="R19" s="75">
        <f>IF($A19="","",_xll.BDP($A19&amp;" Corp","CRNCY"))</f>
        <v/>
      </c>
      <c r="S19" s="75">
        <f>IF($A19="","",IFERROR(INDEX(Sheet1!$S:$S,MATCH($A19,Sheet1!$A:$A,0)),""))</f>
        <v/>
      </c>
      <c r="T19" s="75">
        <f>IF($A19="","",IFERROR(INDEX(Sheet1!$T:$T,MATCH($A19,Sheet1!$A:$A,0)),_xll.BDP($A19&amp;" Corp","RTG_SP")))</f>
        <v/>
      </c>
      <c r="U19" s="75">
        <f>IF($A19="","",IFERROR(INDEX(Sheet1!$U:$U,MATCH($A19,Sheet1!$A:$A,0)),""))</f>
        <v/>
      </c>
      <c r="W19" s="81">
        <f>IF($A19="","",N19-_xll.BDP($A19&amp;" Corp","YAS_OAS_SPRD","SETTLE_DT",Company_desc!$A$1))</f>
        <v/>
      </c>
      <c r="X19" s="81">
        <f>IF($A19="","",N19-_xll.BDP($A19&amp;" Corp","YAS_OAS_SPRD","SETTLE_DT",Company_desc!$A$2))</f>
        <v/>
      </c>
      <c r="Y19" s="80">
        <f>IF($A19="","",N19-_xll.BDP($A19&amp;" Corp","YAS_OAS_SPRD","SETTLE_DT",Company_desc!$D$1))</f>
        <v/>
      </c>
      <c r="Z19" s="82">
        <f>IF($A19="","",K19-_xll.BDP($A19&amp;" Corp","YAS_BOND_YLD","YAS_YLD_FLAG=15","SETTLE_DT",Company_desc!$D$1))</f>
        <v/>
      </c>
      <c r="AA19" s="80">
        <f>IF($A19="","",_xll.BDP($A19&amp;" Corp","YAS_OAS_SPRD","SETTLE_DT",Company_desc!$D$1))</f>
        <v/>
      </c>
    </row>
    <row r="20">
      <c r="B20" s="75">
        <f>IF($A20="","",IFERROR(INDEX(Sheet1!$B:$B,MATCH($A20,Sheet1!$A:$A,0)),""))</f>
        <v/>
      </c>
      <c r="C20" s="75">
        <f>IF($A20="","",PROPER(_xll.BDP($A20&amp;" Corp","NAME")))</f>
        <v/>
      </c>
      <c r="D20" s="76">
        <f>IF($A20="","",_xll.BDP($A20&amp;" Corp","CPN"))</f>
        <v/>
      </c>
      <c r="E20" s="75">
        <f>IF($A20="","",_xll.BDP($A20&amp;" Corp","PAYMENT_RANK"))</f>
        <v/>
      </c>
      <c r="F20" s="100">
        <f>IF($A20="","",_xll.BDP($A20&amp;" Corp","MATURITY"))</f>
        <v/>
      </c>
      <c r="G20" s="75">
        <f>IF($A20="","",PROPER(_xll.BDP($A20&amp;" Corp","COUNTRY_FULL_NAME")))</f>
        <v/>
      </c>
      <c r="H20" s="75">
        <f>IF($A20="","",_xll.BDP($A20&amp;" Corp","INDUSTRY_SECTOR"))</f>
        <v/>
      </c>
      <c r="I20" s="101">
        <f>IF($A20="","",IFERROR(_xll.BDP($A20&amp;" Corp","MIN_PIECE")/1000,""))</f>
        <v/>
      </c>
      <c r="J20" s="31">
        <f>IF($A20="","",_xll.BDP($A20&amp;" Corp","PX_LAST"))</f>
        <v/>
      </c>
      <c r="K20" s="31">
        <f>IF($A20="","",_xll.BDP($A20&amp;" Corp","YAS_BOND_YLD","YAS_YLD_FLAG=15"))</f>
        <v/>
      </c>
      <c r="L20" s="31">
        <f>IF($A20="","",K20-_xll.BDP($A20&amp;" Corp","YAS_BOND_YLD","YAS_YLD_FLAG=15","SETTLE_DT",Company_desc!$A$1))</f>
        <v/>
      </c>
      <c r="M20" s="31">
        <f>IF($A20="","",K20-_xll.BDP($A20&amp;" Corp","YAS_BOND_YLD","YAS_YLD_FLAG=15","SETTLE_DT",Company_desc!$A$2))</f>
        <v/>
      </c>
      <c r="N20" s="79">
        <f>IF($A20="","",_xll.BDP($A20&amp;" Corp","YAS_OAS_SPRD"))</f>
        <v/>
      </c>
      <c r="O20" s="67">
        <f>IF($A20="","",_xll.BDP($A20&amp;" Corp","YAS_MOD_DUR"))</f>
        <v/>
      </c>
      <c r="P20" s="80">
        <f>IF($A20="","",IFERROR(INDEX(Sheet1!$P:$P,MATCH($A20,Sheet1!$A:$A,0)),""))</f>
        <v/>
      </c>
      <c r="Q20" s="75">
        <f>IF($A20="","",IFERROR(INDEX(Company_desc!$C:$C,MATCH($A20,Company_desc!$A:$A,0)),IFERROR(INDEX(Sheet1!$Q:$Q,MATCH($A20,Sheet1!$A:$A,0)),"")))</f>
        <v/>
      </c>
      <c r="R20" s="75">
        <f>IF($A20="","",_xll.BDP($A20&amp;" Corp","CRNCY"))</f>
        <v/>
      </c>
      <c r="S20" s="75">
        <f>IF($A20="","",IFERROR(INDEX(Sheet1!$S:$S,MATCH($A20,Sheet1!$A:$A,0)),""))</f>
        <v/>
      </c>
      <c r="T20" s="75">
        <f>IF($A20="","",IFERROR(INDEX(Sheet1!$T:$T,MATCH($A20,Sheet1!$A:$A,0)),_xll.BDP($A20&amp;" Corp","RTG_SP")))</f>
        <v/>
      </c>
      <c r="U20" s="75">
        <f>IF($A20="","",IFERROR(INDEX(Sheet1!$U:$U,MATCH($A20,Sheet1!$A:$A,0)),""))</f>
        <v/>
      </c>
      <c r="W20" s="81">
        <f>IF($A20="","",N20-_xll.BDP($A20&amp;" Corp","YAS_OAS_SPRD","SETTLE_DT",Company_desc!$A$1))</f>
        <v/>
      </c>
      <c r="X20" s="81">
        <f>IF($A20="","",N20-_xll.BDP($A20&amp;" Corp","YAS_OAS_SPRD","SETTLE_DT",Company_desc!$A$2))</f>
        <v/>
      </c>
      <c r="Y20" s="80">
        <f>IF($A20="","",N20-_xll.BDP($A20&amp;" Corp","YAS_OAS_SPRD","SETTLE_DT",Company_desc!$D$1))</f>
        <v/>
      </c>
      <c r="Z20" s="82">
        <f>IF($A20="","",K20-_xll.BDP($A20&amp;" Corp","YAS_BOND_YLD","YAS_YLD_FLAG=15","SETTLE_DT",Company_desc!$D$1))</f>
        <v/>
      </c>
      <c r="AA20" s="80">
        <f>IF($A20="","",_xll.BDP($A20&amp;" Corp","YAS_OAS_SPRD","SETTLE_DT",Company_desc!$D$1))</f>
        <v/>
      </c>
    </row>
    <row r="21">
      <c r="B21" s="75">
        <f>IF($A21="","",IFERROR(INDEX(Sheet1!$B:$B,MATCH($A21,Sheet1!$A:$A,0)),""))</f>
        <v/>
      </c>
      <c r="C21" s="75">
        <f>IF($A21="","",PROPER(_xll.BDP($A21&amp;" Corp","NAME")))</f>
        <v/>
      </c>
      <c r="D21" s="76">
        <f>IF($A21="","",_xll.BDP($A21&amp;" Corp","CPN"))</f>
        <v/>
      </c>
      <c r="E21" s="75">
        <f>IF($A21="","",_xll.BDP($A21&amp;" Corp","PAYMENT_RANK"))</f>
        <v/>
      </c>
      <c r="F21" s="100">
        <f>IF($A21="","",_xll.BDP($A21&amp;" Corp","MATURITY"))</f>
        <v/>
      </c>
      <c r="G21" s="75">
        <f>IF($A21="","",PROPER(_xll.BDP($A21&amp;" Corp","COUNTRY_FULL_NAME")))</f>
        <v/>
      </c>
      <c r="H21" s="75">
        <f>IF($A21="","",_xll.BDP($A21&amp;" Corp","INDUSTRY_SECTOR"))</f>
        <v/>
      </c>
      <c r="I21" s="101">
        <f>IF($A21="","",IFERROR(_xll.BDP($A21&amp;" Corp","MIN_PIECE")/1000,""))</f>
        <v/>
      </c>
      <c r="J21" s="31">
        <f>IF($A21="","",_xll.BDP($A21&amp;" Corp","PX_LAST"))</f>
        <v/>
      </c>
      <c r="K21" s="31">
        <f>IF($A21="","",_xll.BDP($A21&amp;" Corp","YAS_BOND_YLD","YAS_YLD_FLAG=15"))</f>
        <v/>
      </c>
      <c r="L21" s="31">
        <f>IF($A21="","",K21-_xll.BDP($A21&amp;" Corp","YAS_BOND_YLD","YAS_YLD_FLAG=15","SETTLE_DT",Company_desc!$A$1))</f>
        <v/>
      </c>
      <c r="M21" s="31">
        <f>IF($A21="","",K21-_xll.BDP($A21&amp;" Corp","YAS_BOND_YLD","YAS_YLD_FLAG=15","SETTLE_DT",Company_desc!$A$2))</f>
        <v/>
      </c>
      <c r="N21" s="79">
        <f>IF($A21="","",_xll.BDP($A21&amp;" Corp","YAS_OAS_SPRD"))</f>
        <v/>
      </c>
      <c r="O21" s="67">
        <f>IF($A21="","",_xll.BDP($A21&amp;" Corp","YAS_MOD_DUR"))</f>
        <v/>
      </c>
      <c r="P21" s="80">
        <f>IF($A21="","",IFERROR(INDEX(Sheet1!$P:$P,MATCH($A21,Sheet1!$A:$A,0)),""))</f>
        <v/>
      </c>
      <c r="Q21" s="75">
        <f>IF($A21="","",IFERROR(INDEX(Company_desc!$C:$C,MATCH($A21,Company_desc!$A:$A,0)),IFERROR(INDEX(Sheet1!$Q:$Q,MATCH($A21,Sheet1!$A:$A,0)),"")))</f>
        <v/>
      </c>
      <c r="R21" s="75">
        <f>IF($A21="","",_xll.BDP($A21&amp;" Corp","CRNCY"))</f>
        <v/>
      </c>
      <c r="S21" s="75">
        <f>IF($A21="","",IFERROR(INDEX(Sheet1!$S:$S,MATCH($A21,Sheet1!$A:$A,0)),""))</f>
        <v/>
      </c>
      <c r="T21" s="75">
        <f>IF($A21="","",IFERROR(INDEX(Sheet1!$T:$T,MATCH($A21,Sheet1!$A:$A,0)),_xll.BDP($A21&amp;" Corp","RTG_SP")))</f>
        <v/>
      </c>
      <c r="U21" s="75">
        <f>IF($A21="","",IFERROR(INDEX(Sheet1!$U:$U,MATCH($A21,Sheet1!$A:$A,0)),""))</f>
        <v/>
      </c>
      <c r="W21" s="81">
        <f>IF($A21="","",N21-_xll.BDP($A21&amp;" Corp","YAS_OAS_SPRD","SETTLE_DT",Company_desc!$A$1))</f>
        <v/>
      </c>
      <c r="X21" s="81">
        <f>IF($A21="","",N21-_xll.BDP($A21&amp;" Corp","YAS_OAS_SPRD","SETTLE_DT",Company_desc!$A$2))</f>
        <v/>
      </c>
      <c r="Y21" s="80">
        <f>IF($A21="","",N21-_xll.BDP($A21&amp;" Corp","YAS_OAS_SPRD","SETTLE_DT",Company_desc!$D$1))</f>
        <v/>
      </c>
      <c r="Z21" s="82">
        <f>IF($A21="","",K21-_xll.BDP($A21&amp;" Corp","YAS_BOND_YLD","YAS_YLD_FLAG=15","SETTLE_DT",Company_desc!$D$1))</f>
        <v/>
      </c>
      <c r="AA21" s="80">
        <f>IF($A21="","",_xll.BDP($A21&amp;" Corp","YAS_OAS_SPRD","SETTLE_DT",Company_desc!$D$1))</f>
        <v/>
      </c>
    </row>
    <row r="22">
      <c r="B22" s="75">
        <f>IF($A22="","",IFERROR(INDEX(Sheet1!$B:$B,MATCH($A22,Sheet1!$A:$A,0)),""))</f>
        <v/>
      </c>
      <c r="C22" s="75">
        <f>IF($A22="","",PROPER(_xll.BDP($A22&amp;" Corp","NAME")))</f>
        <v/>
      </c>
      <c r="D22" s="76">
        <f>IF($A22="","",_xll.BDP($A22&amp;" Corp","CPN"))</f>
        <v/>
      </c>
      <c r="E22" s="75">
        <f>IF($A22="","",_xll.BDP($A22&amp;" Corp","PAYMENT_RANK"))</f>
        <v/>
      </c>
      <c r="F22" s="100">
        <f>IF($A22="","",_xll.BDP($A22&amp;" Corp","MATURITY"))</f>
        <v/>
      </c>
      <c r="G22" s="75">
        <f>IF($A22="","",PROPER(_xll.BDP($A22&amp;" Corp","COUNTRY_FULL_NAME")))</f>
        <v/>
      </c>
      <c r="H22" s="75">
        <f>IF($A22="","",_xll.BDP($A22&amp;" Corp","INDUSTRY_SECTOR"))</f>
        <v/>
      </c>
      <c r="I22" s="101">
        <f>IF($A22="","",IFERROR(_xll.BDP($A22&amp;" Corp","MIN_PIECE")/1000,""))</f>
        <v/>
      </c>
      <c r="J22" s="31">
        <f>IF($A22="","",_xll.BDP($A22&amp;" Corp","PX_LAST"))</f>
        <v/>
      </c>
      <c r="K22" s="31">
        <f>IF($A22="","",_xll.BDP($A22&amp;" Corp","YAS_BOND_YLD","YAS_YLD_FLAG=15"))</f>
        <v/>
      </c>
      <c r="L22" s="31">
        <f>IF($A22="","",K22-_xll.BDP($A22&amp;" Corp","YAS_BOND_YLD","YAS_YLD_FLAG=15","SETTLE_DT",Company_desc!$A$1))</f>
        <v/>
      </c>
      <c r="M22" s="31">
        <f>IF($A22="","",K22-_xll.BDP($A22&amp;" Corp","YAS_BOND_YLD","YAS_YLD_FLAG=15","SETTLE_DT",Company_desc!$A$2))</f>
        <v/>
      </c>
      <c r="N22" s="79">
        <f>IF($A22="","",_xll.BDP($A22&amp;" Corp","YAS_OAS_SPRD"))</f>
        <v/>
      </c>
      <c r="O22" s="67">
        <f>IF($A22="","",_xll.BDP($A22&amp;" Corp","YAS_MOD_DUR"))</f>
        <v/>
      </c>
      <c r="P22" s="80">
        <f>IF($A22="","",IFERROR(INDEX(Sheet1!$P:$P,MATCH($A22,Sheet1!$A:$A,0)),""))</f>
        <v/>
      </c>
      <c r="Q22" s="75">
        <f>IF($A22="","",IFERROR(INDEX(Company_desc!$C:$C,MATCH($A22,Company_desc!$A:$A,0)),IFERROR(INDEX(Sheet1!$Q:$Q,MATCH($A22,Sheet1!$A:$A,0)),"")))</f>
        <v/>
      </c>
      <c r="R22" s="75">
        <f>IF($A22="","",_xll.BDP($A22&amp;" Corp","CRNCY"))</f>
        <v/>
      </c>
      <c r="S22" s="75">
        <f>IF($A22="","",IFERROR(INDEX(Sheet1!$S:$S,MATCH($A22,Sheet1!$A:$A,0)),""))</f>
        <v/>
      </c>
      <c r="T22" s="75">
        <f>IF($A22="","",IFERROR(INDEX(Sheet1!$T:$T,MATCH($A22,Sheet1!$A:$A,0)),_xll.BDP($A22&amp;" Corp","RTG_SP")))</f>
        <v/>
      </c>
      <c r="U22" s="75">
        <f>IF($A22="","",IFERROR(INDEX(Sheet1!$U:$U,MATCH($A22,Sheet1!$A:$A,0)),""))</f>
        <v/>
      </c>
      <c r="W22" s="81">
        <f>IF($A22="","",N22-_xll.BDP($A22&amp;" Corp","YAS_OAS_SPRD","SETTLE_DT",Company_desc!$A$1))</f>
        <v/>
      </c>
      <c r="X22" s="81">
        <f>IF($A22="","",N22-_xll.BDP($A22&amp;" Corp","YAS_OAS_SPRD","SETTLE_DT",Company_desc!$A$2))</f>
        <v/>
      </c>
      <c r="Y22" s="80">
        <f>IF($A22="","",N22-_xll.BDP($A22&amp;" Corp","YAS_OAS_SPRD","SETTLE_DT",Company_desc!$D$1))</f>
        <v/>
      </c>
      <c r="Z22" s="82">
        <f>IF($A22="","",K22-_xll.BDP($A22&amp;" Corp","YAS_BOND_YLD","YAS_YLD_FLAG=15","SETTLE_DT",Company_desc!$D$1))</f>
        <v/>
      </c>
      <c r="AA22" s="80">
        <f>IF($A22="","",_xll.BDP($A22&amp;" Corp","YAS_OAS_SPRD","SETTLE_DT",Company_desc!$D$1))</f>
        <v/>
      </c>
    </row>
    <row r="23">
      <c r="B23" s="75">
        <f>IF($A23="","",IFERROR(INDEX(Sheet1!$B:$B,MATCH($A23,Sheet1!$A:$A,0)),""))</f>
        <v/>
      </c>
      <c r="C23" s="75">
        <f>IF($A23="","",PROPER(_xll.BDP($A23&amp;" Corp","NAME")))</f>
        <v/>
      </c>
      <c r="D23" s="76">
        <f>IF($A23="","",_xll.BDP($A23&amp;" Corp","CPN"))</f>
        <v/>
      </c>
      <c r="E23" s="75">
        <f>IF($A23="","",_xll.BDP($A23&amp;" Corp","PAYMENT_RANK"))</f>
        <v/>
      </c>
      <c r="F23" s="100">
        <f>IF($A23="","",_xll.BDP($A23&amp;" Corp","MATURITY"))</f>
        <v/>
      </c>
      <c r="G23" s="75">
        <f>IF($A23="","",PROPER(_xll.BDP($A23&amp;" Corp","COUNTRY_FULL_NAME")))</f>
        <v/>
      </c>
      <c r="H23" s="75">
        <f>IF($A23="","",_xll.BDP($A23&amp;" Corp","INDUSTRY_SECTOR"))</f>
        <v/>
      </c>
      <c r="I23" s="101">
        <f>IF($A23="","",IFERROR(_xll.BDP($A23&amp;" Corp","MIN_PIECE")/1000,""))</f>
        <v/>
      </c>
      <c r="J23" s="31">
        <f>IF($A23="","",_xll.BDP($A23&amp;" Corp","PX_LAST"))</f>
        <v/>
      </c>
      <c r="K23" s="31">
        <f>IF($A23="","",_xll.BDP($A23&amp;" Corp","YAS_BOND_YLD","YAS_YLD_FLAG=15"))</f>
        <v/>
      </c>
      <c r="L23" s="31">
        <f>IF($A23="","",K23-_xll.BDP($A23&amp;" Corp","YAS_BOND_YLD","YAS_YLD_FLAG=15","SETTLE_DT",Company_desc!$A$1))</f>
        <v/>
      </c>
      <c r="M23" s="31">
        <f>IF($A23="","",K23-_xll.BDP($A23&amp;" Corp","YAS_BOND_YLD","YAS_YLD_FLAG=15","SETTLE_DT",Company_desc!$A$2))</f>
        <v/>
      </c>
      <c r="N23" s="79">
        <f>IF($A23="","",_xll.BDP($A23&amp;" Corp","YAS_OAS_SPRD"))</f>
        <v/>
      </c>
      <c r="O23" s="67">
        <f>IF($A23="","",_xll.BDP($A23&amp;" Corp","YAS_MOD_DUR"))</f>
        <v/>
      </c>
      <c r="P23" s="80">
        <f>IF($A23="","",IFERROR(INDEX(Sheet1!$P:$P,MATCH($A23,Sheet1!$A:$A,0)),""))</f>
        <v/>
      </c>
      <c r="Q23" s="75">
        <f>IF($A23="","",IFERROR(INDEX(Company_desc!$C:$C,MATCH($A23,Company_desc!$A:$A,0)),IFERROR(INDEX(Sheet1!$Q:$Q,MATCH($A23,Sheet1!$A:$A,0)),"")))</f>
        <v/>
      </c>
      <c r="R23" s="75">
        <f>IF($A23="","",_xll.BDP($A23&amp;" Corp","CRNCY"))</f>
        <v/>
      </c>
      <c r="S23" s="75">
        <f>IF($A23="","",IFERROR(INDEX(Sheet1!$S:$S,MATCH($A23,Sheet1!$A:$A,0)),""))</f>
        <v/>
      </c>
      <c r="T23" s="75">
        <f>IF($A23="","",IFERROR(INDEX(Sheet1!$T:$T,MATCH($A23,Sheet1!$A:$A,0)),_xll.BDP($A23&amp;" Corp","RTG_SP")))</f>
        <v/>
      </c>
      <c r="U23" s="75">
        <f>IF($A23="","",IFERROR(INDEX(Sheet1!$U:$U,MATCH($A23,Sheet1!$A:$A,0)),""))</f>
        <v/>
      </c>
      <c r="W23" s="81">
        <f>IF($A23="","",N23-_xll.BDP($A23&amp;" Corp","YAS_OAS_SPRD","SETTLE_DT",Company_desc!$A$1))</f>
        <v/>
      </c>
      <c r="X23" s="81">
        <f>IF($A23="","",N23-_xll.BDP($A23&amp;" Corp","YAS_OAS_SPRD","SETTLE_DT",Company_desc!$A$2))</f>
        <v/>
      </c>
      <c r="Y23" s="80">
        <f>IF($A23="","",N23-_xll.BDP($A23&amp;" Corp","YAS_OAS_SPRD","SETTLE_DT",Company_desc!$D$1))</f>
        <v/>
      </c>
      <c r="Z23" s="82">
        <f>IF($A23="","",K23-_xll.BDP($A23&amp;" Corp","YAS_BOND_YLD","YAS_YLD_FLAG=15","SETTLE_DT",Company_desc!$D$1))</f>
        <v/>
      </c>
      <c r="AA23" s="80">
        <f>IF($A23="","",_xll.BDP($A23&amp;" Corp","YAS_OAS_SPRD","SETTLE_DT",Company_desc!$D$1))</f>
        <v/>
      </c>
    </row>
    <row r="24">
      <c r="B24" s="75">
        <f>IF($A24="","",IFERROR(INDEX(Sheet1!$B:$B,MATCH($A24,Sheet1!$A:$A,0)),""))</f>
        <v/>
      </c>
      <c r="C24" s="75">
        <f>IF($A24="","",PROPER(_xll.BDP($A24&amp;" Corp","NAME")))</f>
        <v/>
      </c>
      <c r="D24" s="76">
        <f>IF($A24="","",_xll.BDP($A24&amp;" Corp","CPN"))</f>
        <v/>
      </c>
      <c r="E24" s="75">
        <f>IF($A24="","",_xll.BDP($A24&amp;" Corp","PAYMENT_RANK"))</f>
        <v/>
      </c>
      <c r="F24" s="100">
        <f>IF($A24="","",_xll.BDP($A24&amp;" Corp","MATURITY"))</f>
        <v/>
      </c>
      <c r="G24" s="75">
        <f>IF($A24="","",PROPER(_xll.BDP($A24&amp;" Corp","COUNTRY_FULL_NAME")))</f>
        <v/>
      </c>
      <c r="H24" s="75">
        <f>IF($A24="","",_xll.BDP($A24&amp;" Corp","INDUSTRY_SECTOR"))</f>
        <v/>
      </c>
      <c r="I24" s="101">
        <f>IF($A24="","",IFERROR(_xll.BDP($A24&amp;" Corp","MIN_PIECE")/1000,""))</f>
        <v/>
      </c>
      <c r="J24" s="31">
        <f>IF($A24="","",_xll.BDP($A24&amp;" Corp","PX_LAST"))</f>
        <v/>
      </c>
      <c r="K24" s="31">
        <f>IF($A24="","",_xll.BDP($A24&amp;" Corp","YAS_BOND_YLD","YAS_YLD_FLAG=15"))</f>
        <v/>
      </c>
      <c r="L24" s="31">
        <f>IF($A24="","",K24-_xll.BDP($A24&amp;" Corp","YAS_BOND_YLD","YAS_YLD_FLAG=15","SETTLE_DT",Company_desc!$A$1))</f>
        <v/>
      </c>
      <c r="M24" s="31">
        <f>IF($A24="","",K24-_xll.BDP($A24&amp;" Corp","YAS_BOND_YLD","YAS_YLD_FLAG=15","SETTLE_DT",Company_desc!$A$2))</f>
        <v/>
      </c>
      <c r="N24" s="79">
        <f>IF($A24="","",_xll.BDP($A24&amp;" Corp","YAS_OAS_SPRD"))</f>
        <v/>
      </c>
      <c r="O24" s="67">
        <f>IF($A24="","",_xll.BDP($A24&amp;" Corp","YAS_MOD_DUR"))</f>
        <v/>
      </c>
      <c r="P24" s="80">
        <f>IF($A24="","",IFERROR(INDEX(Sheet1!$P:$P,MATCH($A24,Sheet1!$A:$A,0)),""))</f>
        <v/>
      </c>
      <c r="Q24" s="75">
        <f>IF($A24="","",IFERROR(INDEX(Company_desc!$C:$C,MATCH($A24,Company_desc!$A:$A,0)),IFERROR(INDEX(Sheet1!$Q:$Q,MATCH($A24,Sheet1!$A:$A,0)),"")))</f>
        <v/>
      </c>
      <c r="R24" s="75">
        <f>IF($A24="","",_xll.BDP($A24&amp;" Corp","CRNCY"))</f>
        <v/>
      </c>
      <c r="S24" s="75">
        <f>IF($A24="","",IFERROR(INDEX(Sheet1!$S:$S,MATCH($A24,Sheet1!$A:$A,0)),""))</f>
        <v/>
      </c>
      <c r="T24" s="75">
        <f>IF($A24="","",IFERROR(INDEX(Sheet1!$T:$T,MATCH($A24,Sheet1!$A:$A,0)),_xll.BDP($A24&amp;" Corp","RTG_SP")))</f>
        <v/>
      </c>
      <c r="U24" s="75">
        <f>IF($A24="","",IFERROR(INDEX(Sheet1!$U:$U,MATCH($A24,Sheet1!$A:$A,0)),""))</f>
        <v/>
      </c>
      <c r="W24" s="81">
        <f>IF($A24="","",N24-_xll.BDP($A24&amp;" Corp","YAS_OAS_SPRD","SETTLE_DT",Company_desc!$A$1))</f>
        <v/>
      </c>
      <c r="X24" s="81">
        <f>IF($A24="","",N24-_xll.BDP($A24&amp;" Corp","YAS_OAS_SPRD","SETTLE_DT",Company_desc!$A$2))</f>
        <v/>
      </c>
      <c r="Y24" s="80">
        <f>IF($A24="","",N24-_xll.BDP($A24&amp;" Corp","YAS_OAS_SPRD","SETTLE_DT",Company_desc!$D$1))</f>
        <v/>
      </c>
      <c r="Z24" s="82">
        <f>IF($A24="","",K24-_xll.BDP($A24&amp;" Corp","YAS_BOND_YLD","YAS_YLD_FLAG=15","SETTLE_DT",Company_desc!$D$1))</f>
        <v/>
      </c>
      <c r="AA24" s="80">
        <f>IF($A24="","",_xll.BDP($A24&amp;" Corp","YAS_OAS_SPRD","SETTLE_DT",Company_desc!$D$1))</f>
        <v/>
      </c>
    </row>
    <row r="25">
      <c r="B25" s="75">
        <f>IF($A25="","",IFERROR(INDEX(Sheet1!$B:$B,MATCH($A25,Sheet1!$A:$A,0)),""))</f>
        <v/>
      </c>
      <c r="C25" s="75">
        <f>IF($A25="","",PROPER(_xll.BDP($A25&amp;" Corp","NAME")))</f>
        <v/>
      </c>
      <c r="D25" s="76">
        <f>IF($A25="","",_xll.BDP($A25&amp;" Corp","CPN"))</f>
        <v/>
      </c>
      <c r="E25" s="75">
        <f>IF($A25="","",_xll.BDP($A25&amp;" Corp","PAYMENT_RANK"))</f>
        <v/>
      </c>
      <c r="F25" s="100">
        <f>IF($A25="","",_xll.BDP($A25&amp;" Corp","MATURITY"))</f>
        <v/>
      </c>
      <c r="G25" s="75">
        <f>IF($A25="","",PROPER(_xll.BDP($A25&amp;" Corp","COUNTRY_FULL_NAME")))</f>
        <v/>
      </c>
      <c r="H25" s="75">
        <f>IF($A25="","",_xll.BDP($A25&amp;" Corp","INDUSTRY_SECTOR"))</f>
        <v/>
      </c>
      <c r="I25" s="101">
        <f>IF($A25="","",IFERROR(_xll.BDP($A25&amp;" Corp","MIN_PIECE")/1000,""))</f>
        <v/>
      </c>
      <c r="J25" s="31">
        <f>IF($A25="","",_xll.BDP($A25&amp;" Corp","PX_LAST"))</f>
        <v/>
      </c>
      <c r="K25" s="31">
        <f>IF($A25="","",_xll.BDP($A25&amp;" Corp","YAS_BOND_YLD","YAS_YLD_FLAG=15"))</f>
        <v/>
      </c>
      <c r="L25" s="31">
        <f>IF($A25="","",K25-_xll.BDP($A25&amp;" Corp","YAS_BOND_YLD","YAS_YLD_FLAG=15","SETTLE_DT",Company_desc!$A$1))</f>
        <v/>
      </c>
      <c r="M25" s="31">
        <f>IF($A25="","",K25-_xll.BDP($A25&amp;" Corp","YAS_BOND_YLD","YAS_YLD_FLAG=15","SETTLE_DT",Company_desc!$A$2))</f>
        <v/>
      </c>
      <c r="N25" s="79">
        <f>IF($A25="","",_xll.BDP($A25&amp;" Corp","YAS_OAS_SPRD"))</f>
        <v/>
      </c>
      <c r="O25" s="67">
        <f>IF($A25="","",_xll.BDP($A25&amp;" Corp","YAS_MOD_DUR"))</f>
        <v/>
      </c>
      <c r="P25" s="80">
        <f>IF($A25="","",IFERROR(INDEX(Sheet1!$P:$P,MATCH($A25,Sheet1!$A:$A,0)),""))</f>
        <v/>
      </c>
      <c r="Q25" s="75">
        <f>IF($A25="","",IFERROR(INDEX(Company_desc!$C:$C,MATCH($A25,Company_desc!$A:$A,0)),IFERROR(INDEX(Sheet1!$Q:$Q,MATCH($A25,Sheet1!$A:$A,0)),"")))</f>
        <v/>
      </c>
      <c r="R25" s="75">
        <f>IF($A25="","",_xll.BDP($A25&amp;" Corp","CRNCY"))</f>
        <v/>
      </c>
      <c r="S25" s="75">
        <f>IF($A25="","",IFERROR(INDEX(Sheet1!$S:$S,MATCH($A25,Sheet1!$A:$A,0)),""))</f>
        <v/>
      </c>
      <c r="T25" s="75">
        <f>IF($A25="","",IFERROR(INDEX(Sheet1!$T:$T,MATCH($A25,Sheet1!$A:$A,0)),_xll.BDP($A25&amp;" Corp","RTG_SP")))</f>
        <v/>
      </c>
      <c r="U25" s="75">
        <f>IF($A25="","",IFERROR(INDEX(Sheet1!$U:$U,MATCH($A25,Sheet1!$A:$A,0)),""))</f>
        <v/>
      </c>
      <c r="W25" s="81">
        <f>IF($A25="","",N25-_xll.BDP($A25&amp;" Corp","YAS_OAS_SPRD","SETTLE_DT",Company_desc!$A$1))</f>
        <v/>
      </c>
      <c r="X25" s="81">
        <f>IF($A25="","",N25-_xll.BDP($A25&amp;" Corp","YAS_OAS_SPRD","SETTLE_DT",Company_desc!$A$2))</f>
        <v/>
      </c>
      <c r="Y25" s="80">
        <f>IF($A25="","",N25-_xll.BDP($A25&amp;" Corp","YAS_OAS_SPRD","SETTLE_DT",Company_desc!$D$1))</f>
        <v/>
      </c>
      <c r="Z25" s="82">
        <f>IF($A25="","",K25-_xll.BDP($A25&amp;" Corp","YAS_BOND_YLD","YAS_YLD_FLAG=15","SETTLE_DT",Company_desc!$D$1))</f>
        <v/>
      </c>
      <c r="AA25" s="80">
        <f>IF($A25="","",_xll.BDP($A25&amp;" Corp","YAS_OAS_SPRD","SETTLE_DT",Company_desc!$D$1))</f>
        <v/>
      </c>
    </row>
    <row r="26">
      <c r="B26" s="75">
        <f>IF($A26="","",IFERROR(INDEX(Sheet1!$B:$B,MATCH($A26,Sheet1!$A:$A,0)),""))</f>
        <v/>
      </c>
      <c r="C26" s="75">
        <f>IF($A26="","",PROPER(_xll.BDP($A26&amp;" Corp","NAME")))</f>
        <v/>
      </c>
      <c r="D26" s="76">
        <f>IF($A26="","",_xll.BDP($A26&amp;" Corp","CPN"))</f>
        <v/>
      </c>
      <c r="E26" s="75">
        <f>IF($A26="","",_xll.BDP($A26&amp;" Corp","PAYMENT_RANK"))</f>
        <v/>
      </c>
      <c r="F26" s="100">
        <f>IF($A26="","",_xll.BDP($A26&amp;" Corp","MATURITY"))</f>
        <v/>
      </c>
      <c r="G26" s="75">
        <f>IF($A26="","",PROPER(_xll.BDP($A26&amp;" Corp","COUNTRY_FULL_NAME")))</f>
        <v/>
      </c>
      <c r="H26" s="75">
        <f>IF($A26="","",_xll.BDP($A26&amp;" Corp","INDUSTRY_SECTOR"))</f>
        <v/>
      </c>
      <c r="I26" s="101">
        <f>IF($A26="","",IFERROR(_xll.BDP($A26&amp;" Corp","MIN_PIECE")/1000,""))</f>
        <v/>
      </c>
      <c r="J26" s="31">
        <f>IF($A26="","",_xll.BDP($A26&amp;" Corp","PX_LAST"))</f>
        <v/>
      </c>
      <c r="K26" s="31">
        <f>IF($A26="","",_xll.BDP($A26&amp;" Corp","YAS_BOND_YLD","YAS_YLD_FLAG=15"))</f>
        <v/>
      </c>
      <c r="L26" s="31">
        <f>IF($A26="","",K26-_xll.BDP($A26&amp;" Corp","YAS_BOND_YLD","YAS_YLD_FLAG=15","SETTLE_DT",Company_desc!$A$1))</f>
        <v/>
      </c>
      <c r="M26" s="31">
        <f>IF($A26="","",K26-_xll.BDP($A26&amp;" Corp","YAS_BOND_YLD","YAS_YLD_FLAG=15","SETTLE_DT",Company_desc!$A$2))</f>
        <v/>
      </c>
      <c r="N26" s="79">
        <f>IF($A26="","",_xll.BDP($A26&amp;" Corp","YAS_OAS_SPRD"))</f>
        <v/>
      </c>
      <c r="O26" s="67">
        <f>IF($A26="","",_xll.BDP($A26&amp;" Corp","YAS_MOD_DUR"))</f>
        <v/>
      </c>
      <c r="P26" s="80">
        <f>IF($A26="","",IFERROR(INDEX(Sheet1!$P:$P,MATCH($A26,Sheet1!$A:$A,0)),""))</f>
        <v/>
      </c>
      <c r="Q26" s="75">
        <f>IF($A26="","",IFERROR(INDEX(Company_desc!$C:$C,MATCH($A26,Company_desc!$A:$A,0)),IFERROR(INDEX(Sheet1!$Q:$Q,MATCH($A26,Sheet1!$A:$A,0)),"")))</f>
        <v/>
      </c>
      <c r="R26" s="75">
        <f>IF($A26="","",_xll.BDP($A26&amp;" Corp","CRNCY"))</f>
        <v/>
      </c>
      <c r="S26" s="75">
        <f>IF($A26="","",IFERROR(INDEX(Sheet1!$S:$S,MATCH($A26,Sheet1!$A:$A,0)),""))</f>
        <v/>
      </c>
      <c r="T26" s="75">
        <f>IF($A26="","",IFERROR(INDEX(Sheet1!$T:$T,MATCH($A26,Sheet1!$A:$A,0)),_xll.BDP($A26&amp;" Corp","RTG_SP")))</f>
        <v/>
      </c>
      <c r="U26" s="75">
        <f>IF($A26="","",IFERROR(INDEX(Sheet1!$U:$U,MATCH($A26,Sheet1!$A:$A,0)),""))</f>
        <v/>
      </c>
      <c r="W26" s="81">
        <f>IF($A26="","",N26-_xll.BDP($A26&amp;" Corp","YAS_OAS_SPRD","SETTLE_DT",Company_desc!$A$1))</f>
        <v/>
      </c>
      <c r="X26" s="81">
        <f>IF($A26="","",N26-_xll.BDP($A26&amp;" Corp","YAS_OAS_SPRD","SETTLE_DT",Company_desc!$A$2))</f>
        <v/>
      </c>
      <c r="Y26" s="80">
        <f>IF($A26="","",N26-_xll.BDP($A26&amp;" Corp","YAS_OAS_SPRD","SETTLE_DT",Company_desc!$D$1))</f>
        <v/>
      </c>
      <c r="Z26" s="82">
        <f>IF($A26="","",K26-_xll.BDP($A26&amp;" Corp","YAS_BOND_YLD","YAS_YLD_FLAG=15","SETTLE_DT",Company_desc!$D$1))</f>
        <v/>
      </c>
      <c r="AA26" s="80">
        <f>IF($A26="","",_xll.BDP($A26&amp;" Corp","YAS_OAS_SPRD","SETTLE_DT",Company_desc!$D$1))</f>
        <v/>
      </c>
    </row>
    <row r="27">
      <c r="B27" s="75">
        <f>IF($A27="","",IFERROR(INDEX(Sheet1!$B:$B,MATCH($A27,Sheet1!$A:$A,0)),""))</f>
        <v/>
      </c>
      <c r="C27" s="75">
        <f>IF($A27="","",PROPER(_xll.BDP($A27&amp;" Corp","NAME")))</f>
        <v/>
      </c>
      <c r="D27" s="76">
        <f>IF($A27="","",_xll.BDP($A27&amp;" Corp","CPN"))</f>
        <v/>
      </c>
      <c r="E27" s="75">
        <f>IF($A27="","",_xll.BDP($A27&amp;" Corp","PAYMENT_RANK"))</f>
        <v/>
      </c>
      <c r="F27" s="100">
        <f>IF($A27="","",_xll.BDP($A27&amp;" Corp","MATURITY"))</f>
        <v/>
      </c>
      <c r="G27" s="75">
        <f>IF($A27="","",PROPER(_xll.BDP($A27&amp;" Corp","COUNTRY_FULL_NAME")))</f>
        <v/>
      </c>
      <c r="H27" s="75">
        <f>IF($A27="","",_xll.BDP($A27&amp;" Corp","INDUSTRY_SECTOR"))</f>
        <v/>
      </c>
      <c r="I27" s="101">
        <f>IF($A27="","",IFERROR(_xll.BDP($A27&amp;" Corp","MIN_PIECE")/1000,""))</f>
        <v/>
      </c>
      <c r="J27" s="31">
        <f>IF($A27="","",_xll.BDP($A27&amp;" Corp","PX_LAST"))</f>
        <v/>
      </c>
      <c r="K27" s="31">
        <f>IF($A27="","",_xll.BDP($A27&amp;" Corp","YAS_BOND_YLD","YAS_YLD_FLAG=15"))</f>
        <v/>
      </c>
      <c r="L27" s="31">
        <f>IF($A27="","",K27-_xll.BDP($A27&amp;" Corp","YAS_BOND_YLD","YAS_YLD_FLAG=15","SETTLE_DT",Company_desc!$A$1))</f>
        <v/>
      </c>
      <c r="M27" s="31">
        <f>IF($A27="","",K27-_xll.BDP($A27&amp;" Corp","YAS_BOND_YLD","YAS_YLD_FLAG=15","SETTLE_DT",Company_desc!$A$2))</f>
        <v/>
      </c>
      <c r="N27" s="79">
        <f>IF($A27="","",_xll.BDP($A27&amp;" Corp","YAS_OAS_SPRD"))</f>
        <v/>
      </c>
      <c r="O27" s="67">
        <f>IF($A27="","",_xll.BDP($A27&amp;" Corp","YAS_MOD_DUR"))</f>
        <v/>
      </c>
      <c r="P27" s="80">
        <f>IF($A27="","",IFERROR(INDEX(Sheet1!$P:$P,MATCH($A27,Sheet1!$A:$A,0)),""))</f>
        <v/>
      </c>
      <c r="Q27" s="75">
        <f>IF($A27="","",IFERROR(INDEX(Company_desc!$C:$C,MATCH($A27,Company_desc!$A:$A,0)),IFERROR(INDEX(Sheet1!$Q:$Q,MATCH($A27,Sheet1!$A:$A,0)),"")))</f>
        <v/>
      </c>
      <c r="R27" s="75">
        <f>IF($A27="","",_xll.BDP($A27&amp;" Corp","CRNCY"))</f>
        <v/>
      </c>
      <c r="S27" s="75">
        <f>IF($A27="","",IFERROR(INDEX(Sheet1!$S:$S,MATCH($A27,Sheet1!$A:$A,0)),""))</f>
        <v/>
      </c>
      <c r="T27" s="75">
        <f>IF($A27="","",IFERROR(INDEX(Sheet1!$T:$T,MATCH($A27,Sheet1!$A:$A,0)),_xll.BDP($A27&amp;" Corp","RTG_SP")))</f>
        <v/>
      </c>
      <c r="U27" s="75">
        <f>IF($A27="","",IFERROR(INDEX(Sheet1!$U:$U,MATCH($A27,Sheet1!$A:$A,0)),""))</f>
        <v/>
      </c>
      <c r="W27" s="81">
        <f>IF($A27="","",N27-_xll.BDP($A27&amp;" Corp","YAS_OAS_SPRD","SETTLE_DT",Company_desc!$A$1))</f>
        <v/>
      </c>
      <c r="X27" s="81">
        <f>IF($A27="","",N27-_xll.BDP($A27&amp;" Corp","YAS_OAS_SPRD","SETTLE_DT",Company_desc!$A$2))</f>
        <v/>
      </c>
      <c r="Y27" s="80">
        <f>IF($A27="","",N27-_xll.BDP($A27&amp;" Corp","YAS_OAS_SPRD","SETTLE_DT",Company_desc!$D$1))</f>
        <v/>
      </c>
      <c r="Z27" s="82">
        <f>IF($A27="","",K27-_xll.BDP($A27&amp;" Corp","YAS_BOND_YLD","YAS_YLD_FLAG=15","SETTLE_DT",Company_desc!$D$1))</f>
        <v/>
      </c>
      <c r="AA27" s="80">
        <f>IF($A27="","",_xll.BDP($A27&amp;" Corp","YAS_OAS_SPRD","SETTLE_DT",Company_desc!$D$1))</f>
        <v/>
      </c>
    </row>
    <row r="28">
      <c r="B28" s="75">
        <f>IF($A28="","",IFERROR(INDEX(Sheet1!$B:$B,MATCH($A28,Sheet1!$A:$A,0)),""))</f>
        <v/>
      </c>
      <c r="C28" s="75">
        <f>IF($A28="","",PROPER(_xll.BDP($A28&amp;" Corp","NAME")))</f>
        <v/>
      </c>
      <c r="D28" s="76">
        <f>IF($A28="","",_xll.BDP($A28&amp;" Corp","CPN"))</f>
        <v/>
      </c>
      <c r="E28" s="75">
        <f>IF($A28="","",_xll.BDP($A28&amp;" Corp","PAYMENT_RANK"))</f>
        <v/>
      </c>
      <c r="F28" s="100">
        <f>IF($A28="","",_xll.BDP($A28&amp;" Corp","MATURITY"))</f>
        <v/>
      </c>
      <c r="G28" s="75">
        <f>IF($A28="","",PROPER(_xll.BDP($A28&amp;" Corp","COUNTRY_FULL_NAME")))</f>
        <v/>
      </c>
      <c r="H28" s="75">
        <f>IF($A28="","",_xll.BDP($A28&amp;" Corp","INDUSTRY_SECTOR"))</f>
        <v/>
      </c>
      <c r="I28" s="101">
        <f>IF($A28="","",IFERROR(_xll.BDP($A28&amp;" Corp","MIN_PIECE")/1000,""))</f>
        <v/>
      </c>
      <c r="J28" s="31">
        <f>IF($A28="","",_xll.BDP($A28&amp;" Corp","PX_LAST"))</f>
        <v/>
      </c>
      <c r="K28" s="31">
        <f>IF($A28="","",_xll.BDP($A28&amp;" Corp","YAS_BOND_YLD","YAS_YLD_FLAG=15"))</f>
        <v/>
      </c>
      <c r="L28" s="31">
        <f>IF($A28="","",K28-_xll.BDP($A28&amp;" Corp","YAS_BOND_YLD","YAS_YLD_FLAG=15","SETTLE_DT",Company_desc!$A$1))</f>
        <v/>
      </c>
      <c r="M28" s="31">
        <f>IF($A28="","",K28-_xll.BDP($A28&amp;" Corp","YAS_BOND_YLD","YAS_YLD_FLAG=15","SETTLE_DT",Company_desc!$A$2))</f>
        <v/>
      </c>
      <c r="N28" s="79">
        <f>IF($A28="","",_xll.BDP($A28&amp;" Corp","YAS_OAS_SPRD"))</f>
        <v/>
      </c>
      <c r="O28" s="67">
        <f>IF($A28="","",_xll.BDP($A28&amp;" Corp","YAS_MOD_DUR"))</f>
        <v/>
      </c>
      <c r="P28" s="80">
        <f>IF($A28="","",IFERROR(INDEX(Sheet1!$P:$P,MATCH($A28,Sheet1!$A:$A,0)),""))</f>
        <v/>
      </c>
      <c r="Q28" s="75">
        <f>IF($A28="","",IFERROR(INDEX(Company_desc!$C:$C,MATCH($A28,Company_desc!$A:$A,0)),IFERROR(INDEX(Sheet1!$Q:$Q,MATCH($A28,Sheet1!$A:$A,0)),"")))</f>
        <v/>
      </c>
      <c r="R28" s="75">
        <f>IF($A28="","",_xll.BDP($A28&amp;" Corp","CRNCY"))</f>
        <v/>
      </c>
      <c r="S28" s="75">
        <f>IF($A28="","",IFERROR(INDEX(Sheet1!$S:$S,MATCH($A28,Sheet1!$A:$A,0)),""))</f>
        <v/>
      </c>
      <c r="T28" s="75">
        <f>IF($A28="","",IFERROR(INDEX(Sheet1!$T:$T,MATCH($A28,Sheet1!$A:$A,0)),_xll.BDP($A28&amp;" Corp","RTG_SP")))</f>
        <v/>
      </c>
      <c r="U28" s="75">
        <f>IF($A28="","",IFERROR(INDEX(Sheet1!$U:$U,MATCH($A28,Sheet1!$A:$A,0)),""))</f>
        <v/>
      </c>
      <c r="W28" s="81">
        <f>IF($A28="","",N28-_xll.BDP($A28&amp;" Corp","YAS_OAS_SPRD","SETTLE_DT",Company_desc!$A$1))</f>
        <v/>
      </c>
      <c r="X28" s="81">
        <f>IF($A28="","",N28-_xll.BDP($A28&amp;" Corp","YAS_OAS_SPRD","SETTLE_DT",Company_desc!$A$2))</f>
        <v/>
      </c>
      <c r="Y28" s="80">
        <f>IF($A28="","",N28-_xll.BDP($A28&amp;" Corp","YAS_OAS_SPRD","SETTLE_DT",Company_desc!$D$1))</f>
        <v/>
      </c>
      <c r="Z28" s="82">
        <f>IF($A28="","",K28-_xll.BDP($A28&amp;" Corp","YAS_BOND_YLD","YAS_YLD_FLAG=15","SETTLE_DT",Company_desc!$D$1))</f>
        <v/>
      </c>
      <c r="AA28" s="80">
        <f>IF($A28="","",_xll.BDP($A28&amp;" Corp","YAS_OAS_SPRD","SETTLE_DT",Company_desc!$D$1))</f>
        <v/>
      </c>
    </row>
    <row r="29">
      <c r="B29" s="75">
        <f>IF($A29="","",IFERROR(INDEX(Sheet1!$B:$B,MATCH($A29,Sheet1!$A:$A,0)),""))</f>
        <v/>
      </c>
      <c r="C29" s="75">
        <f>IF($A29="","",PROPER(_xll.BDP($A29&amp;" Corp","NAME")))</f>
        <v/>
      </c>
      <c r="D29" s="76">
        <f>IF($A29="","",_xll.BDP($A29&amp;" Corp","CPN"))</f>
        <v/>
      </c>
      <c r="E29" s="75">
        <f>IF($A29="","",_xll.BDP($A29&amp;" Corp","PAYMENT_RANK"))</f>
        <v/>
      </c>
      <c r="F29" s="100">
        <f>IF($A29="","",_xll.BDP($A29&amp;" Corp","MATURITY"))</f>
        <v/>
      </c>
      <c r="G29" s="75">
        <f>IF($A29="","",PROPER(_xll.BDP($A29&amp;" Corp","COUNTRY_FULL_NAME")))</f>
        <v/>
      </c>
      <c r="H29" s="75">
        <f>IF($A29="","",_xll.BDP($A29&amp;" Corp","INDUSTRY_SECTOR"))</f>
        <v/>
      </c>
      <c r="I29" s="101">
        <f>IF($A29="","",IFERROR(_xll.BDP($A29&amp;" Corp","MIN_PIECE")/1000,""))</f>
        <v/>
      </c>
      <c r="J29" s="31">
        <f>IF($A29="","",_xll.BDP($A29&amp;" Corp","PX_LAST"))</f>
        <v/>
      </c>
      <c r="K29" s="31">
        <f>IF($A29="","",_xll.BDP($A29&amp;" Corp","YAS_BOND_YLD","YAS_YLD_FLAG=15"))</f>
        <v/>
      </c>
      <c r="L29" s="31">
        <f>IF($A29="","",K29-_xll.BDP($A29&amp;" Corp","YAS_BOND_YLD","YAS_YLD_FLAG=15","SETTLE_DT",Company_desc!$A$1))</f>
        <v/>
      </c>
      <c r="M29" s="31">
        <f>IF($A29="","",K29-_xll.BDP($A29&amp;" Corp","YAS_BOND_YLD","YAS_YLD_FLAG=15","SETTLE_DT",Company_desc!$A$2))</f>
        <v/>
      </c>
      <c r="N29" s="79">
        <f>IF($A29="","",_xll.BDP($A29&amp;" Corp","YAS_OAS_SPRD"))</f>
        <v/>
      </c>
      <c r="O29" s="67">
        <f>IF($A29="","",_xll.BDP($A29&amp;" Corp","YAS_MOD_DUR"))</f>
        <v/>
      </c>
      <c r="P29" s="80">
        <f>IF($A29="","",IFERROR(INDEX(Sheet1!$P:$P,MATCH($A29,Sheet1!$A:$A,0)),""))</f>
        <v/>
      </c>
      <c r="Q29" s="75">
        <f>IF($A29="","",IFERROR(INDEX(Company_desc!$C:$C,MATCH($A29,Company_desc!$A:$A,0)),IFERROR(INDEX(Sheet1!$Q:$Q,MATCH($A29,Sheet1!$A:$A,0)),"")))</f>
        <v/>
      </c>
      <c r="R29" s="75">
        <f>IF($A29="","",_xll.BDP($A29&amp;" Corp","CRNCY"))</f>
        <v/>
      </c>
      <c r="S29" s="75">
        <f>IF($A29="","",IFERROR(INDEX(Sheet1!$S:$S,MATCH($A29,Sheet1!$A:$A,0)),""))</f>
        <v/>
      </c>
      <c r="T29" s="75">
        <f>IF($A29="","",IFERROR(INDEX(Sheet1!$T:$T,MATCH($A29,Sheet1!$A:$A,0)),_xll.BDP($A29&amp;" Corp","RTG_SP")))</f>
        <v/>
      </c>
      <c r="U29" s="75">
        <f>IF($A29="","",IFERROR(INDEX(Sheet1!$U:$U,MATCH($A29,Sheet1!$A:$A,0)),""))</f>
        <v/>
      </c>
      <c r="W29" s="81">
        <f>IF($A29="","",N29-_xll.BDP($A29&amp;" Corp","YAS_OAS_SPRD","SETTLE_DT",Company_desc!$A$1))</f>
        <v/>
      </c>
      <c r="X29" s="81">
        <f>IF($A29="","",N29-_xll.BDP($A29&amp;" Corp","YAS_OAS_SPRD","SETTLE_DT",Company_desc!$A$2))</f>
        <v/>
      </c>
      <c r="Y29" s="80">
        <f>IF($A29="","",N29-_xll.BDP($A29&amp;" Corp","YAS_OAS_SPRD","SETTLE_DT",Company_desc!$D$1))</f>
        <v/>
      </c>
      <c r="Z29" s="82">
        <f>IF($A29="","",K29-_xll.BDP($A29&amp;" Corp","YAS_BOND_YLD","YAS_YLD_FLAG=15","SETTLE_DT",Company_desc!$D$1))</f>
        <v/>
      </c>
      <c r="AA29" s="80">
        <f>IF($A29="","",_xll.BDP($A29&amp;" Corp","YAS_OAS_SPRD","SETTLE_DT",Company_desc!$D$1))</f>
        <v/>
      </c>
    </row>
    <row r="30">
      <c r="B30" s="75">
        <f>IF($A30="","",IFERROR(INDEX(Sheet1!$B:$B,MATCH($A30,Sheet1!$A:$A,0)),""))</f>
        <v/>
      </c>
      <c r="C30" s="75">
        <f>IF($A30="","",PROPER(_xll.BDP($A30&amp;" Corp","NAME")))</f>
        <v/>
      </c>
      <c r="D30" s="76">
        <f>IF($A30="","",_xll.BDP($A30&amp;" Corp","CPN"))</f>
        <v/>
      </c>
      <c r="E30" s="75">
        <f>IF($A30="","",_xll.BDP($A30&amp;" Corp","PAYMENT_RANK"))</f>
        <v/>
      </c>
      <c r="F30" s="100">
        <f>IF($A30="","",_xll.BDP($A30&amp;" Corp","MATURITY"))</f>
        <v/>
      </c>
      <c r="G30" s="75">
        <f>IF($A30="","",PROPER(_xll.BDP($A30&amp;" Corp","COUNTRY_FULL_NAME")))</f>
        <v/>
      </c>
      <c r="H30" s="75">
        <f>IF($A30="","",_xll.BDP($A30&amp;" Corp","INDUSTRY_SECTOR"))</f>
        <v/>
      </c>
      <c r="I30" s="101">
        <f>IF($A30="","",IFERROR(_xll.BDP($A30&amp;" Corp","MIN_PIECE")/1000,""))</f>
        <v/>
      </c>
      <c r="J30" s="31">
        <f>IF($A30="","",_xll.BDP($A30&amp;" Corp","PX_LAST"))</f>
        <v/>
      </c>
      <c r="K30" s="31">
        <f>IF($A30="","",_xll.BDP($A30&amp;" Corp","YAS_BOND_YLD","YAS_YLD_FLAG=15"))</f>
        <v/>
      </c>
      <c r="L30" s="31">
        <f>IF($A30="","",K30-_xll.BDP($A30&amp;" Corp","YAS_BOND_YLD","YAS_YLD_FLAG=15","SETTLE_DT",Company_desc!$A$1))</f>
        <v/>
      </c>
      <c r="M30" s="31">
        <f>IF($A30="","",K30-_xll.BDP($A30&amp;" Corp","YAS_BOND_YLD","YAS_YLD_FLAG=15","SETTLE_DT",Company_desc!$A$2))</f>
        <v/>
      </c>
      <c r="N30" s="79">
        <f>IF($A30="","",_xll.BDP($A30&amp;" Corp","YAS_OAS_SPRD"))</f>
        <v/>
      </c>
      <c r="O30" s="67">
        <f>IF($A30="","",_xll.BDP($A30&amp;" Corp","YAS_MOD_DUR"))</f>
        <v/>
      </c>
      <c r="P30" s="80">
        <f>IF($A30="","",IFERROR(INDEX(Sheet1!$P:$P,MATCH($A30,Sheet1!$A:$A,0)),""))</f>
        <v/>
      </c>
      <c r="Q30" s="75">
        <f>IF($A30="","",IFERROR(INDEX(Company_desc!$C:$C,MATCH($A30,Company_desc!$A:$A,0)),IFERROR(INDEX(Sheet1!$Q:$Q,MATCH($A30,Sheet1!$A:$A,0)),"")))</f>
        <v/>
      </c>
      <c r="R30" s="75">
        <f>IF($A30="","",_xll.BDP($A30&amp;" Corp","CRNCY"))</f>
        <v/>
      </c>
      <c r="S30" s="75">
        <f>IF($A30="","",IFERROR(INDEX(Sheet1!$S:$S,MATCH($A30,Sheet1!$A:$A,0)),""))</f>
        <v/>
      </c>
      <c r="T30" s="75">
        <f>IF($A30="","",IFERROR(INDEX(Sheet1!$T:$T,MATCH($A30,Sheet1!$A:$A,0)),_xll.BDP($A30&amp;" Corp","RTG_SP")))</f>
        <v/>
      </c>
      <c r="U30" s="75">
        <f>IF($A30="","",IFERROR(INDEX(Sheet1!$U:$U,MATCH($A30,Sheet1!$A:$A,0)),""))</f>
        <v/>
      </c>
      <c r="W30" s="81">
        <f>IF($A30="","",N30-_xll.BDP($A30&amp;" Corp","YAS_OAS_SPRD","SETTLE_DT",Company_desc!$A$1))</f>
        <v/>
      </c>
      <c r="X30" s="81">
        <f>IF($A30="","",N30-_xll.BDP($A30&amp;" Corp","YAS_OAS_SPRD","SETTLE_DT",Company_desc!$A$2))</f>
        <v/>
      </c>
      <c r="Y30" s="80">
        <f>IF($A30="","",N30-_xll.BDP($A30&amp;" Corp","YAS_OAS_SPRD","SETTLE_DT",Company_desc!$D$1))</f>
        <v/>
      </c>
      <c r="Z30" s="82">
        <f>IF($A30="","",K30-_xll.BDP($A30&amp;" Corp","YAS_BOND_YLD","YAS_YLD_FLAG=15","SETTLE_DT",Company_desc!$D$1))</f>
        <v/>
      </c>
      <c r="AA30" s="80">
        <f>IF($A30="","",_xll.BDP($A30&amp;" Corp","YAS_OAS_SPRD","SETTLE_DT",Company_desc!$D$1))</f>
        <v/>
      </c>
    </row>
    <row r="31">
      <c r="B31" s="75">
        <f>IF($A31="","",IFERROR(INDEX(Sheet1!$B:$B,MATCH($A31,Sheet1!$A:$A,0)),""))</f>
        <v/>
      </c>
      <c r="C31" s="75">
        <f>IF($A31="","",PROPER(_xll.BDP($A31&amp;" Corp","NAME")))</f>
        <v/>
      </c>
      <c r="D31" s="76">
        <f>IF($A31="","",_xll.BDP($A31&amp;" Corp","CPN"))</f>
        <v/>
      </c>
      <c r="E31" s="75">
        <f>IF($A31="","",_xll.BDP($A31&amp;" Corp","PAYMENT_RANK"))</f>
        <v/>
      </c>
      <c r="F31" s="100">
        <f>IF($A31="","",_xll.BDP($A31&amp;" Corp","MATURITY"))</f>
        <v/>
      </c>
      <c r="G31" s="75">
        <f>IF($A31="","",PROPER(_xll.BDP($A31&amp;" Corp","COUNTRY_FULL_NAME")))</f>
        <v/>
      </c>
      <c r="H31" s="75">
        <f>IF($A31="","",_xll.BDP($A31&amp;" Corp","INDUSTRY_SECTOR"))</f>
        <v/>
      </c>
      <c r="I31" s="101">
        <f>IF($A31="","",IFERROR(_xll.BDP($A31&amp;" Corp","MIN_PIECE")/1000,""))</f>
        <v/>
      </c>
      <c r="J31" s="31">
        <f>IF($A31="","",_xll.BDP($A31&amp;" Corp","PX_LAST"))</f>
        <v/>
      </c>
      <c r="K31" s="31">
        <f>IF($A31="","",_xll.BDP($A31&amp;" Corp","YAS_BOND_YLD","YAS_YLD_FLAG=15"))</f>
        <v/>
      </c>
      <c r="L31" s="31">
        <f>IF($A31="","",K31-_xll.BDP($A31&amp;" Corp","YAS_BOND_YLD","YAS_YLD_FLAG=15","SETTLE_DT",Company_desc!$A$1))</f>
        <v/>
      </c>
      <c r="M31" s="31">
        <f>IF($A31="","",K31-_xll.BDP($A31&amp;" Corp","YAS_BOND_YLD","YAS_YLD_FLAG=15","SETTLE_DT",Company_desc!$A$2))</f>
        <v/>
      </c>
      <c r="N31" s="79">
        <f>IF($A31="","",_xll.BDP($A31&amp;" Corp","YAS_OAS_SPRD"))</f>
        <v/>
      </c>
      <c r="O31" s="67">
        <f>IF($A31="","",_xll.BDP($A31&amp;" Corp","YAS_MOD_DUR"))</f>
        <v/>
      </c>
      <c r="P31" s="80">
        <f>IF($A31="","",IFERROR(INDEX(Sheet1!$P:$P,MATCH($A31,Sheet1!$A:$A,0)),""))</f>
        <v/>
      </c>
      <c r="Q31" s="75">
        <f>IF($A31="","",IFERROR(INDEX(Company_desc!$C:$C,MATCH($A31,Company_desc!$A:$A,0)),IFERROR(INDEX(Sheet1!$Q:$Q,MATCH($A31,Sheet1!$A:$A,0)),"")))</f>
        <v/>
      </c>
      <c r="R31" s="75">
        <f>IF($A31="","",_xll.BDP($A31&amp;" Corp","CRNCY"))</f>
        <v/>
      </c>
      <c r="S31" s="75">
        <f>IF($A31="","",IFERROR(INDEX(Sheet1!$S:$S,MATCH($A31,Sheet1!$A:$A,0)),""))</f>
        <v/>
      </c>
      <c r="T31" s="75">
        <f>IF($A31="","",IFERROR(INDEX(Sheet1!$T:$T,MATCH($A31,Sheet1!$A:$A,0)),_xll.BDP($A31&amp;" Corp","RTG_SP")))</f>
        <v/>
      </c>
      <c r="U31" s="75">
        <f>IF($A31="","",IFERROR(INDEX(Sheet1!$U:$U,MATCH($A31,Sheet1!$A:$A,0)),""))</f>
        <v/>
      </c>
      <c r="W31" s="81">
        <f>IF($A31="","",N31-_xll.BDP($A31&amp;" Corp","YAS_OAS_SPRD","SETTLE_DT",Company_desc!$A$1))</f>
        <v/>
      </c>
      <c r="X31" s="81">
        <f>IF($A31="","",N31-_xll.BDP($A31&amp;" Corp","YAS_OAS_SPRD","SETTLE_DT",Company_desc!$A$2))</f>
        <v/>
      </c>
      <c r="Y31" s="80">
        <f>IF($A31="","",N31-_xll.BDP($A31&amp;" Corp","YAS_OAS_SPRD","SETTLE_DT",Company_desc!$D$1))</f>
        <v/>
      </c>
      <c r="Z31" s="82">
        <f>IF($A31="","",K31-_xll.BDP($A31&amp;" Corp","YAS_BOND_YLD","YAS_YLD_FLAG=15","SETTLE_DT",Company_desc!$D$1))</f>
        <v/>
      </c>
      <c r="AA31" s="80">
        <f>IF($A31="","",_xll.BDP($A31&amp;" Corp","YAS_OAS_SPRD","SETTLE_DT",Company_desc!$D$1))</f>
        <v/>
      </c>
    </row>
    <row r="32">
      <c r="B32" s="75">
        <f>IF($A32="","",IFERROR(INDEX(Sheet1!$B:$B,MATCH($A32,Sheet1!$A:$A,0)),""))</f>
        <v/>
      </c>
      <c r="C32" s="75">
        <f>IF($A32="","",PROPER(_xll.BDP($A32&amp;" Corp","NAME")))</f>
        <v/>
      </c>
      <c r="D32" s="76">
        <f>IF($A32="","",_xll.BDP($A32&amp;" Corp","CPN"))</f>
        <v/>
      </c>
      <c r="E32" s="75">
        <f>IF($A32="","",_xll.BDP($A32&amp;" Corp","PAYMENT_RANK"))</f>
        <v/>
      </c>
      <c r="F32" s="100">
        <f>IF($A32="","",_xll.BDP($A32&amp;" Corp","MATURITY"))</f>
        <v/>
      </c>
      <c r="G32" s="75">
        <f>IF($A32="","",PROPER(_xll.BDP($A32&amp;" Corp","COUNTRY_FULL_NAME")))</f>
        <v/>
      </c>
      <c r="H32" s="75">
        <f>IF($A32="","",_xll.BDP($A32&amp;" Corp","INDUSTRY_SECTOR"))</f>
        <v/>
      </c>
      <c r="I32" s="101">
        <f>IF($A32="","",IFERROR(_xll.BDP($A32&amp;" Corp","MIN_PIECE")/1000,""))</f>
        <v/>
      </c>
      <c r="J32" s="31">
        <f>IF($A32="","",_xll.BDP($A32&amp;" Corp","PX_LAST"))</f>
        <v/>
      </c>
      <c r="K32" s="31">
        <f>IF($A32="","",_xll.BDP($A32&amp;" Corp","YAS_BOND_YLD","YAS_YLD_FLAG=15"))</f>
        <v/>
      </c>
      <c r="L32" s="31">
        <f>IF($A32="","",K32-_xll.BDP($A32&amp;" Corp","YAS_BOND_YLD","YAS_YLD_FLAG=15","SETTLE_DT",Company_desc!$A$1))</f>
        <v/>
      </c>
      <c r="M32" s="31">
        <f>IF($A32="","",K32-_xll.BDP($A32&amp;" Corp","YAS_BOND_YLD","YAS_YLD_FLAG=15","SETTLE_DT",Company_desc!$A$2))</f>
        <v/>
      </c>
      <c r="N32" s="79">
        <f>IF($A32="","",_xll.BDP($A32&amp;" Corp","YAS_OAS_SPRD"))</f>
        <v/>
      </c>
      <c r="O32" s="67">
        <f>IF($A32="","",_xll.BDP($A32&amp;" Corp","YAS_MOD_DUR"))</f>
        <v/>
      </c>
      <c r="P32" s="80">
        <f>IF($A32="","",IFERROR(INDEX(Sheet1!$P:$P,MATCH($A32,Sheet1!$A:$A,0)),""))</f>
        <v/>
      </c>
      <c r="Q32" s="75">
        <f>IF($A32="","",IFERROR(INDEX(Company_desc!$C:$C,MATCH($A32,Company_desc!$A:$A,0)),IFERROR(INDEX(Sheet1!$Q:$Q,MATCH($A32,Sheet1!$A:$A,0)),"")))</f>
        <v/>
      </c>
      <c r="R32" s="75">
        <f>IF($A32="","",_xll.BDP($A32&amp;" Corp","CRNCY"))</f>
        <v/>
      </c>
      <c r="S32" s="75">
        <f>IF($A32="","",IFERROR(INDEX(Sheet1!$S:$S,MATCH($A32,Sheet1!$A:$A,0)),""))</f>
        <v/>
      </c>
      <c r="T32" s="75">
        <f>IF($A32="","",IFERROR(INDEX(Sheet1!$T:$T,MATCH($A32,Sheet1!$A:$A,0)),_xll.BDP($A32&amp;" Corp","RTG_SP")))</f>
        <v/>
      </c>
      <c r="U32" s="75">
        <f>IF($A32="","",IFERROR(INDEX(Sheet1!$U:$U,MATCH($A32,Sheet1!$A:$A,0)),""))</f>
        <v/>
      </c>
      <c r="W32" s="81">
        <f>IF($A32="","",N32-_xll.BDP($A32&amp;" Corp","YAS_OAS_SPRD","SETTLE_DT",Company_desc!$A$1))</f>
        <v/>
      </c>
      <c r="X32" s="81">
        <f>IF($A32="","",N32-_xll.BDP($A32&amp;" Corp","YAS_OAS_SPRD","SETTLE_DT",Company_desc!$A$2))</f>
        <v/>
      </c>
      <c r="Y32" s="80">
        <f>IF($A32="","",N32-_xll.BDP($A32&amp;" Corp","YAS_OAS_SPRD","SETTLE_DT",Company_desc!$D$1))</f>
        <v/>
      </c>
      <c r="Z32" s="82">
        <f>IF($A32="","",K32-_xll.BDP($A32&amp;" Corp","YAS_BOND_YLD","YAS_YLD_FLAG=15","SETTLE_DT",Company_desc!$D$1))</f>
        <v/>
      </c>
      <c r="AA32" s="80">
        <f>IF($A32="","",_xll.BDP($A32&amp;" Corp","YAS_OAS_SPRD","SETTLE_DT",Company_desc!$D$1))</f>
        <v/>
      </c>
    </row>
    <row r="33">
      <c r="B33" s="75">
        <f>IF($A33="","",IFERROR(INDEX(Sheet1!$B:$B,MATCH($A33,Sheet1!$A:$A,0)),""))</f>
        <v/>
      </c>
      <c r="C33" s="75">
        <f>IF($A33="","",PROPER(_xll.BDP($A33&amp;" Corp","NAME")))</f>
        <v/>
      </c>
      <c r="D33" s="76">
        <f>IF($A33="","",_xll.BDP($A33&amp;" Corp","CPN"))</f>
        <v/>
      </c>
      <c r="E33" s="75">
        <f>IF($A33="","",_xll.BDP($A33&amp;" Corp","PAYMENT_RANK"))</f>
        <v/>
      </c>
      <c r="F33" s="100">
        <f>IF($A33="","",_xll.BDP($A33&amp;" Corp","MATURITY"))</f>
        <v/>
      </c>
      <c r="G33" s="75">
        <f>IF($A33="","",PROPER(_xll.BDP($A33&amp;" Corp","COUNTRY_FULL_NAME")))</f>
        <v/>
      </c>
      <c r="H33" s="75">
        <f>IF($A33="","",_xll.BDP($A33&amp;" Corp","INDUSTRY_SECTOR"))</f>
        <v/>
      </c>
      <c r="I33" s="101">
        <f>IF($A33="","",IFERROR(_xll.BDP($A33&amp;" Corp","MIN_PIECE")/1000,""))</f>
        <v/>
      </c>
      <c r="J33" s="31">
        <f>IF($A33="","",_xll.BDP($A33&amp;" Corp","PX_LAST"))</f>
        <v/>
      </c>
      <c r="K33" s="31">
        <f>IF($A33="","",_xll.BDP($A33&amp;" Corp","YAS_BOND_YLD","YAS_YLD_FLAG=15"))</f>
        <v/>
      </c>
      <c r="L33" s="31">
        <f>IF($A33="","",K33-_xll.BDP($A33&amp;" Corp","YAS_BOND_YLD","YAS_YLD_FLAG=15","SETTLE_DT",Company_desc!$A$1))</f>
        <v/>
      </c>
      <c r="M33" s="31">
        <f>IF($A33="","",K33-_xll.BDP($A33&amp;" Corp","YAS_BOND_YLD","YAS_YLD_FLAG=15","SETTLE_DT",Company_desc!$A$2))</f>
        <v/>
      </c>
      <c r="N33" s="79">
        <f>IF($A33="","",_xll.BDP($A33&amp;" Corp","YAS_OAS_SPRD"))</f>
        <v/>
      </c>
      <c r="O33" s="67">
        <f>IF($A33="","",_xll.BDP($A33&amp;" Corp","YAS_MOD_DUR"))</f>
        <v/>
      </c>
      <c r="P33" s="80">
        <f>IF($A33="","",IFERROR(INDEX(Sheet1!$P:$P,MATCH($A33,Sheet1!$A:$A,0)),""))</f>
        <v/>
      </c>
      <c r="Q33" s="75">
        <f>IF($A33="","",IFERROR(INDEX(Company_desc!$C:$C,MATCH($A33,Company_desc!$A:$A,0)),IFERROR(INDEX(Sheet1!$Q:$Q,MATCH($A33,Sheet1!$A:$A,0)),"")))</f>
        <v/>
      </c>
      <c r="R33" s="75">
        <f>IF($A33="","",_xll.BDP($A33&amp;" Corp","CRNCY"))</f>
        <v/>
      </c>
      <c r="S33" s="75">
        <f>IF($A33="","",IFERROR(INDEX(Sheet1!$S:$S,MATCH($A33,Sheet1!$A:$A,0)),""))</f>
        <v/>
      </c>
      <c r="T33" s="75">
        <f>IF($A33="","",IFERROR(INDEX(Sheet1!$T:$T,MATCH($A33,Sheet1!$A:$A,0)),_xll.BDP($A33&amp;" Corp","RTG_SP")))</f>
        <v/>
      </c>
      <c r="U33" s="75">
        <f>IF($A33="","",IFERROR(INDEX(Sheet1!$U:$U,MATCH($A33,Sheet1!$A:$A,0)),""))</f>
        <v/>
      </c>
      <c r="W33" s="81">
        <f>IF($A33="","",N33-_xll.BDP($A33&amp;" Corp","YAS_OAS_SPRD","SETTLE_DT",Company_desc!$A$1))</f>
        <v/>
      </c>
      <c r="X33" s="81">
        <f>IF($A33="","",N33-_xll.BDP($A33&amp;" Corp","YAS_OAS_SPRD","SETTLE_DT",Company_desc!$A$2))</f>
        <v/>
      </c>
      <c r="Y33" s="80">
        <f>IF($A33="","",N33-_xll.BDP($A33&amp;" Corp","YAS_OAS_SPRD","SETTLE_DT",Company_desc!$D$1))</f>
        <v/>
      </c>
      <c r="Z33" s="82">
        <f>IF($A33="","",K33-_xll.BDP($A33&amp;" Corp","YAS_BOND_YLD","YAS_YLD_FLAG=15","SETTLE_DT",Company_desc!$D$1))</f>
        <v/>
      </c>
      <c r="AA33" s="80">
        <f>IF($A33="","",_xll.BDP($A33&amp;" Corp","YAS_OAS_SPRD","SETTLE_DT",Company_desc!$D$1))</f>
        <v/>
      </c>
    </row>
    <row r="34">
      <c r="B34" s="75">
        <f>IF($A34="","",IFERROR(INDEX(Sheet1!$B:$B,MATCH($A34,Sheet1!$A:$A,0)),""))</f>
        <v/>
      </c>
      <c r="C34" s="75">
        <f>IF($A34="","",PROPER(_xll.BDP($A34&amp;" Corp","NAME")))</f>
        <v/>
      </c>
      <c r="D34" s="76">
        <f>IF($A34="","",_xll.BDP($A34&amp;" Corp","CPN"))</f>
        <v/>
      </c>
      <c r="E34" s="75">
        <f>IF($A34="","",_xll.BDP($A34&amp;" Corp","PAYMENT_RANK"))</f>
        <v/>
      </c>
      <c r="F34" s="100">
        <f>IF($A34="","",_xll.BDP($A34&amp;" Corp","MATURITY"))</f>
        <v/>
      </c>
      <c r="G34" s="75">
        <f>IF($A34="","",PROPER(_xll.BDP($A34&amp;" Corp","COUNTRY_FULL_NAME")))</f>
        <v/>
      </c>
      <c r="H34" s="75">
        <f>IF($A34="","",_xll.BDP($A34&amp;" Corp","INDUSTRY_SECTOR"))</f>
        <v/>
      </c>
      <c r="I34" s="101">
        <f>IF($A34="","",IFERROR(_xll.BDP($A34&amp;" Corp","MIN_PIECE")/1000,""))</f>
        <v/>
      </c>
      <c r="J34" s="31">
        <f>IF($A34="","",_xll.BDP($A34&amp;" Corp","PX_LAST"))</f>
        <v/>
      </c>
      <c r="K34" s="31">
        <f>IF($A34="","",_xll.BDP($A34&amp;" Corp","YAS_BOND_YLD","YAS_YLD_FLAG=15"))</f>
        <v/>
      </c>
      <c r="L34" s="31">
        <f>IF($A34="","",K34-_xll.BDP($A34&amp;" Corp","YAS_BOND_YLD","YAS_YLD_FLAG=15","SETTLE_DT",Company_desc!$A$1))</f>
        <v/>
      </c>
      <c r="M34" s="31">
        <f>IF($A34="","",K34-_xll.BDP($A34&amp;" Corp","YAS_BOND_YLD","YAS_YLD_FLAG=15","SETTLE_DT",Company_desc!$A$2))</f>
        <v/>
      </c>
      <c r="N34" s="79">
        <f>IF($A34="","",_xll.BDP($A34&amp;" Corp","YAS_OAS_SPRD"))</f>
        <v/>
      </c>
      <c r="O34" s="67">
        <f>IF($A34="","",_xll.BDP($A34&amp;" Corp","YAS_MOD_DUR"))</f>
        <v/>
      </c>
      <c r="P34" s="80">
        <f>IF($A34="","",IFERROR(INDEX(Sheet1!$P:$P,MATCH($A34,Sheet1!$A:$A,0)),""))</f>
        <v/>
      </c>
      <c r="Q34" s="75">
        <f>IF($A34="","",IFERROR(INDEX(Company_desc!$C:$C,MATCH($A34,Company_desc!$A:$A,0)),IFERROR(INDEX(Sheet1!$Q:$Q,MATCH($A34,Sheet1!$A:$A,0)),"")))</f>
        <v/>
      </c>
      <c r="R34" s="75">
        <f>IF($A34="","",_xll.BDP($A34&amp;" Corp","CRNCY"))</f>
        <v/>
      </c>
      <c r="S34" s="75">
        <f>IF($A34="","",IFERROR(INDEX(Sheet1!$S:$S,MATCH($A34,Sheet1!$A:$A,0)),""))</f>
        <v/>
      </c>
      <c r="T34" s="75">
        <f>IF($A34="","",IFERROR(INDEX(Sheet1!$T:$T,MATCH($A34,Sheet1!$A:$A,0)),_xll.BDP($A34&amp;" Corp","RTG_SP")))</f>
        <v/>
      </c>
      <c r="U34" s="75">
        <f>IF($A34="","",IFERROR(INDEX(Sheet1!$U:$U,MATCH($A34,Sheet1!$A:$A,0)),""))</f>
        <v/>
      </c>
      <c r="W34" s="81">
        <f>IF($A34="","",N34-_xll.BDP($A34&amp;" Corp","YAS_OAS_SPRD","SETTLE_DT",Company_desc!$A$1))</f>
        <v/>
      </c>
      <c r="X34" s="81">
        <f>IF($A34="","",N34-_xll.BDP($A34&amp;" Corp","YAS_OAS_SPRD","SETTLE_DT",Company_desc!$A$2))</f>
        <v/>
      </c>
      <c r="Y34" s="80">
        <f>IF($A34="","",N34-_xll.BDP($A34&amp;" Corp","YAS_OAS_SPRD","SETTLE_DT",Company_desc!$D$1))</f>
        <v/>
      </c>
      <c r="Z34" s="82">
        <f>IF($A34="","",K34-_xll.BDP($A34&amp;" Corp","YAS_BOND_YLD","YAS_YLD_FLAG=15","SETTLE_DT",Company_desc!$D$1))</f>
        <v/>
      </c>
      <c r="AA34" s="80">
        <f>IF($A34="","",_xll.BDP($A34&amp;" Corp","YAS_OAS_SPRD","SETTLE_DT",Company_desc!$D$1))</f>
        <v/>
      </c>
    </row>
    <row r="35">
      <c r="B35" s="75">
        <f>IF($A35="","",IFERROR(INDEX(Sheet1!$B:$B,MATCH($A35,Sheet1!$A:$A,0)),""))</f>
        <v/>
      </c>
      <c r="C35" s="75">
        <f>IF($A35="","",PROPER(_xll.BDP($A35&amp;" Corp","NAME")))</f>
        <v/>
      </c>
      <c r="D35" s="76">
        <f>IF($A35="","",_xll.BDP($A35&amp;" Corp","CPN"))</f>
        <v/>
      </c>
      <c r="E35" s="75">
        <f>IF($A35="","",_xll.BDP($A35&amp;" Corp","PAYMENT_RANK"))</f>
        <v/>
      </c>
      <c r="F35" s="100">
        <f>IF($A35="","",_xll.BDP($A35&amp;" Corp","MATURITY"))</f>
        <v/>
      </c>
      <c r="G35" s="75">
        <f>IF($A35="","",PROPER(_xll.BDP($A35&amp;" Corp","COUNTRY_FULL_NAME")))</f>
        <v/>
      </c>
      <c r="H35" s="75">
        <f>IF($A35="","",_xll.BDP($A35&amp;" Corp","INDUSTRY_SECTOR"))</f>
        <v/>
      </c>
      <c r="I35" s="101">
        <f>IF($A35="","",IFERROR(_xll.BDP($A35&amp;" Corp","MIN_PIECE")/1000,""))</f>
        <v/>
      </c>
      <c r="J35" s="31">
        <f>IF($A35="","",_xll.BDP($A35&amp;" Corp","PX_LAST"))</f>
        <v/>
      </c>
      <c r="K35" s="31">
        <f>IF($A35="","",_xll.BDP($A35&amp;" Corp","YAS_BOND_YLD","YAS_YLD_FLAG=15"))</f>
        <v/>
      </c>
      <c r="L35" s="31">
        <f>IF($A35="","",K35-_xll.BDP($A35&amp;" Corp","YAS_BOND_YLD","YAS_YLD_FLAG=15","SETTLE_DT",Company_desc!$A$1))</f>
        <v/>
      </c>
      <c r="M35" s="31">
        <f>IF($A35="","",K35-_xll.BDP($A35&amp;" Corp","YAS_BOND_YLD","YAS_YLD_FLAG=15","SETTLE_DT",Company_desc!$A$2))</f>
        <v/>
      </c>
      <c r="N35" s="79">
        <f>IF($A35="","",_xll.BDP($A35&amp;" Corp","YAS_OAS_SPRD"))</f>
        <v/>
      </c>
      <c r="O35" s="67">
        <f>IF($A35="","",_xll.BDP($A35&amp;" Corp","YAS_MOD_DUR"))</f>
        <v/>
      </c>
      <c r="P35" s="80">
        <f>IF($A35="","",IFERROR(INDEX(Sheet1!$P:$P,MATCH($A35,Sheet1!$A:$A,0)),""))</f>
        <v/>
      </c>
      <c r="Q35" s="75">
        <f>IF($A35="","",IFERROR(INDEX(Company_desc!$C:$C,MATCH($A35,Company_desc!$A:$A,0)),IFERROR(INDEX(Sheet1!$Q:$Q,MATCH($A35,Sheet1!$A:$A,0)),"")))</f>
        <v/>
      </c>
      <c r="R35" s="75">
        <f>IF($A35="","",_xll.BDP($A35&amp;" Corp","CRNCY"))</f>
        <v/>
      </c>
      <c r="S35" s="75">
        <f>IF($A35="","",IFERROR(INDEX(Sheet1!$S:$S,MATCH($A35,Sheet1!$A:$A,0)),""))</f>
        <v/>
      </c>
      <c r="T35" s="75">
        <f>IF($A35="","",IFERROR(INDEX(Sheet1!$T:$T,MATCH($A35,Sheet1!$A:$A,0)),_xll.BDP($A35&amp;" Corp","RTG_SP")))</f>
        <v/>
      </c>
      <c r="U35" s="75">
        <f>IF($A35="","",IFERROR(INDEX(Sheet1!$U:$U,MATCH($A35,Sheet1!$A:$A,0)),""))</f>
        <v/>
      </c>
      <c r="W35" s="81">
        <f>IF($A35="","",N35-_xll.BDP($A35&amp;" Corp","YAS_OAS_SPRD","SETTLE_DT",Company_desc!$A$1))</f>
        <v/>
      </c>
      <c r="X35" s="81">
        <f>IF($A35="","",N35-_xll.BDP($A35&amp;" Corp","YAS_OAS_SPRD","SETTLE_DT",Company_desc!$A$2))</f>
        <v/>
      </c>
      <c r="Y35" s="80">
        <f>IF($A35="","",N35-_xll.BDP($A35&amp;" Corp","YAS_OAS_SPRD","SETTLE_DT",Company_desc!$D$1))</f>
        <v/>
      </c>
      <c r="Z35" s="82">
        <f>IF($A35="","",K35-_xll.BDP($A35&amp;" Corp","YAS_BOND_YLD","YAS_YLD_FLAG=15","SETTLE_DT",Company_desc!$D$1))</f>
        <v/>
      </c>
      <c r="AA35" s="80">
        <f>IF($A35="","",_xll.BDP($A35&amp;" Corp","YAS_OAS_SPRD","SETTLE_DT",Company_desc!$D$1))</f>
        <v/>
      </c>
    </row>
    <row r="36">
      <c r="B36" s="75">
        <f>IF($A36="","",IFERROR(INDEX(Sheet1!$B:$B,MATCH($A36,Sheet1!$A:$A,0)),""))</f>
        <v/>
      </c>
      <c r="C36" s="75">
        <f>IF($A36="","",PROPER(_xll.BDP($A36&amp;" Corp","NAME")))</f>
        <v/>
      </c>
      <c r="D36" s="76">
        <f>IF($A36="","",_xll.BDP($A36&amp;" Corp","CPN"))</f>
        <v/>
      </c>
      <c r="E36" s="75">
        <f>IF($A36="","",_xll.BDP($A36&amp;" Corp","PAYMENT_RANK"))</f>
        <v/>
      </c>
      <c r="F36" s="100">
        <f>IF($A36="","",_xll.BDP($A36&amp;" Corp","MATURITY"))</f>
        <v/>
      </c>
      <c r="G36" s="75">
        <f>IF($A36="","",PROPER(_xll.BDP($A36&amp;" Corp","COUNTRY_FULL_NAME")))</f>
        <v/>
      </c>
      <c r="H36" s="75">
        <f>IF($A36="","",_xll.BDP($A36&amp;" Corp","INDUSTRY_SECTOR"))</f>
        <v/>
      </c>
      <c r="I36" s="101">
        <f>IF($A36="","",IFERROR(_xll.BDP($A36&amp;" Corp","MIN_PIECE")/1000,""))</f>
        <v/>
      </c>
      <c r="J36" s="31">
        <f>IF($A36="","",_xll.BDP($A36&amp;" Corp","PX_LAST"))</f>
        <v/>
      </c>
      <c r="K36" s="31">
        <f>IF($A36="","",_xll.BDP($A36&amp;" Corp","YAS_BOND_YLD","YAS_YLD_FLAG=15"))</f>
        <v/>
      </c>
      <c r="L36" s="31">
        <f>IF($A36="","",K36-_xll.BDP($A36&amp;" Corp","YAS_BOND_YLD","YAS_YLD_FLAG=15","SETTLE_DT",Company_desc!$A$1))</f>
        <v/>
      </c>
      <c r="M36" s="31">
        <f>IF($A36="","",K36-_xll.BDP($A36&amp;" Corp","YAS_BOND_YLD","YAS_YLD_FLAG=15","SETTLE_DT",Company_desc!$A$2))</f>
        <v/>
      </c>
      <c r="N36" s="79">
        <f>IF($A36="","",_xll.BDP($A36&amp;" Corp","YAS_OAS_SPRD"))</f>
        <v/>
      </c>
      <c r="O36" s="67">
        <f>IF($A36="","",_xll.BDP($A36&amp;" Corp","YAS_MOD_DUR"))</f>
        <v/>
      </c>
      <c r="P36" s="80">
        <f>IF($A36="","",IFERROR(INDEX(Sheet1!$P:$P,MATCH($A36,Sheet1!$A:$A,0)),""))</f>
        <v/>
      </c>
      <c r="Q36" s="75">
        <f>IF($A36="","",IFERROR(INDEX(Company_desc!$C:$C,MATCH($A36,Company_desc!$A:$A,0)),IFERROR(INDEX(Sheet1!$Q:$Q,MATCH($A36,Sheet1!$A:$A,0)),"")))</f>
        <v/>
      </c>
      <c r="R36" s="75">
        <f>IF($A36="","",_xll.BDP($A36&amp;" Corp","CRNCY"))</f>
        <v/>
      </c>
      <c r="S36" s="75">
        <f>IF($A36="","",IFERROR(INDEX(Sheet1!$S:$S,MATCH($A36,Sheet1!$A:$A,0)),""))</f>
        <v/>
      </c>
      <c r="T36" s="75">
        <f>IF($A36="","",IFERROR(INDEX(Sheet1!$T:$T,MATCH($A36,Sheet1!$A:$A,0)),_xll.BDP($A36&amp;" Corp","RTG_SP")))</f>
        <v/>
      </c>
      <c r="U36" s="75">
        <f>IF($A36="","",IFERROR(INDEX(Sheet1!$U:$U,MATCH($A36,Sheet1!$A:$A,0)),""))</f>
        <v/>
      </c>
      <c r="W36" s="81">
        <f>IF($A36="","",N36-_xll.BDP($A36&amp;" Corp","YAS_OAS_SPRD","SETTLE_DT",Company_desc!$A$1))</f>
        <v/>
      </c>
      <c r="X36" s="81">
        <f>IF($A36="","",N36-_xll.BDP($A36&amp;" Corp","YAS_OAS_SPRD","SETTLE_DT",Company_desc!$A$2))</f>
        <v/>
      </c>
      <c r="Y36" s="80">
        <f>IF($A36="","",N36-_xll.BDP($A36&amp;" Corp","YAS_OAS_SPRD","SETTLE_DT",Company_desc!$D$1))</f>
        <v/>
      </c>
      <c r="Z36" s="82">
        <f>IF($A36="","",K36-_xll.BDP($A36&amp;" Corp","YAS_BOND_YLD","YAS_YLD_FLAG=15","SETTLE_DT",Company_desc!$D$1))</f>
        <v/>
      </c>
      <c r="AA36" s="80">
        <f>IF($A36="","",_xll.BDP($A36&amp;" Corp","YAS_OAS_SPRD","SETTLE_DT",Company_desc!$D$1))</f>
        <v/>
      </c>
    </row>
    <row r="37">
      <c r="B37" s="75">
        <f>IF($A37="","",IFERROR(INDEX(Sheet1!$B:$B,MATCH($A37,Sheet1!$A:$A,0)),""))</f>
        <v/>
      </c>
      <c r="C37" s="75">
        <f>IF($A37="","",PROPER(_xll.BDP($A37&amp;" Corp","NAME")))</f>
        <v/>
      </c>
      <c r="D37" s="76">
        <f>IF($A37="","",_xll.BDP($A37&amp;" Corp","CPN"))</f>
        <v/>
      </c>
      <c r="E37" s="75">
        <f>IF($A37="","",_xll.BDP($A37&amp;" Corp","PAYMENT_RANK"))</f>
        <v/>
      </c>
      <c r="F37" s="100">
        <f>IF($A37="","",_xll.BDP($A37&amp;" Corp","MATURITY"))</f>
        <v/>
      </c>
      <c r="G37" s="75">
        <f>IF($A37="","",PROPER(_xll.BDP($A37&amp;" Corp","COUNTRY_FULL_NAME")))</f>
        <v/>
      </c>
      <c r="H37" s="75">
        <f>IF($A37="","",_xll.BDP($A37&amp;" Corp","INDUSTRY_SECTOR"))</f>
        <v/>
      </c>
      <c r="I37" s="101">
        <f>IF($A37="","",IFERROR(_xll.BDP($A37&amp;" Corp","MIN_PIECE")/1000,""))</f>
        <v/>
      </c>
      <c r="J37" s="31">
        <f>IF($A37="","",_xll.BDP($A37&amp;" Corp","PX_LAST"))</f>
        <v/>
      </c>
      <c r="K37" s="31">
        <f>IF($A37="","",_xll.BDP($A37&amp;" Corp","YAS_BOND_YLD","YAS_YLD_FLAG=15"))</f>
        <v/>
      </c>
      <c r="L37" s="31">
        <f>IF($A37="","",K37-_xll.BDP($A37&amp;" Corp","YAS_BOND_YLD","YAS_YLD_FLAG=15","SETTLE_DT",Company_desc!$A$1))</f>
        <v/>
      </c>
      <c r="M37" s="31">
        <f>IF($A37="","",K37-_xll.BDP($A37&amp;" Corp","YAS_BOND_YLD","YAS_YLD_FLAG=15","SETTLE_DT",Company_desc!$A$2))</f>
        <v/>
      </c>
      <c r="N37" s="79">
        <f>IF($A37="","",_xll.BDP($A37&amp;" Corp","YAS_OAS_SPRD"))</f>
        <v/>
      </c>
      <c r="O37" s="67">
        <f>IF($A37="","",_xll.BDP($A37&amp;" Corp","YAS_MOD_DUR"))</f>
        <v/>
      </c>
      <c r="P37" s="80">
        <f>IF($A37="","",IFERROR(INDEX(Sheet1!$P:$P,MATCH($A37,Sheet1!$A:$A,0)),""))</f>
        <v/>
      </c>
      <c r="Q37" s="75">
        <f>IF($A37="","",IFERROR(INDEX(Company_desc!$C:$C,MATCH($A37,Company_desc!$A:$A,0)),IFERROR(INDEX(Sheet1!$Q:$Q,MATCH($A37,Sheet1!$A:$A,0)),"")))</f>
        <v/>
      </c>
      <c r="R37" s="75">
        <f>IF($A37="","",_xll.BDP($A37&amp;" Corp","CRNCY"))</f>
        <v/>
      </c>
      <c r="S37" s="75">
        <f>IF($A37="","",IFERROR(INDEX(Sheet1!$S:$S,MATCH($A37,Sheet1!$A:$A,0)),""))</f>
        <v/>
      </c>
      <c r="T37" s="75">
        <f>IF($A37="","",IFERROR(INDEX(Sheet1!$T:$T,MATCH($A37,Sheet1!$A:$A,0)),_xll.BDP($A37&amp;" Corp","RTG_SP")))</f>
        <v/>
      </c>
      <c r="U37" s="75">
        <f>IF($A37="","",IFERROR(INDEX(Sheet1!$U:$U,MATCH($A37,Sheet1!$A:$A,0)),""))</f>
        <v/>
      </c>
      <c r="W37" s="81">
        <f>IF($A37="","",N37-_xll.BDP($A37&amp;" Corp","YAS_OAS_SPRD","SETTLE_DT",Company_desc!$A$1))</f>
        <v/>
      </c>
      <c r="X37" s="81">
        <f>IF($A37="","",N37-_xll.BDP($A37&amp;" Corp","YAS_OAS_SPRD","SETTLE_DT",Company_desc!$A$2))</f>
        <v/>
      </c>
      <c r="Y37" s="80">
        <f>IF($A37="","",N37-_xll.BDP($A37&amp;" Corp","YAS_OAS_SPRD","SETTLE_DT",Company_desc!$D$1))</f>
        <v/>
      </c>
      <c r="Z37" s="82">
        <f>IF($A37="","",K37-_xll.BDP($A37&amp;" Corp","YAS_BOND_YLD","YAS_YLD_FLAG=15","SETTLE_DT",Company_desc!$D$1))</f>
        <v/>
      </c>
      <c r="AA37" s="80">
        <f>IF($A37="","",_xll.BDP($A37&amp;" Corp","YAS_OAS_SPRD","SETTLE_DT",Company_desc!$D$1))</f>
        <v/>
      </c>
    </row>
    <row r="38">
      <c r="A38" s="42" t="n"/>
      <c r="B38" s="75">
        <f>IF($A38="","",IFERROR(INDEX(Sheet1!$B:$B,MATCH($A38,Sheet1!$A:$A,0)),""))</f>
        <v/>
      </c>
      <c r="C38" s="75">
        <f>IF($A38="","",PROPER(_xll.BDP($A38&amp;" Corp","NAME")))</f>
        <v/>
      </c>
      <c r="D38" s="76">
        <f>IF($A38="","",_xll.BDP($A38&amp;" Corp","CPN"))</f>
        <v/>
      </c>
      <c r="E38" s="75">
        <f>IF($A38="","",_xll.BDP($A38&amp;" Corp","PAYMENT_RANK"))</f>
        <v/>
      </c>
      <c r="F38" s="100">
        <f>IF($A38="","",_xll.BDP($A38&amp;" Corp","MATURITY"))</f>
        <v/>
      </c>
      <c r="G38" s="75">
        <f>IF($A38="","",PROPER(_xll.BDP($A38&amp;" Corp","COUNTRY_FULL_NAME")))</f>
        <v/>
      </c>
      <c r="H38" s="75">
        <f>IF($A38="","",_xll.BDP($A38&amp;" Corp","INDUSTRY_SECTOR"))</f>
        <v/>
      </c>
      <c r="I38" s="101">
        <f>IF($A38="","",IFERROR(_xll.BDP($A38&amp;" Corp","MIN_PIECE")/1000,""))</f>
        <v/>
      </c>
      <c r="J38" s="31">
        <f>IF($A38="","",_xll.BDP($A38&amp;" Corp","PX_LAST"))</f>
        <v/>
      </c>
      <c r="K38" s="31">
        <f>IF($A38="","",_xll.BDP($A38&amp;" Corp","YAS_BOND_YLD","YAS_YLD_FLAG=15"))</f>
        <v/>
      </c>
      <c r="L38" s="31">
        <f>IF($A38="","",K38-_xll.BDP($A38&amp;" Corp","YAS_BOND_YLD","YAS_YLD_FLAG=15","SETTLE_DT",Company_desc!$A$1))</f>
        <v/>
      </c>
      <c r="M38" s="31">
        <f>IF($A38="","",K38-_xll.BDP($A38&amp;" Corp","YAS_BOND_YLD","YAS_YLD_FLAG=15","SETTLE_DT",Company_desc!$A$2))</f>
        <v/>
      </c>
      <c r="N38" s="79">
        <f>IF($A38="","",_xll.BDP($A38&amp;" Corp","YAS_OAS_SPRD"))</f>
        <v/>
      </c>
      <c r="O38" s="67">
        <f>IF($A38="","",_xll.BDP($A38&amp;" Corp","YAS_MOD_DUR"))</f>
        <v/>
      </c>
      <c r="P38" s="80">
        <f>IF($A38="","",IFERROR(INDEX(Sheet1!$P:$P,MATCH($A38,Sheet1!$A:$A,0)),""))</f>
        <v/>
      </c>
      <c r="Q38" s="75">
        <f>IF($A38="","",IFERROR(INDEX(Company_desc!$C:$C,MATCH($A38,Company_desc!$A:$A,0)),IFERROR(INDEX(Sheet1!$Q:$Q,MATCH($A38,Sheet1!$A:$A,0)),"")))</f>
        <v/>
      </c>
      <c r="R38" s="75">
        <f>IF($A38="","",_xll.BDP($A38&amp;" Corp","CRNCY"))</f>
        <v/>
      </c>
      <c r="S38" s="75">
        <f>IF($A38="","",IFERROR(INDEX(Sheet1!$S:$S,MATCH($A38,Sheet1!$A:$A,0)),""))</f>
        <v/>
      </c>
      <c r="T38" s="75">
        <f>IF($A38="","",IFERROR(INDEX(Sheet1!$T:$T,MATCH($A38,Sheet1!$A:$A,0)),_xll.BDP($A38&amp;" Corp","RTG_SP")))</f>
        <v/>
      </c>
      <c r="U38" s="75">
        <f>IF($A38="","",IFERROR(INDEX(Sheet1!$U:$U,MATCH($A38,Sheet1!$A:$A,0)),""))</f>
        <v/>
      </c>
      <c r="W38" s="81">
        <f>IF($A38="","",N38-_xll.BDP($A38&amp;" Corp","YAS_OAS_SPRD","SETTLE_DT",Company_desc!$A$1))</f>
        <v/>
      </c>
      <c r="X38" s="81">
        <f>IF($A38="","",N38-_xll.BDP($A38&amp;" Corp","YAS_OAS_SPRD","SETTLE_DT",Company_desc!$A$2))</f>
        <v/>
      </c>
      <c r="Y38" s="80">
        <f>IF($A38="","",N38-_xll.BDP($A38&amp;" Corp","YAS_OAS_SPRD","SETTLE_DT",Company_desc!$D$1))</f>
        <v/>
      </c>
      <c r="Z38" s="82">
        <f>IF($A38="","",K38-_xll.BDP($A38&amp;" Corp","YAS_BOND_YLD","YAS_YLD_FLAG=15","SETTLE_DT",Company_desc!$D$1))</f>
        <v/>
      </c>
      <c r="AA38" s="80">
        <f>IF($A38="","",_xll.BDP($A38&amp;" Corp","YAS_OAS_SPRD","SETTLE_DT",Company_desc!$D$1))</f>
        <v/>
      </c>
    </row>
    <row r="39">
      <c r="B39" s="75">
        <f>IF($A39="","",IFERROR(INDEX(Sheet1!$B:$B,MATCH($A39,Sheet1!$A:$A,0)),""))</f>
        <v/>
      </c>
      <c r="C39" s="75">
        <f>IF($A39="","",PROPER(_xll.BDP($A39&amp;" Corp","NAME")))</f>
        <v/>
      </c>
      <c r="D39" s="76">
        <f>IF($A39="","",_xll.BDP($A39&amp;" Corp","CPN"))</f>
        <v/>
      </c>
      <c r="E39" s="75">
        <f>IF($A39="","",_xll.BDP($A39&amp;" Corp","PAYMENT_RANK"))</f>
        <v/>
      </c>
      <c r="F39" s="100">
        <f>IF($A39="","",_xll.BDP($A39&amp;" Corp","MATURITY"))</f>
        <v/>
      </c>
      <c r="G39" s="75">
        <f>IF($A39="","",PROPER(_xll.BDP($A39&amp;" Corp","COUNTRY_FULL_NAME")))</f>
        <v/>
      </c>
      <c r="H39" s="75">
        <f>IF($A39="","",_xll.BDP($A39&amp;" Corp","INDUSTRY_SECTOR"))</f>
        <v/>
      </c>
      <c r="I39" s="101">
        <f>IF($A39="","",IFERROR(_xll.BDP($A39&amp;" Corp","MIN_PIECE")/1000,""))</f>
        <v/>
      </c>
      <c r="J39" s="31">
        <f>IF($A39="","",_xll.BDP($A39&amp;" Corp","PX_LAST"))</f>
        <v/>
      </c>
      <c r="K39" s="31">
        <f>IF($A39="","",_xll.BDP($A39&amp;" Corp","YAS_BOND_YLD","YAS_YLD_FLAG=15"))</f>
        <v/>
      </c>
      <c r="L39" s="31">
        <f>IF($A39="","",K39-_xll.BDP($A39&amp;" Corp","YAS_BOND_YLD","YAS_YLD_FLAG=15","SETTLE_DT",Company_desc!$A$1))</f>
        <v/>
      </c>
      <c r="M39" s="31">
        <f>IF($A39="","",K39-_xll.BDP($A39&amp;" Corp","YAS_BOND_YLD","YAS_YLD_FLAG=15","SETTLE_DT",Company_desc!$A$2))</f>
        <v/>
      </c>
      <c r="N39" s="79">
        <f>IF($A39="","",_xll.BDP($A39&amp;" Corp","YAS_OAS_SPRD"))</f>
        <v/>
      </c>
      <c r="O39" s="67">
        <f>IF($A39="","",_xll.BDP($A39&amp;" Corp","YAS_MOD_DUR"))</f>
        <v/>
      </c>
      <c r="P39" s="80">
        <f>IF($A39="","",IFERROR(INDEX(Sheet1!$P:$P,MATCH($A39,Sheet1!$A:$A,0)),""))</f>
        <v/>
      </c>
      <c r="Q39" s="75">
        <f>IF($A39="","",IFERROR(INDEX(Company_desc!$C:$C,MATCH($A39,Company_desc!$A:$A,0)),IFERROR(INDEX(Sheet1!$Q:$Q,MATCH($A39,Sheet1!$A:$A,0)),"")))</f>
        <v/>
      </c>
      <c r="R39" s="75">
        <f>IF($A39="","",_xll.BDP($A39&amp;" Corp","CRNCY"))</f>
        <v/>
      </c>
      <c r="S39" s="75">
        <f>IF($A39="","",IFERROR(INDEX(Sheet1!$S:$S,MATCH($A39,Sheet1!$A:$A,0)),""))</f>
        <v/>
      </c>
      <c r="T39" s="75">
        <f>IF($A39="","",IFERROR(INDEX(Sheet1!$T:$T,MATCH($A39,Sheet1!$A:$A,0)),_xll.BDP($A39&amp;" Corp","RTG_SP")))</f>
        <v/>
      </c>
      <c r="U39" s="75">
        <f>IF($A39="","",IFERROR(INDEX(Sheet1!$U:$U,MATCH($A39,Sheet1!$A:$A,0)),""))</f>
        <v/>
      </c>
      <c r="W39" s="81">
        <f>IF($A39="","",N39-_xll.BDP($A39&amp;" Corp","YAS_OAS_SPRD","SETTLE_DT",Company_desc!$A$1))</f>
        <v/>
      </c>
      <c r="X39" s="81">
        <f>IF($A39="","",N39-_xll.BDP($A39&amp;" Corp","YAS_OAS_SPRD","SETTLE_DT",Company_desc!$A$2))</f>
        <v/>
      </c>
      <c r="Y39" s="80">
        <f>IF($A39="","",N39-_xll.BDP($A39&amp;" Corp","YAS_OAS_SPRD","SETTLE_DT",Company_desc!$D$1))</f>
        <v/>
      </c>
      <c r="Z39" s="82">
        <f>IF($A39="","",K39-_xll.BDP($A39&amp;" Corp","YAS_BOND_YLD","YAS_YLD_FLAG=15","SETTLE_DT",Company_desc!$D$1))</f>
        <v/>
      </c>
      <c r="AA39" s="80">
        <f>IF($A39="","",_xll.BDP($A39&amp;" Corp","YAS_OAS_SPRD","SETTLE_DT",Company_desc!$D$1))</f>
        <v/>
      </c>
    </row>
    <row r="40">
      <c r="B40" s="75">
        <f>IF($A40="","",IFERROR(INDEX(Sheet1!$B:$B,MATCH($A40,Sheet1!$A:$A,0)),""))</f>
        <v/>
      </c>
      <c r="C40" s="75">
        <f>IF($A40="","",PROPER(_xll.BDP($A40&amp;" Corp","NAME")))</f>
        <v/>
      </c>
      <c r="D40" s="76">
        <f>IF($A40="","",_xll.BDP($A40&amp;" Corp","CPN"))</f>
        <v/>
      </c>
      <c r="E40" s="75">
        <f>IF($A40="","",_xll.BDP($A40&amp;" Corp","PAYMENT_RANK"))</f>
        <v/>
      </c>
      <c r="F40" s="100">
        <f>IF($A40="","",_xll.BDP($A40&amp;" Corp","MATURITY"))</f>
        <v/>
      </c>
      <c r="G40" s="75">
        <f>IF($A40="","",PROPER(_xll.BDP($A40&amp;" Corp","COUNTRY_FULL_NAME")))</f>
        <v/>
      </c>
      <c r="H40" s="75">
        <f>IF($A40="","",_xll.BDP($A40&amp;" Corp","INDUSTRY_SECTOR"))</f>
        <v/>
      </c>
      <c r="I40" s="101">
        <f>IF($A40="","",IFERROR(_xll.BDP($A40&amp;" Corp","MIN_PIECE")/1000,""))</f>
        <v/>
      </c>
      <c r="J40" s="31">
        <f>IF($A40="","",_xll.BDP($A40&amp;" Corp","PX_LAST"))</f>
        <v/>
      </c>
      <c r="K40" s="31">
        <f>IF($A40="","",_xll.BDP($A40&amp;" Corp","YAS_BOND_YLD","YAS_YLD_FLAG=15"))</f>
        <v/>
      </c>
      <c r="L40" s="31">
        <f>IF($A40="","",K40-_xll.BDP($A40&amp;" Corp","YAS_BOND_YLD","YAS_YLD_FLAG=15","SETTLE_DT",Company_desc!$A$1))</f>
        <v/>
      </c>
      <c r="M40" s="31">
        <f>IF($A40="","",K40-_xll.BDP($A40&amp;" Corp","YAS_BOND_YLD","YAS_YLD_FLAG=15","SETTLE_DT",Company_desc!$A$2))</f>
        <v/>
      </c>
      <c r="N40" s="79">
        <f>IF($A40="","",_xll.BDP($A40&amp;" Corp","YAS_OAS_SPRD"))</f>
        <v/>
      </c>
      <c r="O40" s="67">
        <f>IF($A40="","",_xll.BDP($A40&amp;" Corp","YAS_MOD_DUR"))</f>
        <v/>
      </c>
      <c r="P40" s="80">
        <f>IF($A40="","",IFERROR(INDEX(Sheet1!$P:$P,MATCH($A40,Sheet1!$A:$A,0)),""))</f>
        <v/>
      </c>
      <c r="Q40" s="75">
        <f>IF($A40="","",IFERROR(INDEX(Company_desc!$C:$C,MATCH($A40,Company_desc!$A:$A,0)),IFERROR(INDEX(Sheet1!$Q:$Q,MATCH($A40,Sheet1!$A:$A,0)),"")))</f>
        <v/>
      </c>
      <c r="R40" s="75">
        <f>IF($A40="","",_xll.BDP($A40&amp;" Corp","CRNCY"))</f>
        <v/>
      </c>
      <c r="S40" s="75">
        <f>IF($A40="","",IFERROR(INDEX(Sheet1!$S:$S,MATCH($A40,Sheet1!$A:$A,0)),""))</f>
        <v/>
      </c>
      <c r="T40" s="75">
        <f>IF($A40="","",IFERROR(INDEX(Sheet1!$T:$T,MATCH($A40,Sheet1!$A:$A,0)),_xll.BDP($A40&amp;" Corp","RTG_SP")))</f>
        <v/>
      </c>
      <c r="U40" s="75">
        <f>IF($A40="","",IFERROR(INDEX(Sheet1!$U:$U,MATCH($A40,Sheet1!$A:$A,0)),""))</f>
        <v/>
      </c>
      <c r="W40" s="81">
        <f>IF($A40="","",N40-_xll.BDP($A40&amp;" Corp","YAS_OAS_SPRD","SETTLE_DT",Company_desc!$A$1))</f>
        <v/>
      </c>
      <c r="X40" s="81">
        <f>IF($A40="","",N40-_xll.BDP($A40&amp;" Corp","YAS_OAS_SPRD","SETTLE_DT",Company_desc!$A$2))</f>
        <v/>
      </c>
      <c r="Y40" s="80">
        <f>IF($A40="","",N40-_xll.BDP($A40&amp;" Corp","YAS_OAS_SPRD","SETTLE_DT",Company_desc!$D$1))</f>
        <v/>
      </c>
      <c r="Z40" s="82">
        <f>IF($A40="","",K40-_xll.BDP($A40&amp;" Corp","YAS_BOND_YLD","YAS_YLD_FLAG=15","SETTLE_DT",Company_desc!$D$1))</f>
        <v/>
      </c>
      <c r="AA40" s="80">
        <f>IF($A40="","",_xll.BDP($A40&amp;" Corp","YAS_OAS_SPRD","SETTLE_DT",Company_desc!$D$1))</f>
        <v/>
      </c>
    </row>
    <row r="41">
      <c r="B41" s="75">
        <f>IF($A41="","",IFERROR(INDEX(Sheet1!$B:$B,MATCH($A41,Sheet1!$A:$A,0)),""))</f>
        <v/>
      </c>
      <c r="C41" s="75">
        <f>IF($A41="","",PROPER(_xll.BDP($A41&amp;" Corp","NAME")))</f>
        <v/>
      </c>
      <c r="D41" s="76">
        <f>IF($A41="","",_xll.BDP($A41&amp;" Corp","CPN"))</f>
        <v/>
      </c>
      <c r="E41" s="75">
        <f>IF($A41="","",_xll.BDP($A41&amp;" Corp","PAYMENT_RANK"))</f>
        <v/>
      </c>
      <c r="F41" s="100">
        <f>IF($A41="","",_xll.BDP($A41&amp;" Corp","MATURITY"))</f>
        <v/>
      </c>
      <c r="G41" s="75">
        <f>IF($A41="","",PROPER(_xll.BDP($A41&amp;" Corp","COUNTRY_FULL_NAME")))</f>
        <v/>
      </c>
      <c r="H41" s="75">
        <f>IF($A41="","",_xll.BDP($A41&amp;" Corp","INDUSTRY_SECTOR"))</f>
        <v/>
      </c>
      <c r="I41" s="101">
        <f>IF($A41="","",IFERROR(_xll.BDP($A41&amp;" Corp","MIN_PIECE")/1000,""))</f>
        <v/>
      </c>
      <c r="J41" s="31">
        <f>IF($A41="","",_xll.BDP($A41&amp;" Corp","PX_LAST"))</f>
        <v/>
      </c>
      <c r="K41" s="31">
        <f>IF($A41="","",_xll.BDP($A41&amp;" Corp","YAS_BOND_YLD","YAS_YLD_FLAG=15"))</f>
        <v/>
      </c>
      <c r="L41" s="31">
        <f>IF($A41="","",K41-_xll.BDP($A41&amp;" Corp","YAS_BOND_YLD","YAS_YLD_FLAG=15","SETTLE_DT",Company_desc!$A$1))</f>
        <v/>
      </c>
      <c r="M41" s="31">
        <f>IF($A41="","",K41-_xll.BDP($A41&amp;" Corp","YAS_BOND_YLD","YAS_YLD_FLAG=15","SETTLE_DT",Company_desc!$A$2))</f>
        <v/>
      </c>
      <c r="N41" s="79">
        <f>IF($A41="","",_xll.BDP($A41&amp;" Corp","YAS_OAS_SPRD"))</f>
        <v/>
      </c>
      <c r="O41" s="67">
        <f>IF($A41="","",_xll.BDP($A41&amp;" Corp","YAS_MOD_DUR"))</f>
        <v/>
      </c>
      <c r="P41" s="80">
        <f>IF($A41="","",IFERROR(INDEX(Sheet1!$P:$P,MATCH($A41,Sheet1!$A:$A,0)),""))</f>
        <v/>
      </c>
      <c r="Q41" s="75">
        <f>IF($A41="","",IFERROR(INDEX(Company_desc!$C:$C,MATCH($A41,Company_desc!$A:$A,0)),IFERROR(INDEX(Sheet1!$Q:$Q,MATCH($A41,Sheet1!$A:$A,0)),"")))</f>
        <v/>
      </c>
      <c r="R41" s="75">
        <f>IF($A41="","",_xll.BDP($A41&amp;" Corp","CRNCY"))</f>
        <v/>
      </c>
      <c r="S41" s="75">
        <f>IF($A41="","",IFERROR(INDEX(Sheet1!$S:$S,MATCH($A41,Sheet1!$A:$A,0)),""))</f>
        <v/>
      </c>
      <c r="T41" s="75">
        <f>IF($A41="","",IFERROR(INDEX(Sheet1!$T:$T,MATCH($A41,Sheet1!$A:$A,0)),_xll.BDP($A41&amp;" Corp","RTG_SP")))</f>
        <v/>
      </c>
      <c r="U41" s="75">
        <f>IF($A41="","",IFERROR(INDEX(Sheet1!$U:$U,MATCH($A41,Sheet1!$A:$A,0)),""))</f>
        <v/>
      </c>
      <c r="W41" s="81">
        <f>IF($A41="","",N41-_xll.BDP($A41&amp;" Corp","YAS_OAS_SPRD","SETTLE_DT",Company_desc!$A$1))</f>
        <v/>
      </c>
      <c r="X41" s="81">
        <f>IF($A41="","",N41-_xll.BDP($A41&amp;" Corp","YAS_OAS_SPRD","SETTLE_DT",Company_desc!$A$2))</f>
        <v/>
      </c>
      <c r="Y41" s="80">
        <f>IF($A41="","",N41-_xll.BDP($A41&amp;" Corp","YAS_OAS_SPRD","SETTLE_DT",Company_desc!$D$1))</f>
        <v/>
      </c>
      <c r="Z41" s="82">
        <f>IF($A41="","",K41-_xll.BDP($A41&amp;" Corp","YAS_BOND_YLD","YAS_YLD_FLAG=15","SETTLE_DT",Company_desc!$D$1))</f>
        <v/>
      </c>
      <c r="AA41" s="80">
        <f>IF($A41="","",_xll.BDP($A41&amp;" Corp","YAS_OAS_SPRD","SETTLE_DT",Company_desc!$D$1))</f>
        <v/>
      </c>
    </row>
    <row r="42">
      <c r="B42" s="75">
        <f>IF($A42="","",IFERROR(INDEX(Sheet1!$B:$B,MATCH($A42,Sheet1!$A:$A,0)),""))</f>
        <v/>
      </c>
      <c r="C42" s="75">
        <f>IF($A42="","",PROPER(_xll.BDP($A42&amp;" Corp","NAME")))</f>
        <v/>
      </c>
      <c r="D42" s="76">
        <f>IF($A42="","",_xll.BDP($A42&amp;" Corp","CPN"))</f>
        <v/>
      </c>
      <c r="E42" s="75">
        <f>IF($A42="","",_xll.BDP($A42&amp;" Corp","PAYMENT_RANK"))</f>
        <v/>
      </c>
      <c r="F42" s="100">
        <f>IF($A42="","",_xll.BDP($A42&amp;" Corp","MATURITY"))</f>
        <v/>
      </c>
      <c r="G42" s="75">
        <f>IF($A42="","",PROPER(_xll.BDP($A42&amp;" Corp","COUNTRY_FULL_NAME")))</f>
        <v/>
      </c>
      <c r="H42" s="75">
        <f>IF($A42="","",_xll.BDP($A42&amp;" Corp","INDUSTRY_SECTOR"))</f>
        <v/>
      </c>
      <c r="I42" s="101">
        <f>IF($A42="","",IFERROR(_xll.BDP($A42&amp;" Corp","MIN_PIECE")/1000,""))</f>
        <v/>
      </c>
      <c r="J42" s="31">
        <f>IF($A42="","",_xll.BDP($A42&amp;" Corp","PX_LAST"))</f>
        <v/>
      </c>
      <c r="K42" s="31">
        <f>IF($A42="","",_xll.BDP($A42&amp;" Corp","YAS_BOND_YLD","YAS_YLD_FLAG=15"))</f>
        <v/>
      </c>
      <c r="L42" s="31">
        <f>IF($A42="","",K42-_xll.BDP($A42&amp;" Corp","YAS_BOND_YLD","YAS_YLD_FLAG=15","SETTLE_DT",Company_desc!$A$1))</f>
        <v/>
      </c>
      <c r="M42" s="31">
        <f>IF($A42="","",K42-_xll.BDP($A42&amp;" Corp","YAS_BOND_YLD","YAS_YLD_FLAG=15","SETTLE_DT",Company_desc!$A$2))</f>
        <v/>
      </c>
      <c r="N42" s="79">
        <f>IF($A42="","",_xll.BDP($A42&amp;" Corp","YAS_OAS_SPRD"))</f>
        <v/>
      </c>
      <c r="O42" s="67">
        <f>IF($A42="","",_xll.BDP($A42&amp;" Corp","YAS_MOD_DUR"))</f>
        <v/>
      </c>
      <c r="P42" s="80">
        <f>IF($A42="","",IFERROR(INDEX(Sheet1!$P:$P,MATCH($A42,Sheet1!$A:$A,0)),""))</f>
        <v/>
      </c>
      <c r="Q42" s="75">
        <f>IF($A42="","",IFERROR(INDEX(Company_desc!$C:$C,MATCH($A42,Company_desc!$A:$A,0)),IFERROR(INDEX(Sheet1!$Q:$Q,MATCH($A42,Sheet1!$A:$A,0)),"")))</f>
        <v/>
      </c>
      <c r="R42" s="75">
        <f>IF($A42="","",_xll.BDP($A42&amp;" Corp","CRNCY"))</f>
        <v/>
      </c>
      <c r="S42" s="75">
        <f>IF($A42="","",IFERROR(INDEX(Sheet1!$S:$S,MATCH($A42,Sheet1!$A:$A,0)),""))</f>
        <v/>
      </c>
      <c r="T42" s="75">
        <f>IF($A42="","",IFERROR(INDEX(Sheet1!$T:$T,MATCH($A42,Sheet1!$A:$A,0)),_xll.BDP($A42&amp;" Corp","RTG_SP")))</f>
        <v/>
      </c>
      <c r="U42" s="75">
        <f>IF($A42="","",IFERROR(INDEX(Sheet1!$U:$U,MATCH($A42,Sheet1!$A:$A,0)),""))</f>
        <v/>
      </c>
      <c r="W42" s="81">
        <f>IF($A42="","",N42-_xll.BDP($A42&amp;" Corp","YAS_OAS_SPRD","SETTLE_DT",Company_desc!$A$1))</f>
        <v/>
      </c>
      <c r="X42" s="81">
        <f>IF($A42="","",N42-_xll.BDP($A42&amp;" Corp","YAS_OAS_SPRD","SETTLE_DT",Company_desc!$A$2))</f>
        <v/>
      </c>
      <c r="Y42" s="80">
        <f>IF($A42="","",N42-_xll.BDP($A42&amp;" Corp","YAS_OAS_SPRD","SETTLE_DT",Company_desc!$D$1))</f>
        <v/>
      </c>
      <c r="Z42" s="82">
        <f>IF($A42="","",K42-_xll.BDP($A42&amp;" Corp","YAS_BOND_YLD","YAS_YLD_FLAG=15","SETTLE_DT",Company_desc!$D$1))</f>
        <v/>
      </c>
      <c r="AA42" s="80">
        <f>IF($A42="","",_xll.BDP($A42&amp;" Corp","YAS_OAS_SPRD","SETTLE_DT",Company_desc!$D$1))</f>
        <v/>
      </c>
    </row>
    <row r="43">
      <c r="B43" s="75">
        <f>IF($A43="","",IFERROR(INDEX(Sheet1!$B:$B,MATCH($A43,Sheet1!$A:$A,0)),""))</f>
        <v/>
      </c>
      <c r="C43" s="75">
        <f>IF($A43="","",PROPER(_xll.BDP($A43&amp;" Corp","NAME")))</f>
        <v/>
      </c>
      <c r="D43" s="76">
        <f>IF($A43="","",_xll.BDP($A43&amp;" Corp","CPN"))</f>
        <v/>
      </c>
      <c r="E43" s="75">
        <f>IF($A43="","",_xll.BDP($A43&amp;" Corp","PAYMENT_RANK"))</f>
        <v/>
      </c>
      <c r="F43" s="100">
        <f>IF($A43="","",_xll.BDP($A43&amp;" Corp","MATURITY"))</f>
        <v/>
      </c>
      <c r="G43" s="75">
        <f>IF($A43="","",PROPER(_xll.BDP($A43&amp;" Corp","COUNTRY_FULL_NAME")))</f>
        <v/>
      </c>
      <c r="H43" s="75">
        <f>IF($A43="","",_xll.BDP($A43&amp;" Corp","INDUSTRY_SECTOR"))</f>
        <v/>
      </c>
      <c r="I43" s="101">
        <f>IF($A43="","",IFERROR(_xll.BDP($A43&amp;" Corp","MIN_PIECE")/1000,""))</f>
        <v/>
      </c>
      <c r="J43" s="31">
        <f>IF($A43="","",_xll.BDP($A43&amp;" Corp","PX_LAST"))</f>
        <v/>
      </c>
      <c r="K43" s="31">
        <f>IF($A43="","",_xll.BDP($A43&amp;" Corp","YAS_BOND_YLD","YAS_YLD_FLAG=15"))</f>
        <v/>
      </c>
      <c r="L43" s="31">
        <f>IF($A43="","",K43-_xll.BDP($A43&amp;" Corp","YAS_BOND_YLD","YAS_YLD_FLAG=15","SETTLE_DT",Company_desc!$A$1))</f>
        <v/>
      </c>
      <c r="M43" s="31">
        <f>IF($A43="","",K43-_xll.BDP($A43&amp;" Corp","YAS_BOND_YLD","YAS_YLD_FLAG=15","SETTLE_DT",Company_desc!$A$2))</f>
        <v/>
      </c>
      <c r="N43" s="79">
        <f>IF($A43="","",_xll.BDP($A43&amp;" Corp","YAS_OAS_SPRD"))</f>
        <v/>
      </c>
      <c r="O43" s="67">
        <f>IF($A43="","",_xll.BDP($A43&amp;" Corp","YAS_MOD_DUR"))</f>
        <v/>
      </c>
      <c r="P43" s="80">
        <f>IF($A43="","",IFERROR(INDEX(Sheet1!$P:$P,MATCH($A43,Sheet1!$A:$A,0)),""))</f>
        <v/>
      </c>
      <c r="Q43" s="75">
        <f>IF($A43="","",IFERROR(INDEX(Company_desc!$C:$C,MATCH($A43,Company_desc!$A:$A,0)),IFERROR(INDEX(Sheet1!$Q:$Q,MATCH($A43,Sheet1!$A:$A,0)),"")))</f>
        <v/>
      </c>
      <c r="R43" s="75">
        <f>IF($A43="","",_xll.BDP($A43&amp;" Corp","CRNCY"))</f>
        <v/>
      </c>
      <c r="S43" s="75">
        <f>IF($A43="","",IFERROR(INDEX(Sheet1!$S:$S,MATCH($A43,Sheet1!$A:$A,0)),""))</f>
        <v/>
      </c>
      <c r="T43" s="75">
        <f>IF($A43="","",IFERROR(INDEX(Sheet1!$T:$T,MATCH($A43,Sheet1!$A:$A,0)),_xll.BDP($A43&amp;" Corp","RTG_SP")))</f>
        <v/>
      </c>
      <c r="U43" s="75">
        <f>IF($A43="","",IFERROR(INDEX(Sheet1!$U:$U,MATCH($A43,Sheet1!$A:$A,0)),""))</f>
        <v/>
      </c>
      <c r="W43" s="81">
        <f>IF($A43="","",N43-_xll.BDP($A43&amp;" Corp","YAS_OAS_SPRD","SETTLE_DT",Company_desc!$A$1))</f>
        <v/>
      </c>
      <c r="X43" s="81">
        <f>IF($A43="","",N43-_xll.BDP($A43&amp;" Corp","YAS_OAS_SPRD","SETTLE_DT",Company_desc!$A$2))</f>
        <v/>
      </c>
      <c r="Y43" s="80">
        <f>IF($A43="","",N43-_xll.BDP($A43&amp;" Corp","YAS_OAS_SPRD","SETTLE_DT",Company_desc!$D$1))</f>
        <v/>
      </c>
      <c r="Z43" s="82">
        <f>IF($A43="","",K43-_xll.BDP($A43&amp;" Corp","YAS_BOND_YLD","YAS_YLD_FLAG=15","SETTLE_DT",Company_desc!$D$1))</f>
        <v/>
      </c>
      <c r="AA43" s="80">
        <f>IF($A43="","",_xll.BDP($A43&amp;" Corp","YAS_OAS_SPRD","SETTLE_DT",Company_desc!$D$1))</f>
        <v/>
      </c>
    </row>
    <row r="44">
      <c r="B44" s="75">
        <f>IF($A44="","",IFERROR(INDEX(Sheet1!$B:$B,MATCH($A44,Sheet1!$A:$A,0)),""))</f>
        <v/>
      </c>
      <c r="C44" s="75">
        <f>IF($A44="","",PROPER(_xll.BDP($A44&amp;" Corp","NAME")))</f>
        <v/>
      </c>
      <c r="D44" s="76">
        <f>IF($A44="","",_xll.BDP($A44&amp;" Corp","CPN"))</f>
        <v/>
      </c>
      <c r="E44" s="75">
        <f>IF($A44="","",_xll.BDP($A44&amp;" Corp","PAYMENT_RANK"))</f>
        <v/>
      </c>
      <c r="F44" s="100">
        <f>IF($A44="","",_xll.BDP($A44&amp;" Corp","MATURITY"))</f>
        <v/>
      </c>
      <c r="G44" s="75">
        <f>IF($A44="","",PROPER(_xll.BDP($A44&amp;" Corp","COUNTRY_FULL_NAME")))</f>
        <v/>
      </c>
      <c r="H44" s="75">
        <f>IF($A44="","",_xll.BDP($A44&amp;" Corp","INDUSTRY_SECTOR"))</f>
        <v/>
      </c>
      <c r="I44" s="101">
        <f>IF($A44="","",IFERROR(_xll.BDP($A44&amp;" Corp","MIN_PIECE")/1000,""))</f>
        <v/>
      </c>
      <c r="J44" s="31">
        <f>IF($A44="","",_xll.BDP($A44&amp;" Corp","PX_LAST"))</f>
        <v/>
      </c>
      <c r="K44" s="31">
        <f>IF($A44="","",_xll.BDP($A44&amp;" Corp","YAS_BOND_YLD","YAS_YLD_FLAG=15"))</f>
        <v/>
      </c>
      <c r="L44" s="31">
        <f>IF($A44="","",K44-_xll.BDP($A44&amp;" Corp","YAS_BOND_YLD","YAS_YLD_FLAG=15","SETTLE_DT",Company_desc!$A$1))</f>
        <v/>
      </c>
      <c r="M44" s="31">
        <f>IF($A44="","",K44-_xll.BDP($A44&amp;" Corp","YAS_BOND_YLD","YAS_YLD_FLAG=15","SETTLE_DT",Company_desc!$A$2))</f>
        <v/>
      </c>
      <c r="N44" s="79">
        <f>IF($A44="","",_xll.BDP($A44&amp;" Corp","YAS_OAS_SPRD"))</f>
        <v/>
      </c>
      <c r="O44" s="67">
        <f>IF($A44="","",_xll.BDP($A44&amp;" Corp","YAS_MOD_DUR"))</f>
        <v/>
      </c>
      <c r="P44" s="80">
        <f>IF($A44="","",IFERROR(INDEX(Sheet1!$P:$P,MATCH($A44,Sheet1!$A:$A,0)),""))</f>
        <v/>
      </c>
      <c r="Q44" s="75">
        <f>IF($A44="","",IFERROR(INDEX(Company_desc!$C:$C,MATCH($A44,Company_desc!$A:$A,0)),IFERROR(INDEX(Sheet1!$Q:$Q,MATCH($A44,Sheet1!$A:$A,0)),"")))</f>
        <v/>
      </c>
      <c r="R44" s="75">
        <f>IF($A44="","",_xll.BDP($A44&amp;" Corp","CRNCY"))</f>
        <v/>
      </c>
      <c r="S44" s="75">
        <f>IF($A44="","",IFERROR(INDEX(Sheet1!$S:$S,MATCH($A44,Sheet1!$A:$A,0)),""))</f>
        <v/>
      </c>
      <c r="T44" s="75">
        <f>IF($A44="","",IFERROR(INDEX(Sheet1!$T:$T,MATCH($A44,Sheet1!$A:$A,0)),_xll.BDP($A44&amp;" Corp","RTG_SP")))</f>
        <v/>
      </c>
      <c r="U44" s="83">
        <f>IF($A44="","",IFERROR(INDEX(Sheet1!$U:$U,MATCH($A44,Sheet1!$A:$A,0)),""))</f>
        <v/>
      </c>
      <c r="W44" s="81">
        <f>IF($A44="","",N44-_xll.BDP($A44&amp;" Corp","YAS_OAS_SPRD","SETTLE_DT",Company_desc!$A$1))</f>
        <v/>
      </c>
      <c r="X44" s="81">
        <f>IF($A44="","",N44-_xll.BDP($A44&amp;" Corp","YAS_OAS_SPRD","SETTLE_DT",Company_desc!$A$2))</f>
        <v/>
      </c>
      <c r="Y44" s="80">
        <f>IF($A44="","",N44-_xll.BDP($A44&amp;" Corp","YAS_OAS_SPRD","SETTLE_DT",Company_desc!$D$1))</f>
        <v/>
      </c>
      <c r="Z44" s="82">
        <f>IF($A44="","",K44-_xll.BDP($A44&amp;" Corp","YAS_BOND_YLD","YAS_YLD_FLAG=15","SETTLE_DT",Company_desc!$D$1))</f>
        <v/>
      </c>
      <c r="AA44" s="80">
        <f>IF($A44="","",_xll.BDP($A44&amp;" Corp","YAS_OAS_SPRD","SETTLE_DT",Company_desc!$D$1))</f>
        <v/>
      </c>
    </row>
    <row r="45">
      <c r="B45" s="75">
        <f>IF($A45="","",IFERROR(INDEX(Sheet1!$B:$B,MATCH($A45,Sheet1!$A:$A,0)),""))</f>
        <v/>
      </c>
      <c r="C45" s="75">
        <f>IF($A45="","",PROPER(_xll.BDP($A45&amp;" Corp","NAME")))</f>
        <v/>
      </c>
      <c r="D45" s="76">
        <f>IF($A45="","",_xll.BDP($A45&amp;" Corp","CPN"))</f>
        <v/>
      </c>
      <c r="E45" s="75">
        <f>IF($A45="","",_xll.BDP($A45&amp;" Corp","PAYMENT_RANK"))</f>
        <v/>
      </c>
      <c r="F45" s="100">
        <f>IF($A45="","",_xll.BDP($A45&amp;" Corp","MATURITY"))</f>
        <v/>
      </c>
      <c r="G45" s="75">
        <f>IF($A45="","",PROPER(_xll.BDP($A45&amp;" Corp","COUNTRY_FULL_NAME")))</f>
        <v/>
      </c>
      <c r="H45" s="75">
        <f>IF($A45="","",_xll.BDP($A45&amp;" Corp","INDUSTRY_SECTOR"))</f>
        <v/>
      </c>
      <c r="I45" s="101">
        <f>IF($A45="","",IFERROR(_xll.BDP($A45&amp;" Corp","MIN_PIECE")/1000,""))</f>
        <v/>
      </c>
      <c r="J45" s="31">
        <f>IF($A45="","",_xll.BDP($A45&amp;" Corp","PX_LAST"))</f>
        <v/>
      </c>
      <c r="K45" s="31">
        <f>IF($A45="","",_xll.BDP($A45&amp;" Corp","YAS_BOND_YLD","YAS_YLD_FLAG=15"))</f>
        <v/>
      </c>
      <c r="L45" s="31">
        <f>IF($A45="","",K45-_xll.BDP($A45&amp;" Corp","YAS_BOND_YLD","YAS_YLD_FLAG=15","SETTLE_DT",Company_desc!$A$1))</f>
        <v/>
      </c>
      <c r="M45" s="31">
        <f>IF($A45="","",K45-_xll.BDP($A45&amp;" Corp","YAS_BOND_YLD","YAS_YLD_FLAG=15","SETTLE_DT",Company_desc!$A$2))</f>
        <v/>
      </c>
      <c r="N45" s="79">
        <f>IF($A45="","",_xll.BDP($A45&amp;" Corp","YAS_OAS_SPRD"))</f>
        <v/>
      </c>
      <c r="O45" s="82">
        <f>IF($A45="","",_xll.BDP($A45&amp;" Corp","YAS_MOD_DUR"))</f>
        <v/>
      </c>
      <c r="P45" s="80">
        <f>IF($A45="","",IFERROR(INDEX(Sheet1!$P:$P,MATCH($A45,Sheet1!$A:$A,0)),""))</f>
        <v/>
      </c>
      <c r="Q45" s="75">
        <f>IF($A45="","",IFERROR(INDEX(Company_desc!$C:$C,MATCH($A45,Company_desc!$A:$A,0)),IFERROR(INDEX(Sheet1!$Q:$Q,MATCH($A45,Sheet1!$A:$A,0)),"")))</f>
        <v/>
      </c>
      <c r="R45" s="75">
        <f>IF($A45="","",_xll.BDP($A45&amp;" Corp","CRNCY"))</f>
        <v/>
      </c>
      <c r="S45" s="75">
        <f>IF($A45="","",IFERROR(INDEX(Sheet1!$S:$S,MATCH($A45,Sheet1!$A:$A,0)),""))</f>
        <v/>
      </c>
      <c r="T45" s="75">
        <f>IF($A45="","",IFERROR(INDEX(Sheet1!$T:$T,MATCH($A45,Sheet1!$A:$A,0)),_xll.BDP($A45&amp;" Corp","RTG_SP")))</f>
        <v/>
      </c>
      <c r="U45" s="75">
        <f>IF($A45="","",IFERROR(INDEX(Sheet1!$U:$U,MATCH($A45,Sheet1!$A:$A,0)),""))</f>
        <v/>
      </c>
      <c r="W45" s="81">
        <f>IF($A45="","",N45-_xll.BDP($A45&amp;" Corp","YAS_OAS_SPRD","SETTLE_DT",Company_desc!$A$1))</f>
        <v/>
      </c>
      <c r="X45" s="81">
        <f>IF($A45="","",N45-_xll.BDP($A45&amp;" Corp","YAS_OAS_SPRD","SETTLE_DT",Company_desc!$A$2))</f>
        <v/>
      </c>
      <c r="Y45" s="80">
        <f>IF($A45="","",N45-_xll.BDP($A45&amp;" Corp","YAS_OAS_SPRD","SETTLE_DT",Company_desc!$D$1))</f>
        <v/>
      </c>
      <c r="Z45" s="82">
        <f>IF($A45="","",K45-_xll.BDP($A45&amp;" Corp","YAS_BOND_YLD","YAS_YLD_FLAG=15","SETTLE_DT",Company_desc!$D$1))</f>
        <v/>
      </c>
      <c r="AA45" s="80">
        <f>IF($A45="","",_xll.BDP($A45&amp;" Corp","YAS_OAS_SPRD","SETTLE_DT",Company_desc!$D$1))</f>
        <v/>
      </c>
    </row>
    <row r="46">
      <c r="B46" s="75">
        <f>IF($A46="","",IFERROR(INDEX(Sheet1!$B:$B,MATCH($A46,Sheet1!$A:$A,0)),""))</f>
        <v/>
      </c>
      <c r="C46" s="75">
        <f>IF($A46="","",PROPER(_xll.BDP($A46&amp;" Corp","NAME")))</f>
        <v/>
      </c>
      <c r="D46" s="76">
        <f>IF($A46="","",_xll.BDP($A46&amp;" Corp","CPN"))</f>
        <v/>
      </c>
      <c r="E46" s="75">
        <f>IF($A46="","",_xll.BDP($A46&amp;" Corp","PAYMENT_RANK"))</f>
        <v/>
      </c>
      <c r="F46" s="100">
        <f>IF($A46="","",_xll.BDP($A46&amp;" Corp","MATURITY"))</f>
        <v/>
      </c>
      <c r="G46" s="75">
        <f>IF($A46="","",PROPER(_xll.BDP($A46&amp;" Corp","COUNTRY_FULL_NAME")))</f>
        <v/>
      </c>
      <c r="H46" s="75">
        <f>IF($A46="","",_xll.BDP($A46&amp;" Corp","INDUSTRY_SECTOR"))</f>
        <v/>
      </c>
      <c r="I46" s="101">
        <f>IF($A46="","",IFERROR(_xll.BDP($A46&amp;" Corp","MIN_PIECE")/1000,""))</f>
        <v/>
      </c>
      <c r="J46" s="31">
        <f>IF($A46="","",_xll.BDP($A46&amp;" Corp","PX_LAST"))</f>
        <v/>
      </c>
      <c r="K46" s="31">
        <f>IF($A46="","",_xll.BDP($A46&amp;" Corp","YAS_BOND_YLD","YAS_YLD_FLAG=15"))</f>
        <v/>
      </c>
      <c r="L46" s="31">
        <f>IF($A46="","",K46-_xll.BDP($A46&amp;" Corp","YAS_BOND_YLD","YAS_YLD_FLAG=15","SETTLE_DT",Company_desc!$A$1))</f>
        <v/>
      </c>
      <c r="M46" s="31">
        <f>IF($A46="","",K46-_xll.BDP($A46&amp;" Corp","YAS_BOND_YLD","YAS_YLD_FLAG=15","SETTLE_DT",Company_desc!$A$2))</f>
        <v/>
      </c>
      <c r="N46" s="79">
        <f>IF($A46="","",_xll.BDP($A46&amp;" Corp","YAS_OAS_SPRD"))</f>
        <v/>
      </c>
      <c r="O46" s="67">
        <f>IF($A46="","",_xll.BDP($A46&amp;" Corp","YAS_MOD_DUR"))</f>
        <v/>
      </c>
      <c r="P46" s="80">
        <f>IF($A46="","",IFERROR(INDEX(Sheet1!$P:$P,MATCH($A46,Sheet1!$A:$A,0)),""))</f>
        <v/>
      </c>
      <c r="Q46" s="75">
        <f>IF($A46="","",IFERROR(INDEX(Company_desc!$C:$C,MATCH($A46,Company_desc!$A:$A,0)),IFERROR(INDEX(Sheet1!$Q:$Q,MATCH($A46,Sheet1!$A:$A,0)),"")))</f>
        <v/>
      </c>
      <c r="R46" s="75">
        <f>IF($A46="","",_xll.BDP($A46&amp;" Corp","CRNCY"))</f>
        <v/>
      </c>
      <c r="S46" s="75">
        <f>IF($A46="","",IFERROR(INDEX(Sheet1!$S:$S,MATCH($A46,Sheet1!$A:$A,0)),""))</f>
        <v/>
      </c>
      <c r="T46" s="75">
        <f>IF($A46="","",IFERROR(INDEX(Sheet1!$T:$T,MATCH($A46,Sheet1!$A:$A,0)),_xll.BDP($A46&amp;" Corp","RTG_SP")))</f>
        <v/>
      </c>
      <c r="U46" s="75">
        <f>IF($A46="","",IFERROR(INDEX(Sheet1!$U:$U,MATCH($A46,Sheet1!$A:$A,0)),""))</f>
        <v/>
      </c>
      <c r="W46" s="81">
        <f>IF($A46="","",N46-_xll.BDP($A46&amp;" Corp","YAS_OAS_SPRD","SETTLE_DT",Company_desc!$A$1))</f>
        <v/>
      </c>
      <c r="X46" s="81">
        <f>IF($A46="","",N46-_xll.BDP($A46&amp;" Corp","YAS_OAS_SPRD","SETTLE_DT",Company_desc!$A$2))</f>
        <v/>
      </c>
      <c r="Y46" s="80">
        <f>IF($A46="","",N46-_xll.BDP($A46&amp;" Corp","YAS_OAS_SPRD","SETTLE_DT",Company_desc!$D$1))</f>
        <v/>
      </c>
      <c r="Z46" s="82">
        <f>IF($A46="","",K46-_xll.BDP($A46&amp;" Corp","YAS_BOND_YLD","YAS_YLD_FLAG=15","SETTLE_DT",Company_desc!$D$1))</f>
        <v/>
      </c>
      <c r="AA46" s="80">
        <f>IF($A46="","",_xll.BDP($A46&amp;" Corp","YAS_OAS_SPRD","SETTLE_DT",Company_desc!$D$1))</f>
        <v/>
      </c>
    </row>
    <row r="47">
      <c r="B47" s="75">
        <f>IF($A47="","",IFERROR(INDEX(Sheet1!$B:$B,MATCH($A47,Sheet1!$A:$A,0)),""))</f>
        <v/>
      </c>
      <c r="C47" s="75">
        <f>IF($A47="","",PROPER(_xll.BDP($A47&amp;" Corp","NAME")))</f>
        <v/>
      </c>
      <c r="D47" s="76">
        <f>IF($A47="","",_xll.BDP($A47&amp;" Corp","CPN"))</f>
        <v/>
      </c>
      <c r="E47" s="75">
        <f>IF($A47="","",_xll.BDP($A47&amp;" Corp","PAYMENT_RANK"))</f>
        <v/>
      </c>
      <c r="F47" s="100">
        <f>IF($A47="","",_xll.BDP($A47&amp;" Corp","MATURITY"))</f>
        <v/>
      </c>
      <c r="G47" s="75">
        <f>IF($A47="","",PROPER(_xll.BDP($A47&amp;" Corp","COUNTRY_FULL_NAME")))</f>
        <v/>
      </c>
      <c r="H47" s="75">
        <f>IF($A47="","",_xll.BDP($A47&amp;" Corp","INDUSTRY_SECTOR"))</f>
        <v/>
      </c>
      <c r="I47" s="101">
        <f>IF($A47="","",IFERROR(_xll.BDP($A47&amp;" Corp","MIN_PIECE")/1000,""))</f>
        <v/>
      </c>
      <c r="J47" s="31">
        <f>IF($A47="","",_xll.BDP($A47&amp;" Corp","PX_LAST"))</f>
        <v/>
      </c>
      <c r="K47" s="31">
        <f>IF($A47="","",_xll.BDP($A47&amp;" Corp","YAS_BOND_YLD","YAS_YLD_FLAG=15"))</f>
        <v/>
      </c>
      <c r="L47" s="31">
        <f>IF($A47="","",K47-_xll.BDP($A47&amp;" Corp","YAS_BOND_YLD","YAS_YLD_FLAG=15","SETTLE_DT",Company_desc!$A$1))</f>
        <v/>
      </c>
      <c r="M47" s="31">
        <f>IF($A47="","",K47-_xll.BDP($A47&amp;" Corp","YAS_BOND_YLD","YAS_YLD_FLAG=15","SETTLE_DT",Company_desc!$A$2))</f>
        <v/>
      </c>
      <c r="N47" s="79">
        <f>IF($A47="","",_xll.BDP($A47&amp;" Corp","YAS_OAS_SPRD"))</f>
        <v/>
      </c>
      <c r="O47" s="67">
        <f>IF($A47="","",_xll.BDP($A47&amp;" Corp","YAS_MOD_DUR"))</f>
        <v/>
      </c>
      <c r="P47" s="80">
        <f>IF($A47="","",IFERROR(INDEX(Sheet1!$P:$P,MATCH($A47,Sheet1!$A:$A,0)),""))</f>
        <v/>
      </c>
      <c r="Q47" s="75">
        <f>IF($A47="","",IFERROR(INDEX(Company_desc!$C:$C,MATCH($A47,Company_desc!$A:$A,0)),IFERROR(INDEX(Sheet1!$Q:$Q,MATCH($A47,Sheet1!$A:$A,0)),"")))</f>
        <v/>
      </c>
      <c r="R47" s="75">
        <f>IF($A47="","",_xll.BDP($A47&amp;" Corp","CRNCY"))</f>
        <v/>
      </c>
      <c r="S47" s="75">
        <f>IF($A47="","",IFERROR(INDEX(Sheet1!$S:$S,MATCH($A47,Sheet1!$A:$A,0)),""))</f>
        <v/>
      </c>
      <c r="T47" s="75">
        <f>IF($A47="","",IFERROR(INDEX(Sheet1!$T:$T,MATCH($A47,Sheet1!$A:$A,0)),_xll.BDP($A47&amp;" Corp","RTG_SP")))</f>
        <v/>
      </c>
      <c r="U47" s="75">
        <f>IF($A47="","",IFERROR(INDEX(Sheet1!$U:$U,MATCH($A47,Sheet1!$A:$A,0)),""))</f>
        <v/>
      </c>
      <c r="W47" s="81">
        <f>IF($A47="","",N47-_xll.BDP($A47&amp;" Corp","YAS_OAS_SPRD","SETTLE_DT",Company_desc!$A$1))</f>
        <v/>
      </c>
      <c r="X47" s="81">
        <f>IF($A47="","",N47-_xll.BDP($A47&amp;" Corp","YAS_OAS_SPRD","SETTLE_DT",Company_desc!$A$2))</f>
        <v/>
      </c>
      <c r="Y47" s="80">
        <f>IF($A47="","",N47-_xll.BDP($A47&amp;" Corp","YAS_OAS_SPRD","SETTLE_DT",Company_desc!$D$1))</f>
        <v/>
      </c>
      <c r="Z47" s="82">
        <f>IF($A47="","",K47-_xll.BDP($A47&amp;" Corp","YAS_BOND_YLD","YAS_YLD_FLAG=15","SETTLE_DT",Company_desc!$D$1))</f>
        <v/>
      </c>
      <c r="AA47" s="80">
        <f>IF($A47="","",_xll.BDP($A47&amp;" Corp","YAS_OAS_SPRD","SETTLE_DT",Company_desc!$D$1))</f>
        <v/>
      </c>
    </row>
    <row r="48">
      <c r="B48" s="75">
        <f>IF($A48="","",IFERROR(INDEX(Sheet1!$B:$B,MATCH($A48,Sheet1!$A:$A,0)),""))</f>
        <v/>
      </c>
      <c r="C48" s="75">
        <f>IF($A48="","",PROPER(_xll.BDP($A48&amp;" Corp","NAME")))</f>
        <v/>
      </c>
      <c r="D48" s="76">
        <f>IF($A48="","",_xll.BDP($A48&amp;" Corp","CPN"))</f>
        <v/>
      </c>
      <c r="E48" s="75">
        <f>IF($A48="","",_xll.BDP($A48&amp;" Corp","PAYMENT_RANK"))</f>
        <v/>
      </c>
      <c r="F48" s="100">
        <f>IF($A48="","",_xll.BDP($A48&amp;" Corp","MATURITY"))</f>
        <v/>
      </c>
      <c r="G48" s="75">
        <f>IF($A48="","",PROPER(_xll.BDP($A48&amp;" Corp","COUNTRY_FULL_NAME")))</f>
        <v/>
      </c>
      <c r="H48" s="75">
        <f>IF($A48="","",_xll.BDP($A48&amp;" Corp","INDUSTRY_SECTOR"))</f>
        <v/>
      </c>
      <c r="I48" s="101">
        <f>IF($A48="","",IFERROR(_xll.BDP($A48&amp;" Corp","MIN_PIECE")/1000,""))</f>
        <v/>
      </c>
      <c r="J48" s="31">
        <f>IF($A48="","",_xll.BDP($A48&amp;" Corp","PX_LAST"))</f>
        <v/>
      </c>
      <c r="K48" s="31">
        <f>IF($A48="","",_xll.BDP($A48&amp;" Corp","YAS_BOND_YLD","YAS_YLD_FLAG=15"))</f>
        <v/>
      </c>
      <c r="L48" s="31">
        <f>IF($A48="","",K48-_xll.BDP($A48&amp;" Corp","YAS_BOND_YLD","YAS_YLD_FLAG=15","SETTLE_DT",Company_desc!$A$1))</f>
        <v/>
      </c>
      <c r="M48" s="31">
        <f>IF($A48="","",K48-_xll.BDP($A48&amp;" Corp","YAS_BOND_YLD","YAS_YLD_FLAG=15","SETTLE_DT",Company_desc!$A$2))</f>
        <v/>
      </c>
      <c r="N48" s="79">
        <f>IF($A48="","",_xll.BDP($A48&amp;" Corp","YAS_OAS_SPRD"))</f>
        <v/>
      </c>
      <c r="O48" s="82">
        <f>IF($A48="","",_xll.BDP($A48&amp;" Corp","YAS_MOD_DUR"))</f>
        <v/>
      </c>
      <c r="P48" s="80">
        <f>IF($A48="","",IFERROR(INDEX(Sheet1!$P:$P,MATCH($A48,Sheet1!$A:$A,0)),""))</f>
        <v/>
      </c>
      <c r="Q48" s="75">
        <f>IF($A48="","",IFERROR(INDEX(Company_desc!$C:$C,MATCH($A48,Company_desc!$A:$A,0)),IFERROR(INDEX(Sheet1!$Q:$Q,MATCH($A48,Sheet1!$A:$A,0)),"")))</f>
        <v/>
      </c>
      <c r="R48" s="75">
        <f>IF($A48="","",_xll.BDP($A48&amp;" Corp","CRNCY"))</f>
        <v/>
      </c>
      <c r="S48" s="75">
        <f>IF($A48="","",IFERROR(INDEX(Sheet1!$S:$S,MATCH($A48,Sheet1!$A:$A,0)),""))</f>
        <v/>
      </c>
      <c r="T48" s="75">
        <f>IF($A48="","",IFERROR(INDEX(Sheet1!$T:$T,MATCH($A48,Sheet1!$A:$A,0)),_xll.BDP($A48&amp;" Corp","RTG_SP")))</f>
        <v/>
      </c>
      <c r="U48" s="75">
        <f>IF($A48="","",IFERROR(INDEX(Sheet1!$U:$U,MATCH($A48,Sheet1!$A:$A,0)),""))</f>
        <v/>
      </c>
      <c r="W48" s="81">
        <f>IF($A48="","",N48-_xll.BDP($A48&amp;" Corp","YAS_OAS_SPRD","SETTLE_DT",Company_desc!$A$1))</f>
        <v/>
      </c>
      <c r="X48" s="81">
        <f>IF($A48="","",N48-_xll.BDP($A48&amp;" Corp","YAS_OAS_SPRD","SETTLE_DT",Company_desc!$A$2))</f>
        <v/>
      </c>
      <c r="Y48" s="80">
        <f>IF($A48="","",N48-_xll.BDP($A48&amp;" Corp","YAS_OAS_SPRD","SETTLE_DT",Company_desc!$D$1))</f>
        <v/>
      </c>
      <c r="Z48" s="82">
        <f>IF($A48="","",K48-_xll.BDP($A48&amp;" Corp","YAS_BOND_YLD","YAS_YLD_FLAG=15","SETTLE_DT",Company_desc!$D$1))</f>
        <v/>
      </c>
      <c r="AA48" s="80">
        <f>IF($A48="","",_xll.BDP($A48&amp;" Corp","YAS_OAS_SPRD","SETTLE_DT",Company_desc!$D$1))</f>
        <v/>
      </c>
    </row>
    <row r="49">
      <c r="B49" s="75">
        <f>IF($A49="","",IFERROR(INDEX(Sheet1!$B:$B,MATCH($A49,Sheet1!$A:$A,0)),""))</f>
        <v/>
      </c>
      <c r="C49" s="75">
        <f>IF($A49="","",PROPER(_xll.BDP($A49&amp;" Corp","NAME")))</f>
        <v/>
      </c>
      <c r="D49" s="76">
        <f>IF($A49="","",_xll.BDP($A49&amp;" Corp","CPN"))</f>
        <v/>
      </c>
      <c r="E49" s="75">
        <f>IF($A49="","",_xll.BDP($A49&amp;" Corp","PAYMENT_RANK"))</f>
        <v/>
      </c>
      <c r="F49" s="100">
        <f>IF($A49="","",_xll.BDP($A49&amp;" Corp","MATURITY"))</f>
        <v/>
      </c>
      <c r="G49" s="75">
        <f>IF($A49="","",PROPER(_xll.BDP($A49&amp;" Corp","COUNTRY_FULL_NAME")))</f>
        <v/>
      </c>
      <c r="H49" s="75">
        <f>IF($A49="","",_xll.BDP($A49&amp;" Corp","INDUSTRY_SECTOR"))</f>
        <v/>
      </c>
      <c r="I49" s="101">
        <f>IF($A49="","",IFERROR(_xll.BDP($A49&amp;" Corp","MIN_PIECE")/1000,""))</f>
        <v/>
      </c>
      <c r="J49" s="31">
        <f>IF($A49="","",_xll.BDP($A49&amp;" Corp","PX_LAST"))</f>
        <v/>
      </c>
      <c r="K49" s="31">
        <f>IF($A49="","",_xll.BDP($A49&amp;" Corp","YAS_BOND_YLD","YAS_YLD_FLAG=15"))</f>
        <v/>
      </c>
      <c r="L49" s="31">
        <f>IF($A49="","",K49-_xll.BDP($A49&amp;" Corp","YAS_BOND_YLD","YAS_YLD_FLAG=15","SETTLE_DT",Company_desc!$A$1))</f>
        <v/>
      </c>
      <c r="M49" s="31">
        <f>IF($A49="","",K49-_xll.BDP($A49&amp;" Corp","YAS_BOND_YLD","YAS_YLD_FLAG=15","SETTLE_DT",Company_desc!$A$2))</f>
        <v/>
      </c>
      <c r="N49" s="79">
        <f>IF($A49="","",_xll.BDP($A49&amp;" Corp","YAS_OAS_SPRD"))</f>
        <v/>
      </c>
      <c r="O49" s="67">
        <f>IF($A49="","",_xll.BDP($A49&amp;" Corp","YAS_MOD_DUR"))</f>
        <v/>
      </c>
      <c r="P49" s="80">
        <f>IF($A49="","",IFERROR(INDEX(Sheet1!$P:$P,MATCH($A49,Sheet1!$A:$A,0)),""))</f>
        <v/>
      </c>
      <c r="Q49" s="75">
        <f>IF($A49="","",IFERROR(INDEX(Company_desc!$C:$C,MATCH($A49,Company_desc!$A:$A,0)),IFERROR(INDEX(Sheet1!$Q:$Q,MATCH($A49,Sheet1!$A:$A,0)),"")))</f>
        <v/>
      </c>
      <c r="R49" s="75">
        <f>IF($A49="","",_xll.BDP($A49&amp;" Corp","CRNCY"))</f>
        <v/>
      </c>
      <c r="S49" s="75">
        <f>IF($A49="","",IFERROR(INDEX(Sheet1!$S:$S,MATCH($A49,Sheet1!$A:$A,0)),""))</f>
        <v/>
      </c>
      <c r="T49" s="75">
        <f>IF($A49="","",IFERROR(INDEX(Sheet1!$T:$T,MATCH($A49,Sheet1!$A:$A,0)),_xll.BDP($A49&amp;" Corp","RTG_SP")))</f>
        <v/>
      </c>
      <c r="U49" s="75">
        <f>IF($A49="","",IFERROR(INDEX(Sheet1!$U:$U,MATCH($A49,Sheet1!$A:$A,0)),""))</f>
        <v/>
      </c>
      <c r="W49" s="81">
        <f>IF($A49="","",N49-_xll.BDP($A49&amp;" Corp","YAS_OAS_SPRD","SETTLE_DT",Company_desc!$A$1))</f>
        <v/>
      </c>
      <c r="X49" s="81">
        <f>IF($A49="","",N49-_xll.BDP($A49&amp;" Corp","YAS_OAS_SPRD","SETTLE_DT",Company_desc!$A$2))</f>
        <v/>
      </c>
      <c r="Y49" s="80">
        <f>IF($A49="","",N49-_xll.BDP($A49&amp;" Corp","YAS_OAS_SPRD","SETTLE_DT",Company_desc!$D$1))</f>
        <v/>
      </c>
      <c r="Z49" s="82">
        <f>IF($A49="","",K49-_xll.BDP($A49&amp;" Corp","YAS_BOND_YLD","YAS_YLD_FLAG=15","SETTLE_DT",Company_desc!$D$1))</f>
        <v/>
      </c>
      <c r="AA49" s="80">
        <f>IF($A49="","",_xll.BDP($A49&amp;" Corp","YAS_OAS_SPRD","SETTLE_DT",Company_desc!$D$1))</f>
        <v/>
      </c>
    </row>
    <row r="50">
      <c r="B50" s="28">
        <f>IF($A50="","",IFERROR(INDEX(Sheet1!$B:$B,MATCH($A50,Sheet1!$A:$A,0)),""))</f>
        <v/>
      </c>
      <c r="C50" s="29">
        <f>IF($A50="","",PROPER(_xll.BDP($A50&amp;" Corp","NAME")))</f>
        <v/>
      </c>
      <c r="D50" s="84">
        <f>IF($A50="","",_xll.BDP($A50&amp;" Corp","CPN"))</f>
        <v/>
      </c>
      <c r="E50" s="84">
        <f>IF($A50="","",_xll.BDP($A50&amp;" Corp","PAYMENT_RANK"))</f>
        <v/>
      </c>
      <c r="F50" s="102">
        <f>IF($A50="","",_xll.BDP($A50&amp;" Corp","MATURITY"))</f>
        <v/>
      </c>
      <c r="G50" s="43">
        <f>IF($A50="","",PROPER(_xll.BDP($A50&amp;" Corp","COUNTRY_FULL_NAME")))</f>
        <v/>
      </c>
      <c r="H50" s="29">
        <f>IF($A50="","",_xll.BDP($A50&amp;" Corp","INDUSTRY_SECTOR"))</f>
        <v/>
      </c>
      <c r="I50" s="103">
        <f>IF($A50="","",IFERROR(_xll.BDP($A50&amp;" Corp","MIN_PIECE")/1000,""))</f>
        <v/>
      </c>
      <c r="J50" s="31">
        <f>IF($A50="","",_xll.BDP($A50&amp;" Corp","PX_LAST"))</f>
        <v/>
      </c>
      <c r="K50" s="31">
        <f>IF($A50="","",_xll.BDP($A50&amp;" Corp","YAS_BOND_YLD","YAS_YLD_FLAG=15"))</f>
        <v/>
      </c>
      <c r="L50" s="31">
        <f>IF($A50="","",K50-_xll.BDP($A50&amp;" Corp","YAS_BOND_YLD","YAS_YLD_FLAG=15","SETTLE_DT",Company_desc!$A$1))</f>
        <v/>
      </c>
      <c r="M50" s="31">
        <f>IF($A50="","",K50-_xll.BDP($A50&amp;" Corp","YAS_BOND_YLD","YAS_YLD_FLAG=15","SETTLE_DT",Company_desc!$A$2))</f>
        <v/>
      </c>
      <c r="N50" s="79">
        <f>IF($A50="","",_xll.BDP($A50&amp;" Corp","YAS_OAS_SPRD"))</f>
        <v/>
      </c>
      <c r="O50" s="67">
        <f>IF($A50="","",_xll.BDP($A50&amp;" Corp","YAS_MOD_DUR"))</f>
        <v/>
      </c>
      <c r="P50" s="79">
        <f>IF($A50="","",IFERROR(INDEX(Sheet1!$P:$P,MATCH($A50,Sheet1!$A:$A,0)),""))</f>
        <v/>
      </c>
      <c r="Q50" s="27">
        <f>IF($A50="","",IFERROR(INDEX(Company_desc!$C:$C,MATCH($A50,Company_desc!$A:$A,0)),IFERROR(INDEX(Sheet1!$Q:$Q,MATCH($A50,Sheet1!$A:$A,0)),"")))</f>
        <v/>
      </c>
      <c r="R50" s="27">
        <f>IF($A50="","",_xll.BDP($A50&amp;" Corp","CRNCY"))</f>
        <v/>
      </c>
      <c r="S50" s="27">
        <f>IF($A50="","",IFERROR(INDEX(Sheet1!$S:$S,MATCH($A50,Sheet1!$A:$A,0)),""))</f>
        <v/>
      </c>
      <c r="T50" s="47">
        <f>IF($A50="","",IFERROR(INDEX(Sheet1!$T:$T,MATCH($A50,Sheet1!$A:$A,0)),_xll.BDP($A50&amp;" Corp","RTG_SP")))</f>
        <v/>
      </c>
      <c r="U50" s="75">
        <f>IF($A50="","",IFERROR(INDEX(Sheet1!$U:$U,MATCH($A50,Sheet1!$A:$A,0)),""))</f>
        <v/>
      </c>
      <c r="W50" s="81">
        <f>IF($A50="","",N50-_xll.BDP($A50&amp;" Corp","YAS_OAS_SPRD","SETTLE_DT",Company_desc!$A$1))</f>
        <v/>
      </c>
      <c r="X50" s="81">
        <f>IF($A50="","",N50-_xll.BDP($A50&amp;" Corp","YAS_OAS_SPRD","SETTLE_DT",Company_desc!$A$2))</f>
        <v/>
      </c>
      <c r="Y50" s="80">
        <f>IF($A50="","",N50-_xll.BDP($A50&amp;" Corp","YAS_OAS_SPRD","SETTLE_DT",Company_desc!$D$1))</f>
        <v/>
      </c>
      <c r="Z50" s="82">
        <f>IF($A50="","",K50-_xll.BDP($A50&amp;" Corp","YAS_BOND_YLD","YAS_YLD_FLAG=15","SETTLE_DT",Company_desc!$D$1))</f>
        <v/>
      </c>
      <c r="AA50" s="80">
        <f>IF($A50="","",_xll.BDP($A50&amp;" Corp","YAS_OAS_SPRD","SETTLE_DT",Company_desc!$D$1))</f>
        <v/>
      </c>
    </row>
    <row r="51">
      <c r="B51" s="75">
        <f>IF($A51="","",IFERROR(INDEX(Sheet1!$B:$B,MATCH($A51,Sheet1!$A:$A,0)),""))</f>
        <v/>
      </c>
      <c r="C51" s="75">
        <f>IF($A51="","",PROPER(_xll.BDP($A51&amp;" Corp","NAME")))</f>
        <v/>
      </c>
      <c r="D51" s="76">
        <f>IF($A51="","",_xll.BDP($A51&amp;" Corp","CPN"))</f>
        <v/>
      </c>
      <c r="E51" s="75">
        <f>IF($A51="","",_xll.BDP($A51&amp;" Corp","PAYMENT_RANK"))</f>
        <v/>
      </c>
      <c r="F51" s="100">
        <f>IF($A51="","",_xll.BDP($A51&amp;" Corp","MATURITY"))</f>
        <v/>
      </c>
      <c r="G51" s="75">
        <f>IF($A51="","",PROPER(_xll.BDP($A51&amp;" Corp","COUNTRY_FULL_NAME")))</f>
        <v/>
      </c>
      <c r="H51" s="75">
        <f>IF($A51="","",_xll.BDP($A51&amp;" Corp","INDUSTRY_SECTOR"))</f>
        <v/>
      </c>
      <c r="I51" s="101">
        <f>IF($A51="","",IFERROR(_xll.BDP($A51&amp;" Corp","MIN_PIECE")/1000,""))</f>
        <v/>
      </c>
      <c r="J51" s="31">
        <f>IF($A51="","",_xll.BDP($A51&amp;" Corp","PX_LAST"))</f>
        <v/>
      </c>
      <c r="K51" s="31">
        <f>IF($A51="","",_xll.BDP($A51&amp;" Corp","YAS_BOND_YLD","YAS_YLD_FLAG=15"))</f>
        <v/>
      </c>
      <c r="L51" s="31">
        <f>IF($A51="","",K51-_xll.BDP($A51&amp;" Corp","YAS_BOND_YLD","YAS_YLD_FLAG=15","SETTLE_DT",Company_desc!$A$1))</f>
        <v/>
      </c>
      <c r="M51" s="31">
        <f>IF($A51="","",K51-_xll.BDP($A51&amp;" Corp","YAS_BOND_YLD","YAS_YLD_FLAG=15","SETTLE_DT",Company_desc!$A$2))</f>
        <v/>
      </c>
      <c r="N51" s="79">
        <f>IF($A51="","",_xll.BDP($A51&amp;" Corp","YAS_OAS_SPRD"))</f>
        <v/>
      </c>
      <c r="O51" s="67">
        <f>IF($A51="","",_xll.BDP($A51&amp;" Corp","YAS_MOD_DUR"))</f>
        <v/>
      </c>
      <c r="P51" s="80">
        <f>IF($A51="","",IFERROR(INDEX(Sheet1!$P:$P,MATCH($A51,Sheet1!$A:$A,0)),""))</f>
        <v/>
      </c>
      <c r="Q51" s="75">
        <f>IF($A51="","",IFERROR(INDEX(Company_desc!$C:$C,MATCH($A51,Company_desc!$A:$A,0)),IFERROR(INDEX(Sheet1!$Q:$Q,MATCH($A51,Sheet1!$A:$A,0)),"")))</f>
        <v/>
      </c>
      <c r="R51" s="75">
        <f>IF($A51="","",_xll.BDP($A51&amp;" Corp","CRNCY"))</f>
        <v/>
      </c>
      <c r="S51" s="75">
        <f>IF($A51="","",IFERROR(INDEX(Sheet1!$S:$S,MATCH($A51,Sheet1!$A:$A,0)),""))</f>
        <v/>
      </c>
      <c r="T51" s="75">
        <f>IF($A51="","",IFERROR(INDEX(Sheet1!$T:$T,MATCH($A51,Sheet1!$A:$A,0)),_xll.BDP($A51&amp;" Corp","RTG_SP")))</f>
        <v/>
      </c>
      <c r="U51" s="75">
        <f>IF($A51="","",IFERROR(INDEX(Sheet1!$U:$U,MATCH($A51,Sheet1!$A:$A,0)),""))</f>
        <v/>
      </c>
      <c r="W51" s="81">
        <f>IF($A51="","",N51-_xll.BDP($A51&amp;" Corp","YAS_OAS_SPRD","SETTLE_DT",Company_desc!$A$1))</f>
        <v/>
      </c>
      <c r="X51" s="81">
        <f>IF($A51="","",N51-_xll.BDP($A51&amp;" Corp","YAS_OAS_SPRD","SETTLE_DT",Company_desc!$A$2))</f>
        <v/>
      </c>
      <c r="Y51" s="80">
        <f>IF($A51="","",N51-_xll.BDP($A51&amp;" Corp","YAS_OAS_SPRD","SETTLE_DT",Company_desc!$D$1))</f>
        <v/>
      </c>
      <c r="Z51" s="82">
        <f>IF($A51="","",K51-_xll.BDP($A51&amp;" Corp","YAS_BOND_YLD","YAS_YLD_FLAG=15","SETTLE_DT",Company_desc!$D$1))</f>
        <v/>
      </c>
      <c r="AA51" s="80">
        <f>IF($A51="","",_xll.BDP($A51&amp;" Corp","YAS_OAS_SPRD","SETTLE_DT",Company_desc!$D$1))</f>
        <v/>
      </c>
    </row>
    <row r="52">
      <c r="B52" s="28">
        <f>IF($A52="","",IFERROR(INDEX(Sheet1!$B:$B,MATCH($A52,Sheet1!$A:$A,0)),""))</f>
        <v/>
      </c>
      <c r="C52" s="29">
        <f>IF($A52="","",PROPER(_xll.BDP($A52&amp;" Corp","NAME")))</f>
        <v/>
      </c>
      <c r="D52" s="84">
        <f>IF($A52="","",_xll.BDP($A52&amp;" Corp","CPN"))</f>
        <v/>
      </c>
      <c r="E52" s="84">
        <f>IF($A52="","",_xll.BDP($A52&amp;" Corp","PAYMENT_RANK"))</f>
        <v/>
      </c>
      <c r="F52" s="102">
        <f>IF($A52="","",_xll.BDP($A52&amp;" Corp","MATURITY"))</f>
        <v/>
      </c>
      <c r="G52" s="43">
        <f>IF($A52="","",PROPER(_xll.BDP($A52&amp;" Corp","COUNTRY_FULL_NAME")))</f>
        <v/>
      </c>
      <c r="H52" s="29">
        <f>IF($A52="","",_xll.BDP($A52&amp;" Corp","INDUSTRY_SECTOR"))</f>
        <v/>
      </c>
      <c r="I52" s="103">
        <f>IF($A52="","",IFERROR(_xll.BDP($A52&amp;" Corp","MIN_PIECE")/1000,""))</f>
        <v/>
      </c>
      <c r="J52" s="31">
        <f>IF($A52="","",_xll.BDP($A52&amp;" Corp","PX_LAST"))</f>
        <v/>
      </c>
      <c r="K52" s="31">
        <f>IF($A52="","",_xll.BDP($A52&amp;" Corp","YAS_BOND_YLD","YAS_YLD_FLAG=15"))</f>
        <v/>
      </c>
      <c r="L52" s="31">
        <f>IF($A52="","",K52-_xll.BDP($A52&amp;" Corp","YAS_BOND_YLD","YAS_YLD_FLAG=15","SETTLE_DT",Company_desc!$A$1))</f>
        <v/>
      </c>
      <c r="M52" s="31">
        <f>IF($A52="","",K52-_xll.BDP($A52&amp;" Corp","YAS_BOND_YLD","YAS_YLD_FLAG=15","SETTLE_DT",Company_desc!$A$2))</f>
        <v/>
      </c>
      <c r="N52" s="79">
        <f>IF($A52="","",_xll.BDP($A52&amp;" Corp","YAS_OAS_SPRD"))</f>
        <v/>
      </c>
      <c r="O52" s="67">
        <f>IF($A52="","",_xll.BDP($A52&amp;" Corp","YAS_MOD_DUR"))</f>
        <v/>
      </c>
      <c r="P52" s="79">
        <f>IF($A52="","",IFERROR(INDEX(Sheet1!$P:$P,MATCH($A52,Sheet1!$A:$A,0)),""))</f>
        <v/>
      </c>
      <c r="Q52" s="27">
        <f>IF($A52="","",IFERROR(INDEX(Company_desc!$C:$C,MATCH($A52,Company_desc!$A:$A,0)),IFERROR(INDEX(Sheet1!$Q:$Q,MATCH($A52,Sheet1!$A:$A,0)),"")))</f>
        <v/>
      </c>
      <c r="R52" s="27">
        <f>IF($A52="","",_xll.BDP($A52&amp;" Corp","CRNCY"))</f>
        <v/>
      </c>
      <c r="S52" s="27">
        <f>IF($A52="","",IFERROR(INDEX(Sheet1!$S:$S,MATCH($A52,Sheet1!$A:$A,0)),""))</f>
        <v/>
      </c>
      <c r="T52" s="47">
        <f>IF($A52="","",IFERROR(INDEX(Sheet1!$T:$T,MATCH($A52,Sheet1!$A:$A,0)),_xll.BDP($A52&amp;" Corp","RTG_SP")))</f>
        <v/>
      </c>
      <c r="U52" s="75">
        <f>IF($A52="","",IFERROR(INDEX(Sheet1!$U:$U,MATCH($A52,Sheet1!$A:$A,0)),""))</f>
        <v/>
      </c>
      <c r="W52" s="81">
        <f>IF($A52="","",N52-_xll.BDP($A52&amp;" Corp","YAS_OAS_SPRD","SETTLE_DT",Company_desc!$A$1))</f>
        <v/>
      </c>
      <c r="X52" s="81">
        <f>IF($A52="","",N52-_xll.BDP($A52&amp;" Corp","YAS_OAS_SPRD","SETTLE_DT",Company_desc!$A$2))</f>
        <v/>
      </c>
      <c r="Y52" s="80">
        <f>IF($A52="","",N52-_xll.BDP($A52&amp;" Corp","YAS_OAS_SPRD","SETTLE_DT",Company_desc!$D$1))</f>
        <v/>
      </c>
      <c r="Z52" s="82">
        <f>IF($A52="","",K52-_xll.BDP($A52&amp;" Corp","YAS_BOND_YLD","YAS_YLD_FLAG=15","SETTLE_DT",Company_desc!$D$1))</f>
        <v/>
      </c>
      <c r="AA52" s="80">
        <f>IF($A52="","",_xll.BDP($A52&amp;" Corp","YAS_OAS_SPRD","SETTLE_DT",Company_desc!$D$1))</f>
        <v/>
      </c>
    </row>
    <row r="53">
      <c r="B53" s="75">
        <f>IF($A53="","",IFERROR(INDEX(Sheet1!$B:$B,MATCH($A53,Sheet1!$A:$A,0)),""))</f>
        <v/>
      </c>
      <c r="C53" s="75">
        <f>IF($A53="","",PROPER(_xll.BDP($A53&amp;" Corp","NAME")))</f>
        <v/>
      </c>
      <c r="D53" s="76">
        <f>IF($A53="","",_xll.BDP($A53&amp;" Corp","CPN"))</f>
        <v/>
      </c>
      <c r="E53" s="75">
        <f>IF($A53="","",_xll.BDP($A53&amp;" Corp","PAYMENT_RANK"))</f>
        <v/>
      </c>
      <c r="F53" s="100">
        <f>IF($A53="","",_xll.BDP($A53&amp;" Corp","MATURITY"))</f>
        <v/>
      </c>
      <c r="G53" s="75">
        <f>IF($A53="","",PROPER(_xll.BDP($A53&amp;" Corp","COUNTRY_FULL_NAME")))</f>
        <v/>
      </c>
      <c r="H53" s="75">
        <f>IF($A53="","",_xll.BDP($A53&amp;" Corp","INDUSTRY_SECTOR"))</f>
        <v/>
      </c>
      <c r="I53" s="101">
        <f>IF($A53="","",IFERROR(_xll.BDP($A53&amp;" Corp","MIN_PIECE")/1000,""))</f>
        <v/>
      </c>
      <c r="J53" s="31">
        <f>IF($A53="","",_xll.BDP($A53&amp;" Corp","PX_LAST"))</f>
        <v/>
      </c>
      <c r="K53" s="31">
        <f>IF($A53="","",_xll.BDP($A53&amp;" Corp","YAS_BOND_YLD","YAS_YLD_FLAG=15"))</f>
        <v/>
      </c>
      <c r="L53" s="31">
        <f>IF($A53="","",K53-_xll.BDP($A53&amp;" Corp","YAS_BOND_YLD","YAS_YLD_FLAG=15","SETTLE_DT",Company_desc!$A$1))</f>
        <v/>
      </c>
      <c r="M53" s="31">
        <f>IF($A53="","",K53-_xll.BDP($A53&amp;" Corp","YAS_BOND_YLD","YAS_YLD_FLAG=15","SETTLE_DT",Company_desc!$A$2))</f>
        <v/>
      </c>
      <c r="N53" s="79">
        <f>IF($A53="","",_xll.BDP($A53&amp;" Corp","YAS_OAS_SPRD"))</f>
        <v/>
      </c>
      <c r="O53" s="67">
        <f>IF($A53="","",_xll.BDP($A53&amp;" Corp","YAS_MOD_DUR"))</f>
        <v/>
      </c>
      <c r="P53" s="80">
        <f>IF($A53="","",IFERROR(INDEX(Sheet1!$P:$P,MATCH($A53,Sheet1!$A:$A,0)),""))</f>
        <v/>
      </c>
      <c r="Q53" s="75">
        <f>IF($A53="","",IFERROR(INDEX(Company_desc!$C:$C,MATCH($A53,Company_desc!$A:$A,0)),IFERROR(INDEX(Sheet1!$Q:$Q,MATCH($A53,Sheet1!$A:$A,0)),"")))</f>
        <v/>
      </c>
      <c r="R53" s="75">
        <f>IF($A53="","",_xll.BDP($A53&amp;" Corp","CRNCY"))</f>
        <v/>
      </c>
      <c r="S53" s="75">
        <f>IF($A53="","",IFERROR(INDEX(Sheet1!$S:$S,MATCH($A53,Sheet1!$A:$A,0)),""))</f>
        <v/>
      </c>
      <c r="T53" s="75">
        <f>IF($A53="","",IFERROR(INDEX(Sheet1!$T:$T,MATCH($A53,Sheet1!$A:$A,0)),_xll.BDP($A53&amp;" Corp","RTG_SP")))</f>
        <v/>
      </c>
      <c r="U53" s="75">
        <f>IF($A53="","",IFERROR(INDEX(Sheet1!$U:$U,MATCH($A53,Sheet1!$A:$A,0)),""))</f>
        <v/>
      </c>
      <c r="W53" s="81">
        <f>IF($A53="","",N53-_xll.BDP($A53&amp;" Corp","YAS_OAS_SPRD","SETTLE_DT",Company_desc!$A$1))</f>
        <v/>
      </c>
      <c r="X53" s="81">
        <f>IF($A53="","",N53-_xll.BDP($A53&amp;" Corp","YAS_OAS_SPRD","SETTLE_DT",Company_desc!$A$2))</f>
        <v/>
      </c>
      <c r="Y53" s="80">
        <f>IF($A53="","",N53-_xll.BDP($A53&amp;" Corp","YAS_OAS_SPRD","SETTLE_DT",Company_desc!$D$1))</f>
        <v/>
      </c>
      <c r="Z53" s="82">
        <f>IF($A53="","",K53-_xll.BDP($A53&amp;" Corp","YAS_BOND_YLD","YAS_YLD_FLAG=15","SETTLE_DT",Company_desc!$D$1))</f>
        <v/>
      </c>
      <c r="AA53" s="80">
        <f>IF($A53="","",_xll.BDP($A53&amp;" Corp","YAS_OAS_SPRD","SETTLE_DT",Company_desc!$D$1))</f>
        <v/>
      </c>
    </row>
    <row r="54">
      <c r="B54" s="75">
        <f>IF($A54="","",IFERROR(INDEX(Sheet1!$B:$B,MATCH($A54,Sheet1!$A:$A,0)),""))</f>
        <v/>
      </c>
      <c r="C54" s="75">
        <f>IF($A54="","",PROPER(_xll.BDP($A54&amp;" Corp","NAME")))</f>
        <v/>
      </c>
      <c r="D54" s="76">
        <f>IF($A54="","",_xll.BDP($A54&amp;" Corp","CPN"))</f>
        <v/>
      </c>
      <c r="E54" s="75">
        <f>IF($A54="","",_xll.BDP($A54&amp;" Corp","PAYMENT_RANK"))</f>
        <v/>
      </c>
      <c r="F54" s="100">
        <f>IF($A54="","",_xll.BDP($A54&amp;" Corp","MATURITY"))</f>
        <v/>
      </c>
      <c r="G54" s="75">
        <f>IF($A54="","",PROPER(_xll.BDP($A54&amp;" Corp","COUNTRY_FULL_NAME")))</f>
        <v/>
      </c>
      <c r="H54" s="75">
        <f>IF($A54="","",_xll.BDP($A54&amp;" Corp","INDUSTRY_SECTOR"))</f>
        <v/>
      </c>
      <c r="I54" s="101">
        <f>IF($A54="","",IFERROR(_xll.BDP($A54&amp;" Corp","MIN_PIECE")/1000,""))</f>
        <v/>
      </c>
      <c r="J54" s="31">
        <f>IF($A54="","",_xll.BDP($A54&amp;" Corp","PX_LAST"))</f>
        <v/>
      </c>
      <c r="K54" s="31">
        <f>IF($A54="","",_xll.BDP($A54&amp;" Corp","YAS_BOND_YLD","YAS_YLD_FLAG=15"))</f>
        <v/>
      </c>
      <c r="L54" s="31">
        <f>IF($A54="","",K54-_xll.BDP($A54&amp;" Corp","YAS_BOND_YLD","YAS_YLD_FLAG=15","SETTLE_DT",Company_desc!$A$1))</f>
        <v/>
      </c>
      <c r="M54" s="31">
        <f>IF($A54="","",K54-_xll.BDP($A54&amp;" Corp","YAS_BOND_YLD","YAS_YLD_FLAG=15","SETTLE_DT",Company_desc!$A$2))</f>
        <v/>
      </c>
      <c r="N54" s="79">
        <f>IF($A54="","",_xll.BDP($A54&amp;" Corp","YAS_OAS_SPRD"))</f>
        <v/>
      </c>
      <c r="O54" s="67">
        <f>IF($A54="","",_xll.BDP($A54&amp;" Corp","YAS_MOD_DUR"))</f>
        <v/>
      </c>
      <c r="P54" s="80">
        <f>IF($A54="","",IFERROR(INDEX(Sheet1!$P:$P,MATCH($A54,Sheet1!$A:$A,0)),""))</f>
        <v/>
      </c>
      <c r="Q54" s="75">
        <f>IF($A54="","",IFERROR(INDEX(Company_desc!$C:$C,MATCH($A54,Company_desc!$A:$A,0)),IFERROR(INDEX(Sheet1!$Q:$Q,MATCH($A54,Sheet1!$A:$A,0)),"")))</f>
        <v/>
      </c>
      <c r="R54" s="75">
        <f>IF($A54="","",_xll.BDP($A54&amp;" Corp","CRNCY"))</f>
        <v/>
      </c>
      <c r="S54" s="75">
        <f>IF($A54="","",IFERROR(INDEX(Sheet1!$S:$S,MATCH($A54,Sheet1!$A:$A,0)),""))</f>
        <v/>
      </c>
      <c r="T54" s="75">
        <f>IF($A54="","",IFERROR(INDEX(Sheet1!$T:$T,MATCH($A54,Sheet1!$A:$A,0)),_xll.BDP($A54&amp;" Corp","RTG_SP")))</f>
        <v/>
      </c>
      <c r="U54" s="75">
        <f>IF($A54="","",IFERROR(INDEX(Sheet1!$U:$U,MATCH($A54,Sheet1!$A:$A,0)),""))</f>
        <v/>
      </c>
      <c r="W54" s="81">
        <f>IF($A54="","",N54-_xll.BDP($A54&amp;" Corp","YAS_OAS_SPRD","SETTLE_DT",Company_desc!$A$1))</f>
        <v/>
      </c>
      <c r="X54" s="81">
        <f>IF($A54="","",N54-_xll.BDP($A54&amp;" Corp","YAS_OAS_SPRD","SETTLE_DT",Company_desc!$A$2))</f>
        <v/>
      </c>
      <c r="Y54" s="80">
        <f>IF($A54="","",N54-_xll.BDP($A54&amp;" Corp","YAS_OAS_SPRD","SETTLE_DT",Company_desc!$D$1))</f>
        <v/>
      </c>
      <c r="Z54" s="82">
        <f>IF($A54="","",K54-_xll.BDP($A54&amp;" Corp","YAS_BOND_YLD","YAS_YLD_FLAG=15","SETTLE_DT",Company_desc!$D$1))</f>
        <v/>
      </c>
      <c r="AA54" s="80">
        <f>IF($A54="","",_xll.BDP($A54&amp;" Corp","YAS_OAS_SPRD","SETTLE_DT",Company_desc!$D$1))</f>
        <v/>
      </c>
    </row>
    <row r="55">
      <c r="B55" s="75">
        <f>IF($A55="","",IFERROR(INDEX(Sheet1!$B:$B,MATCH($A55,Sheet1!$A:$A,0)),""))</f>
        <v/>
      </c>
      <c r="C55" s="75">
        <f>IF($A55="","",PROPER(_xll.BDP($A55&amp;" Corp","NAME")))</f>
        <v/>
      </c>
      <c r="D55" s="76">
        <f>IF($A55="","",_xll.BDP($A55&amp;" Corp","CPN"))</f>
        <v/>
      </c>
      <c r="E55" s="75">
        <f>IF($A55="","",_xll.BDP($A55&amp;" Corp","PAYMENT_RANK"))</f>
        <v/>
      </c>
      <c r="F55" s="100">
        <f>IF($A55="","",_xll.BDP($A55&amp;" Corp","MATURITY"))</f>
        <v/>
      </c>
      <c r="G55" s="75">
        <f>IF($A55="","",PROPER(_xll.BDP($A55&amp;" Corp","COUNTRY_FULL_NAME")))</f>
        <v/>
      </c>
      <c r="H55" s="75">
        <f>IF($A55="","",_xll.BDP($A55&amp;" Corp","INDUSTRY_SECTOR"))</f>
        <v/>
      </c>
      <c r="I55" s="101">
        <f>IF($A55="","",IFERROR(_xll.BDP($A55&amp;" Corp","MIN_PIECE")/1000,""))</f>
        <v/>
      </c>
      <c r="J55" s="31">
        <f>IF($A55="","",_xll.BDP($A55&amp;" Corp","PX_LAST"))</f>
        <v/>
      </c>
      <c r="K55" s="31">
        <f>IF($A55="","",_xll.BDP($A55&amp;" Corp","YAS_BOND_YLD","YAS_YLD_FLAG=15"))</f>
        <v/>
      </c>
      <c r="L55" s="31">
        <f>IF($A55="","",K55-_xll.BDP($A55&amp;" Corp","YAS_BOND_YLD","YAS_YLD_FLAG=15","SETTLE_DT",Company_desc!$A$1))</f>
        <v/>
      </c>
      <c r="M55" s="31">
        <f>IF($A55="","",K55-_xll.BDP($A55&amp;" Corp","YAS_BOND_YLD","YAS_YLD_FLAG=15","SETTLE_DT",Company_desc!$A$2))</f>
        <v/>
      </c>
      <c r="N55" s="79">
        <f>IF($A55="","",_xll.BDP($A55&amp;" Corp","YAS_OAS_SPRD"))</f>
        <v/>
      </c>
      <c r="O55" s="67">
        <f>IF($A55="","",_xll.BDP($A55&amp;" Corp","YAS_MOD_DUR"))</f>
        <v/>
      </c>
      <c r="P55" s="80">
        <f>IF($A55="","",IFERROR(INDEX(Sheet1!$P:$P,MATCH($A55,Sheet1!$A:$A,0)),""))</f>
        <v/>
      </c>
      <c r="Q55" s="75">
        <f>IF($A55="","",IFERROR(INDEX(Company_desc!$C:$C,MATCH($A55,Company_desc!$A:$A,0)),IFERROR(INDEX(Sheet1!$Q:$Q,MATCH($A55,Sheet1!$A:$A,0)),"")))</f>
        <v/>
      </c>
      <c r="R55" s="75">
        <f>IF($A55="","",_xll.BDP($A55&amp;" Corp","CRNCY"))</f>
        <v/>
      </c>
      <c r="S55" s="75">
        <f>IF($A55="","",IFERROR(INDEX(Sheet1!$S:$S,MATCH($A55,Sheet1!$A:$A,0)),""))</f>
        <v/>
      </c>
      <c r="T55" s="75">
        <f>IF($A55="","",IFERROR(INDEX(Sheet1!$T:$T,MATCH($A55,Sheet1!$A:$A,0)),_xll.BDP($A55&amp;" Corp","RTG_SP")))</f>
        <v/>
      </c>
      <c r="U55" s="75">
        <f>IF($A55="","",IFERROR(INDEX(Sheet1!$U:$U,MATCH($A55,Sheet1!$A:$A,0)),""))</f>
        <v/>
      </c>
      <c r="W55" s="81">
        <f>IF($A55="","",N55-_xll.BDP($A55&amp;" Corp","YAS_OAS_SPRD","SETTLE_DT",Company_desc!$A$1))</f>
        <v/>
      </c>
      <c r="X55" s="81">
        <f>IF($A55="","",N55-_xll.BDP($A55&amp;" Corp","YAS_OAS_SPRD","SETTLE_DT",Company_desc!$A$2))</f>
        <v/>
      </c>
      <c r="Y55" s="80">
        <f>IF($A55="","",N55-_xll.BDP($A55&amp;" Corp","YAS_OAS_SPRD","SETTLE_DT",Company_desc!$D$1))</f>
        <v/>
      </c>
      <c r="Z55" s="82">
        <f>IF($A55="","",K55-_xll.BDP($A55&amp;" Corp","YAS_BOND_YLD","YAS_YLD_FLAG=15","SETTLE_DT",Company_desc!$D$1))</f>
        <v/>
      </c>
      <c r="AA55" s="80">
        <f>IF($A55="","",_xll.BDP($A55&amp;" Corp","YAS_OAS_SPRD","SETTLE_DT",Company_desc!$D$1))</f>
        <v/>
      </c>
    </row>
    <row r="56">
      <c r="B56" s="75">
        <f>IF($A56="","",IFERROR(INDEX(Sheet1!$B:$B,MATCH($A56,Sheet1!$A:$A,0)),""))</f>
        <v/>
      </c>
      <c r="C56" s="75">
        <f>IF($A56="","",PROPER(_xll.BDP($A56&amp;" Corp","NAME")))</f>
        <v/>
      </c>
      <c r="D56" s="76">
        <f>IF($A56="","",_xll.BDP($A56&amp;" Corp","CPN"))</f>
        <v/>
      </c>
      <c r="E56" s="75">
        <f>IF($A56="","",_xll.BDP($A56&amp;" Corp","PAYMENT_RANK"))</f>
        <v/>
      </c>
      <c r="F56" s="100">
        <f>IF($A56="","",_xll.BDP($A56&amp;" Corp","MATURITY"))</f>
        <v/>
      </c>
      <c r="G56" s="75">
        <f>IF($A56="","",PROPER(_xll.BDP($A56&amp;" Corp","COUNTRY_FULL_NAME")))</f>
        <v/>
      </c>
      <c r="H56" s="75">
        <f>IF($A56="","",_xll.BDP($A56&amp;" Corp","INDUSTRY_SECTOR"))</f>
        <v/>
      </c>
      <c r="I56" s="101">
        <f>IF($A56="","",IFERROR(_xll.BDP($A56&amp;" Corp","MIN_PIECE")/1000,""))</f>
        <v/>
      </c>
      <c r="J56" s="31">
        <f>IF($A56="","",_xll.BDP($A56&amp;" Corp","PX_LAST"))</f>
        <v/>
      </c>
      <c r="K56" s="31">
        <f>IF($A56="","",_xll.BDP($A56&amp;" Corp","YAS_BOND_YLD","YAS_YLD_FLAG=15"))</f>
        <v/>
      </c>
      <c r="L56" s="31">
        <f>IF($A56="","",K56-_xll.BDP($A56&amp;" Corp","YAS_BOND_YLD","YAS_YLD_FLAG=15","SETTLE_DT",Company_desc!$A$1))</f>
        <v/>
      </c>
      <c r="M56" s="31">
        <f>IF($A56="","",K56-_xll.BDP($A56&amp;" Corp","YAS_BOND_YLD","YAS_YLD_FLAG=15","SETTLE_DT",Company_desc!$A$2))</f>
        <v/>
      </c>
      <c r="N56" s="79">
        <f>IF($A56="","",_xll.BDP($A56&amp;" Corp","YAS_OAS_SPRD"))</f>
        <v/>
      </c>
      <c r="O56" s="67">
        <f>IF($A56="","",_xll.BDP($A56&amp;" Corp","YAS_MOD_DUR"))</f>
        <v/>
      </c>
      <c r="P56" s="80">
        <f>IF($A56="","",IFERROR(INDEX(Sheet1!$P:$P,MATCH($A56,Sheet1!$A:$A,0)),""))</f>
        <v/>
      </c>
      <c r="Q56" s="75">
        <f>IF($A56="","",IFERROR(INDEX(Company_desc!$C:$C,MATCH($A56,Company_desc!$A:$A,0)),IFERROR(INDEX(Sheet1!$Q:$Q,MATCH($A56,Sheet1!$A:$A,0)),"")))</f>
        <v/>
      </c>
      <c r="R56" s="75">
        <f>IF($A56="","",_xll.BDP($A56&amp;" Corp","CRNCY"))</f>
        <v/>
      </c>
      <c r="S56" s="75">
        <f>IF($A56="","",IFERROR(INDEX(Sheet1!$S:$S,MATCH($A56,Sheet1!$A:$A,0)),""))</f>
        <v/>
      </c>
      <c r="T56" s="75">
        <f>IF($A56="","",IFERROR(INDEX(Sheet1!$T:$T,MATCH($A56,Sheet1!$A:$A,0)),_xll.BDP($A56&amp;" Corp","RTG_SP")))</f>
        <v/>
      </c>
      <c r="U56" s="75">
        <f>IF($A56="","",IFERROR(INDEX(Sheet1!$U:$U,MATCH($A56,Sheet1!$A:$A,0)),""))</f>
        <v/>
      </c>
      <c r="W56" s="81">
        <f>IF($A56="","",N56-_xll.BDP($A56&amp;" Corp","YAS_OAS_SPRD","SETTLE_DT",Company_desc!$A$1))</f>
        <v/>
      </c>
      <c r="X56" s="81">
        <f>IF($A56="","",N56-_xll.BDP($A56&amp;" Corp","YAS_OAS_SPRD","SETTLE_DT",Company_desc!$A$2))</f>
        <v/>
      </c>
      <c r="Y56" s="80">
        <f>IF($A56="","",N56-_xll.BDP($A56&amp;" Corp","YAS_OAS_SPRD","SETTLE_DT",Company_desc!$D$1))</f>
        <v/>
      </c>
      <c r="Z56" s="82">
        <f>IF($A56="","",K56-_xll.BDP($A56&amp;" Corp","YAS_BOND_YLD","YAS_YLD_FLAG=15","SETTLE_DT",Company_desc!$D$1))</f>
        <v/>
      </c>
      <c r="AA56" s="80">
        <f>IF($A56="","",_xll.BDP($A56&amp;" Corp","YAS_OAS_SPRD","SETTLE_DT",Company_desc!$D$1))</f>
        <v/>
      </c>
    </row>
    <row r="57">
      <c r="B57" s="75">
        <f>IF($A57="","",IFERROR(INDEX(Sheet1!$B:$B,MATCH($A57,Sheet1!$A:$A,0)),""))</f>
        <v/>
      </c>
      <c r="C57" s="75">
        <f>IF($A57="","",PROPER(_xll.BDP($A57&amp;" Corp","NAME")))</f>
        <v/>
      </c>
      <c r="D57" s="76">
        <f>IF($A57="","",_xll.BDP($A57&amp;" Corp","CPN"))</f>
        <v/>
      </c>
      <c r="E57" s="75">
        <f>IF($A57="","",_xll.BDP($A57&amp;" Corp","PAYMENT_RANK"))</f>
        <v/>
      </c>
      <c r="F57" s="100">
        <f>IF($A57="","",_xll.BDP($A57&amp;" Corp","MATURITY"))</f>
        <v/>
      </c>
      <c r="G57" s="75">
        <f>IF($A57="","",PROPER(_xll.BDP($A57&amp;" Corp","COUNTRY_FULL_NAME")))</f>
        <v/>
      </c>
      <c r="H57" s="75">
        <f>IF($A57="","",_xll.BDP($A57&amp;" Corp","INDUSTRY_SECTOR"))</f>
        <v/>
      </c>
      <c r="I57" s="101">
        <f>IF($A57="","",IFERROR(_xll.BDP($A57&amp;" Corp","MIN_PIECE")/1000,""))</f>
        <v/>
      </c>
      <c r="J57" s="31">
        <f>IF($A57="","",_xll.BDP($A57&amp;" Corp","PX_LAST"))</f>
        <v/>
      </c>
      <c r="K57" s="31">
        <f>IF($A57="","",_xll.BDP($A57&amp;" Corp","YAS_BOND_YLD","YAS_YLD_FLAG=15"))</f>
        <v/>
      </c>
      <c r="L57" s="31">
        <f>IF($A57="","",K57-_xll.BDP($A57&amp;" Corp","YAS_BOND_YLD","YAS_YLD_FLAG=15","SETTLE_DT",Company_desc!$A$1))</f>
        <v/>
      </c>
      <c r="M57" s="31">
        <f>IF($A57="","",K57-_xll.BDP($A57&amp;" Corp","YAS_BOND_YLD","YAS_YLD_FLAG=15","SETTLE_DT",Company_desc!$A$2))</f>
        <v/>
      </c>
      <c r="N57" s="79">
        <f>IF($A57="","",_xll.BDP($A57&amp;" Corp","YAS_OAS_SPRD"))</f>
        <v/>
      </c>
      <c r="O57" s="67">
        <f>IF($A57="","",_xll.BDP($A57&amp;" Corp","YAS_MOD_DUR"))</f>
        <v/>
      </c>
      <c r="P57" s="80">
        <f>IF($A57="","",IFERROR(INDEX(Sheet1!$P:$P,MATCH($A57,Sheet1!$A:$A,0)),""))</f>
        <v/>
      </c>
      <c r="Q57" s="75">
        <f>IF($A57="","",IFERROR(INDEX(Company_desc!$C:$C,MATCH($A57,Company_desc!$A:$A,0)),IFERROR(INDEX(Sheet1!$Q:$Q,MATCH($A57,Sheet1!$A:$A,0)),"")))</f>
        <v/>
      </c>
      <c r="R57" s="75">
        <f>IF($A57="","",_xll.BDP($A57&amp;" Corp","CRNCY"))</f>
        <v/>
      </c>
      <c r="S57" s="75">
        <f>IF($A57="","",IFERROR(INDEX(Sheet1!$S:$S,MATCH($A57,Sheet1!$A:$A,0)),""))</f>
        <v/>
      </c>
      <c r="T57" s="75">
        <f>IF($A57="","",IFERROR(INDEX(Sheet1!$T:$T,MATCH($A57,Sheet1!$A:$A,0)),_xll.BDP($A57&amp;" Corp","RTG_SP")))</f>
        <v/>
      </c>
      <c r="U57" s="75">
        <f>IF($A57="","",IFERROR(INDEX(Sheet1!$U:$U,MATCH($A57,Sheet1!$A:$A,0)),""))</f>
        <v/>
      </c>
      <c r="W57" s="81">
        <f>IF($A57="","",N57-_xll.BDP($A57&amp;" Corp","YAS_OAS_SPRD","SETTLE_DT",Company_desc!$A$1))</f>
        <v/>
      </c>
      <c r="X57" s="81">
        <f>IF($A57="","",N57-_xll.BDP($A57&amp;" Corp","YAS_OAS_SPRD","SETTLE_DT",Company_desc!$A$2))</f>
        <v/>
      </c>
      <c r="Y57" s="80">
        <f>IF($A57="","",N57-_xll.BDP($A57&amp;" Corp","YAS_OAS_SPRD","SETTLE_DT",Company_desc!$D$1))</f>
        <v/>
      </c>
      <c r="Z57" s="82">
        <f>IF($A57="","",K57-_xll.BDP($A57&amp;" Corp","YAS_BOND_YLD","YAS_YLD_FLAG=15","SETTLE_DT",Company_desc!$D$1))</f>
        <v/>
      </c>
      <c r="AA57" s="80">
        <f>IF($A57="","",_xll.BDP($A57&amp;" Corp","YAS_OAS_SPRD","SETTLE_DT",Company_desc!$D$1))</f>
        <v/>
      </c>
    </row>
    <row r="58">
      <c r="B58" s="75">
        <f>IF($A58="","",IFERROR(INDEX(Sheet1!$B:$B,MATCH($A58,Sheet1!$A:$A,0)),""))</f>
        <v/>
      </c>
      <c r="C58" s="75">
        <f>IF($A58="","",PROPER(_xll.BDP($A58&amp;" Corp","NAME")))</f>
        <v/>
      </c>
      <c r="D58" s="76">
        <f>IF($A58="","",_xll.BDP($A58&amp;" Corp","CPN"))</f>
        <v/>
      </c>
      <c r="E58" s="75">
        <f>IF($A58="","",_xll.BDP($A58&amp;" Corp","PAYMENT_RANK"))</f>
        <v/>
      </c>
      <c r="F58" s="100">
        <f>IF($A58="","",_xll.BDP($A58&amp;" Corp","MATURITY"))</f>
        <v/>
      </c>
      <c r="G58" s="75">
        <f>IF($A58="","",PROPER(_xll.BDP($A58&amp;" Corp","COUNTRY_FULL_NAME")))</f>
        <v/>
      </c>
      <c r="H58" s="75">
        <f>IF($A58="","",_xll.BDP($A58&amp;" Corp","INDUSTRY_SECTOR"))</f>
        <v/>
      </c>
      <c r="I58" s="101">
        <f>IF($A58="","",IFERROR(_xll.BDP($A58&amp;" Corp","MIN_PIECE")/1000,""))</f>
        <v/>
      </c>
      <c r="J58" s="31">
        <f>IF($A58="","",_xll.BDP($A58&amp;" Corp","PX_LAST"))</f>
        <v/>
      </c>
      <c r="K58" s="31">
        <f>IF($A58="","",_xll.BDP($A58&amp;" Corp","YAS_BOND_YLD","YAS_YLD_FLAG=15"))</f>
        <v/>
      </c>
      <c r="L58" s="31">
        <f>IF($A58="","",K58-_xll.BDP($A58&amp;" Corp","YAS_BOND_YLD","YAS_YLD_FLAG=15","SETTLE_DT",Company_desc!$A$1))</f>
        <v/>
      </c>
      <c r="M58" s="31">
        <f>IF($A58="","",K58-_xll.BDP($A58&amp;" Corp","YAS_BOND_YLD","YAS_YLD_FLAG=15","SETTLE_DT",Company_desc!$A$2))</f>
        <v/>
      </c>
      <c r="N58" s="79">
        <f>IF($A58="","",_xll.BDP($A58&amp;" Corp","YAS_OAS_SPRD"))</f>
        <v/>
      </c>
      <c r="O58" s="67">
        <f>IF($A58="","",_xll.BDP($A58&amp;" Corp","YAS_MOD_DUR"))</f>
        <v/>
      </c>
      <c r="P58" s="80">
        <f>IF($A58="","",IFERROR(INDEX(Sheet1!$P:$P,MATCH($A58,Sheet1!$A:$A,0)),""))</f>
        <v/>
      </c>
      <c r="Q58" s="75">
        <f>IF($A58="","",IFERROR(INDEX(Company_desc!$C:$C,MATCH($A58,Company_desc!$A:$A,0)),IFERROR(INDEX(Sheet1!$Q:$Q,MATCH($A58,Sheet1!$A:$A,0)),"")))</f>
        <v/>
      </c>
      <c r="R58" s="75">
        <f>IF($A58="","",_xll.BDP($A58&amp;" Corp","CRNCY"))</f>
        <v/>
      </c>
      <c r="S58" s="75">
        <f>IF($A58="","",IFERROR(INDEX(Sheet1!$S:$S,MATCH($A58,Sheet1!$A:$A,0)),""))</f>
        <v/>
      </c>
      <c r="T58" s="75">
        <f>IF($A58="","",IFERROR(INDEX(Sheet1!$T:$T,MATCH($A58,Sheet1!$A:$A,0)),_xll.BDP($A58&amp;" Corp","RTG_SP")))</f>
        <v/>
      </c>
      <c r="U58" s="75">
        <f>IF($A58="","",IFERROR(INDEX(Sheet1!$U:$U,MATCH($A58,Sheet1!$A:$A,0)),""))</f>
        <v/>
      </c>
      <c r="W58" s="81">
        <f>IF($A58="","",N58-_xll.BDP($A58&amp;" Corp","YAS_OAS_SPRD","SETTLE_DT",Company_desc!$A$1))</f>
        <v/>
      </c>
      <c r="X58" s="81">
        <f>IF($A58="","",N58-_xll.BDP($A58&amp;" Corp","YAS_OAS_SPRD","SETTLE_DT",Company_desc!$A$2))</f>
        <v/>
      </c>
      <c r="Y58" s="80">
        <f>IF($A58="","",N58-_xll.BDP($A58&amp;" Corp","YAS_OAS_SPRD","SETTLE_DT",Company_desc!$D$1))</f>
        <v/>
      </c>
      <c r="Z58" s="82">
        <f>IF($A58="","",K58-_xll.BDP($A58&amp;" Corp","YAS_BOND_YLD","YAS_YLD_FLAG=15","SETTLE_DT",Company_desc!$D$1))</f>
        <v/>
      </c>
      <c r="AA58" s="80">
        <f>IF($A58="","",_xll.BDP($A58&amp;" Corp","YAS_OAS_SPRD","SETTLE_DT",Company_desc!$D$1))</f>
        <v/>
      </c>
    </row>
    <row r="59">
      <c r="B59" s="75">
        <f>IF($A59="","",IFERROR(INDEX(Sheet1!$B:$B,MATCH($A59,Sheet1!$A:$A,0)),""))</f>
        <v/>
      </c>
      <c r="C59" s="75">
        <f>IF($A59="","",PROPER(_xll.BDP($A59&amp;" Corp","NAME")))</f>
        <v/>
      </c>
      <c r="D59" s="76">
        <f>IF($A59="","",_xll.BDP($A59&amp;" Corp","CPN"))</f>
        <v/>
      </c>
      <c r="E59" s="75">
        <f>IF($A59="","",_xll.BDP($A59&amp;" Corp","PAYMENT_RANK"))</f>
        <v/>
      </c>
      <c r="F59" s="100">
        <f>IF($A59="","",_xll.BDP($A59&amp;" Corp","MATURITY"))</f>
        <v/>
      </c>
      <c r="G59" s="75">
        <f>IF($A59="","",PROPER(_xll.BDP($A59&amp;" Corp","COUNTRY_FULL_NAME")))</f>
        <v/>
      </c>
      <c r="H59" s="75">
        <f>IF($A59="","",_xll.BDP($A59&amp;" Corp","INDUSTRY_SECTOR"))</f>
        <v/>
      </c>
      <c r="I59" s="101">
        <f>IF($A59="","",IFERROR(_xll.BDP($A59&amp;" Corp","MIN_PIECE")/1000,""))</f>
        <v/>
      </c>
      <c r="J59" s="31">
        <f>IF($A59="","",_xll.BDP($A59&amp;" Corp","PX_LAST"))</f>
        <v/>
      </c>
      <c r="K59" s="31">
        <f>IF($A59="","",_xll.BDP($A59&amp;" Corp","YAS_BOND_YLD","YAS_YLD_FLAG=15"))</f>
        <v/>
      </c>
      <c r="L59" s="31">
        <f>IF($A59="","",K59-_xll.BDP($A59&amp;" Corp","YAS_BOND_YLD","YAS_YLD_FLAG=15","SETTLE_DT",Company_desc!$A$1))</f>
        <v/>
      </c>
      <c r="M59" s="31">
        <f>IF($A59="","",K59-_xll.BDP($A59&amp;" Corp","YAS_BOND_YLD","YAS_YLD_FLAG=15","SETTLE_DT",Company_desc!$A$2))</f>
        <v/>
      </c>
      <c r="N59" s="79">
        <f>IF($A59="","",_xll.BDP($A59&amp;" Corp","YAS_OAS_SPRD"))</f>
        <v/>
      </c>
      <c r="O59" s="67">
        <f>IF($A59="","",_xll.BDP($A59&amp;" Corp","YAS_MOD_DUR"))</f>
        <v/>
      </c>
      <c r="P59" s="80">
        <f>IF($A59="","",IFERROR(INDEX(Sheet1!$P:$P,MATCH($A59,Sheet1!$A:$A,0)),""))</f>
        <v/>
      </c>
      <c r="Q59" s="75">
        <f>IF($A59="","",IFERROR(INDEX(Company_desc!$C:$C,MATCH($A59,Company_desc!$A:$A,0)),IFERROR(INDEX(Sheet1!$Q:$Q,MATCH($A59,Sheet1!$A:$A,0)),"")))</f>
        <v/>
      </c>
      <c r="R59" s="75">
        <f>IF($A59="","",_xll.BDP($A59&amp;" Corp","CRNCY"))</f>
        <v/>
      </c>
      <c r="S59" s="75">
        <f>IF($A59="","",IFERROR(INDEX(Sheet1!$S:$S,MATCH($A59,Sheet1!$A:$A,0)),""))</f>
        <v/>
      </c>
      <c r="T59" s="75">
        <f>IF($A59="","",IFERROR(INDEX(Sheet1!$T:$T,MATCH($A59,Sheet1!$A:$A,0)),_xll.BDP($A59&amp;" Corp","RTG_SP")))</f>
        <v/>
      </c>
      <c r="U59" s="75">
        <f>IF($A59="","",IFERROR(INDEX(Sheet1!$U:$U,MATCH($A59,Sheet1!$A:$A,0)),""))</f>
        <v/>
      </c>
      <c r="W59" s="81">
        <f>IF($A59="","",N59-_xll.BDP($A59&amp;" Corp","YAS_OAS_SPRD","SETTLE_DT",Company_desc!$A$1))</f>
        <v/>
      </c>
      <c r="X59" s="81">
        <f>IF($A59="","",N59-_xll.BDP($A59&amp;" Corp","YAS_OAS_SPRD","SETTLE_DT",Company_desc!$A$2))</f>
        <v/>
      </c>
      <c r="Y59" s="80">
        <f>IF($A59="","",N59-_xll.BDP($A59&amp;" Corp","YAS_OAS_SPRD","SETTLE_DT",Company_desc!$D$1))</f>
        <v/>
      </c>
      <c r="Z59" s="82">
        <f>IF($A59="","",K59-_xll.BDP($A59&amp;" Corp","YAS_BOND_YLD","YAS_YLD_FLAG=15","SETTLE_DT",Company_desc!$D$1))</f>
        <v/>
      </c>
      <c r="AA59" s="80">
        <f>IF($A59="","",_xll.BDP($A59&amp;" Corp","YAS_OAS_SPRD","SETTLE_DT",Company_desc!$D$1))</f>
        <v/>
      </c>
    </row>
    <row r="60">
      <c r="B60" s="75">
        <f>IF($A60="","",IFERROR(INDEX(Sheet1!$B:$B,MATCH($A60,Sheet1!$A:$A,0)),""))</f>
        <v/>
      </c>
      <c r="C60" s="75">
        <f>IF($A60="","",PROPER(_xll.BDP($A60&amp;" Corp","NAME")))</f>
        <v/>
      </c>
      <c r="D60" s="76">
        <f>IF($A60="","",_xll.BDP($A60&amp;" Corp","CPN"))</f>
        <v/>
      </c>
      <c r="E60" s="75">
        <f>IF($A60="","",_xll.BDP($A60&amp;" Corp","PAYMENT_RANK"))</f>
        <v/>
      </c>
      <c r="F60" s="100">
        <f>IF($A60="","",_xll.BDP($A60&amp;" Corp","MATURITY"))</f>
        <v/>
      </c>
      <c r="G60" s="75">
        <f>IF($A60="","",PROPER(_xll.BDP($A60&amp;" Corp","COUNTRY_FULL_NAME")))</f>
        <v/>
      </c>
      <c r="H60" s="75">
        <f>IF($A60="","",_xll.BDP($A60&amp;" Corp","INDUSTRY_SECTOR"))</f>
        <v/>
      </c>
      <c r="I60" s="101">
        <f>IF($A60="","",IFERROR(_xll.BDP($A60&amp;" Corp","MIN_PIECE")/1000,""))</f>
        <v/>
      </c>
      <c r="J60" s="31">
        <f>IF($A60="","",_xll.BDP($A60&amp;" Corp","PX_LAST"))</f>
        <v/>
      </c>
      <c r="K60" s="31">
        <f>IF($A60="","",_xll.BDP($A60&amp;" Corp","YAS_BOND_YLD","YAS_YLD_FLAG=15"))</f>
        <v/>
      </c>
      <c r="L60" s="31">
        <f>IF($A60="","",K60-_xll.BDP($A60&amp;" Corp","YAS_BOND_YLD","YAS_YLD_FLAG=15","SETTLE_DT",Company_desc!$A$1))</f>
        <v/>
      </c>
      <c r="M60" s="31">
        <f>IF($A60="","",K60-_xll.BDP($A60&amp;" Corp","YAS_BOND_YLD","YAS_YLD_FLAG=15","SETTLE_DT",Company_desc!$A$2))</f>
        <v/>
      </c>
      <c r="N60" s="79">
        <f>IF($A60="","",_xll.BDP($A60&amp;" Corp","YAS_OAS_SPRD"))</f>
        <v/>
      </c>
      <c r="O60" s="67">
        <f>IF($A60="","",_xll.BDP($A60&amp;" Corp","YAS_MOD_DUR"))</f>
        <v/>
      </c>
      <c r="P60" s="80">
        <f>IF($A60="","",IFERROR(INDEX(Sheet1!$P:$P,MATCH($A60,Sheet1!$A:$A,0)),""))</f>
        <v/>
      </c>
      <c r="Q60" s="75">
        <f>IF($A60="","",IFERROR(INDEX(Company_desc!$C:$C,MATCH($A60,Company_desc!$A:$A,0)),IFERROR(INDEX(Sheet1!$Q:$Q,MATCH($A60,Sheet1!$A:$A,0)),"")))</f>
        <v/>
      </c>
      <c r="R60" s="75">
        <f>IF($A60="","",_xll.BDP($A60&amp;" Corp","CRNCY"))</f>
        <v/>
      </c>
      <c r="S60" s="75">
        <f>IF($A60="","",IFERROR(INDEX(Sheet1!$S:$S,MATCH($A60,Sheet1!$A:$A,0)),""))</f>
        <v/>
      </c>
      <c r="T60" s="75">
        <f>IF($A60="","",IFERROR(INDEX(Sheet1!$T:$T,MATCH($A60,Sheet1!$A:$A,0)),_xll.BDP($A60&amp;" Corp","RTG_SP")))</f>
        <v/>
      </c>
      <c r="U60" s="75">
        <f>IF($A60="","",IFERROR(INDEX(Sheet1!$U:$U,MATCH($A60,Sheet1!$A:$A,0)),""))</f>
        <v/>
      </c>
      <c r="W60" s="81">
        <f>IF($A60="","",N60-_xll.BDP($A60&amp;" Corp","YAS_OAS_SPRD","SETTLE_DT",Company_desc!$A$1))</f>
        <v/>
      </c>
      <c r="X60" s="81">
        <f>IF($A60="","",N60-_xll.BDP($A60&amp;" Corp","YAS_OAS_SPRD","SETTLE_DT",Company_desc!$A$2))</f>
        <v/>
      </c>
      <c r="Y60" s="80">
        <f>IF($A60="","",N60-_xll.BDP($A60&amp;" Corp","YAS_OAS_SPRD","SETTLE_DT",Company_desc!$D$1))</f>
        <v/>
      </c>
      <c r="Z60" s="82">
        <f>IF($A60="","",K60-_xll.BDP($A60&amp;" Corp","YAS_BOND_YLD","YAS_YLD_FLAG=15","SETTLE_DT",Company_desc!$D$1))</f>
        <v/>
      </c>
      <c r="AA60" s="80">
        <f>IF($A60="","",_xll.BDP($A60&amp;" Corp","YAS_OAS_SPRD","SETTLE_DT",Company_desc!$D$1))</f>
        <v/>
      </c>
    </row>
    <row r="61">
      <c r="B61" s="75">
        <f>IF($A61="","",IFERROR(INDEX(Sheet1!$B:$B,MATCH($A61,Sheet1!$A:$A,0)),""))</f>
        <v/>
      </c>
      <c r="C61" s="75">
        <f>IF($A61="","",PROPER(_xll.BDP($A61&amp;" Corp","NAME")))</f>
        <v/>
      </c>
      <c r="D61" s="76">
        <f>IF($A61="","",_xll.BDP($A61&amp;" Corp","CPN"))</f>
        <v/>
      </c>
      <c r="E61" s="75">
        <f>IF($A61="","",_xll.BDP($A61&amp;" Corp","PAYMENT_RANK"))</f>
        <v/>
      </c>
      <c r="F61" s="100">
        <f>IF($A61="","",_xll.BDP($A61&amp;" Corp","MATURITY"))</f>
        <v/>
      </c>
      <c r="G61" s="75">
        <f>IF($A61="","",PROPER(_xll.BDP($A61&amp;" Corp","COUNTRY_FULL_NAME")))</f>
        <v/>
      </c>
      <c r="H61" s="75">
        <f>IF($A61="","",_xll.BDP($A61&amp;" Corp","INDUSTRY_SECTOR"))</f>
        <v/>
      </c>
      <c r="I61" s="101">
        <f>IF($A61="","",IFERROR(_xll.BDP($A61&amp;" Corp","MIN_PIECE")/1000,""))</f>
        <v/>
      </c>
      <c r="J61" s="31">
        <f>IF($A61="","",_xll.BDP($A61&amp;" Corp","PX_LAST"))</f>
        <v/>
      </c>
      <c r="K61" s="31">
        <f>IF($A61="","",_xll.BDP($A61&amp;" Corp","YAS_BOND_YLD","YAS_YLD_FLAG=15"))</f>
        <v/>
      </c>
      <c r="L61" s="31">
        <f>IF($A61="","",K61-_xll.BDP($A61&amp;" Corp","YAS_BOND_YLD","YAS_YLD_FLAG=15","SETTLE_DT",Company_desc!$A$1))</f>
        <v/>
      </c>
      <c r="M61" s="31">
        <f>IF($A61="","",K61-_xll.BDP($A61&amp;" Corp","YAS_BOND_YLD","YAS_YLD_FLAG=15","SETTLE_DT",Company_desc!$A$2))</f>
        <v/>
      </c>
      <c r="N61" s="79">
        <f>IF($A61="","",_xll.BDP($A61&amp;" Corp","YAS_OAS_SPRD"))</f>
        <v/>
      </c>
      <c r="O61" s="67">
        <f>IF($A61="","",_xll.BDP($A61&amp;" Corp","YAS_MOD_DUR"))</f>
        <v/>
      </c>
      <c r="P61" s="80">
        <f>IF($A61="","",IFERROR(INDEX(Sheet1!$P:$P,MATCH($A61,Sheet1!$A:$A,0)),""))</f>
        <v/>
      </c>
      <c r="Q61" s="75">
        <f>IF($A61="","",IFERROR(INDEX(Company_desc!$C:$C,MATCH($A61,Company_desc!$A:$A,0)),IFERROR(INDEX(Sheet1!$Q:$Q,MATCH($A61,Sheet1!$A:$A,0)),"")))</f>
        <v/>
      </c>
      <c r="R61" s="75">
        <f>IF($A61="","",_xll.BDP($A61&amp;" Corp","CRNCY"))</f>
        <v/>
      </c>
      <c r="S61" s="75">
        <f>IF($A61="","",IFERROR(INDEX(Sheet1!$S:$S,MATCH($A61,Sheet1!$A:$A,0)),""))</f>
        <v/>
      </c>
      <c r="T61" s="75">
        <f>IF($A61="","",IFERROR(INDEX(Sheet1!$T:$T,MATCH($A61,Sheet1!$A:$A,0)),_xll.BDP($A61&amp;" Corp","RTG_SP")))</f>
        <v/>
      </c>
      <c r="U61" s="75">
        <f>IF($A61="","",IFERROR(INDEX(Sheet1!$U:$U,MATCH($A61,Sheet1!$A:$A,0)),""))</f>
        <v/>
      </c>
      <c r="W61" s="81">
        <f>IF($A61="","",N61-_xll.BDP($A61&amp;" Corp","YAS_OAS_SPRD","SETTLE_DT",Company_desc!$A$1))</f>
        <v/>
      </c>
      <c r="X61" s="81">
        <f>IF($A61="","",N61-_xll.BDP($A61&amp;" Corp","YAS_OAS_SPRD","SETTLE_DT",Company_desc!$A$2))</f>
        <v/>
      </c>
      <c r="Y61" s="80">
        <f>IF($A61="","",N61-_xll.BDP($A61&amp;" Corp","YAS_OAS_SPRD","SETTLE_DT",Company_desc!$D$1))</f>
        <v/>
      </c>
      <c r="Z61" s="82">
        <f>IF($A61="","",K61-_xll.BDP($A61&amp;" Corp","YAS_BOND_YLD","YAS_YLD_FLAG=15","SETTLE_DT",Company_desc!$D$1))</f>
        <v/>
      </c>
      <c r="AA61" s="80">
        <f>IF($A61="","",_xll.BDP($A61&amp;" Corp","YAS_OAS_SPRD","SETTLE_DT",Company_desc!$D$1))</f>
        <v/>
      </c>
    </row>
    <row r="62">
      <c r="B62" s="75">
        <f>IF($A62="","",IFERROR(INDEX(Sheet1!$B:$B,MATCH($A62,Sheet1!$A:$A,0)),""))</f>
        <v/>
      </c>
      <c r="C62" s="75">
        <f>IF($A62="","",PROPER(_xll.BDP($A62&amp;" Corp","NAME")))</f>
        <v/>
      </c>
      <c r="D62" s="76">
        <f>IF($A62="","",_xll.BDP($A62&amp;" Corp","CPN"))</f>
        <v/>
      </c>
      <c r="E62" s="75">
        <f>IF($A62="","",_xll.BDP($A62&amp;" Corp","PAYMENT_RANK"))</f>
        <v/>
      </c>
      <c r="F62" s="100">
        <f>IF($A62="","",_xll.BDP($A62&amp;" Corp","MATURITY"))</f>
        <v/>
      </c>
      <c r="G62" s="75">
        <f>IF($A62="","",PROPER(_xll.BDP($A62&amp;" Corp","COUNTRY_FULL_NAME")))</f>
        <v/>
      </c>
      <c r="H62" s="75">
        <f>IF($A62="","",_xll.BDP($A62&amp;" Corp","INDUSTRY_SECTOR"))</f>
        <v/>
      </c>
      <c r="I62" s="101">
        <f>IF($A62="","",IFERROR(_xll.BDP($A62&amp;" Corp","MIN_PIECE")/1000,""))</f>
        <v/>
      </c>
      <c r="J62" s="31">
        <f>IF($A62="","",_xll.BDP($A62&amp;" Corp","PX_LAST"))</f>
        <v/>
      </c>
      <c r="K62" s="31">
        <f>IF($A62="","",_xll.BDP($A62&amp;" Corp","YAS_BOND_YLD","YAS_YLD_FLAG=15"))</f>
        <v/>
      </c>
      <c r="L62" s="31">
        <f>IF($A62="","",K62-_xll.BDP($A62&amp;" Corp","YAS_BOND_YLD","YAS_YLD_FLAG=15","SETTLE_DT",Company_desc!$A$1))</f>
        <v/>
      </c>
      <c r="M62" s="31">
        <f>IF($A62="","",K62-_xll.BDP($A62&amp;" Corp","YAS_BOND_YLD","YAS_YLD_FLAG=15","SETTLE_DT",Company_desc!$A$2))</f>
        <v/>
      </c>
      <c r="N62" s="79">
        <f>IF($A62="","",_xll.BDP($A62&amp;" Corp","YAS_OAS_SPRD"))</f>
        <v/>
      </c>
      <c r="O62" s="67">
        <f>IF($A62="","",_xll.BDP($A62&amp;" Corp","YAS_MOD_DUR"))</f>
        <v/>
      </c>
      <c r="P62" s="80">
        <f>IF($A62="","",IFERROR(INDEX(Sheet1!$P:$P,MATCH($A62,Sheet1!$A:$A,0)),""))</f>
        <v/>
      </c>
      <c r="Q62" s="75">
        <f>IF($A62="","",IFERROR(INDEX(Company_desc!$C:$C,MATCH($A62,Company_desc!$A:$A,0)),IFERROR(INDEX(Sheet1!$Q:$Q,MATCH($A62,Sheet1!$A:$A,0)),"")))</f>
        <v/>
      </c>
      <c r="R62" s="75">
        <f>IF($A62="","",_xll.BDP($A62&amp;" Corp","CRNCY"))</f>
        <v/>
      </c>
      <c r="S62" s="75">
        <f>IF($A62="","",IFERROR(INDEX(Sheet1!$S:$S,MATCH($A62,Sheet1!$A:$A,0)),""))</f>
        <v/>
      </c>
      <c r="T62" s="75">
        <f>IF($A62="","",IFERROR(INDEX(Sheet1!$T:$T,MATCH($A62,Sheet1!$A:$A,0)),_xll.BDP($A62&amp;" Corp","RTG_SP")))</f>
        <v/>
      </c>
      <c r="U62" s="75">
        <f>IF($A62="","",IFERROR(INDEX(Sheet1!$U:$U,MATCH($A62,Sheet1!$A:$A,0)),""))</f>
        <v/>
      </c>
      <c r="W62" s="81">
        <f>IF($A62="","",N62-_xll.BDP($A62&amp;" Corp","YAS_OAS_SPRD","SETTLE_DT",Company_desc!$A$1))</f>
        <v/>
      </c>
      <c r="X62" s="81">
        <f>IF($A62="","",N62-_xll.BDP($A62&amp;" Corp","YAS_OAS_SPRD","SETTLE_DT",Company_desc!$A$2))</f>
        <v/>
      </c>
      <c r="Y62" s="80">
        <f>IF($A62="","",N62-_xll.BDP($A62&amp;" Corp","YAS_OAS_SPRD","SETTLE_DT",Company_desc!$D$1))</f>
        <v/>
      </c>
      <c r="Z62" s="82">
        <f>IF($A62="","",K62-_xll.BDP($A62&amp;" Corp","YAS_BOND_YLD","YAS_YLD_FLAG=15","SETTLE_DT",Company_desc!$D$1))</f>
        <v/>
      </c>
      <c r="AA62" s="80">
        <f>IF($A62="","",_xll.BDP($A62&amp;" Corp","YAS_OAS_SPRD","SETTLE_DT",Company_desc!$D$1))</f>
        <v/>
      </c>
    </row>
    <row r="63">
      <c r="B63" s="75">
        <f>IF($A63="","",IFERROR(INDEX(Sheet1!$B:$B,MATCH($A63,Sheet1!$A:$A,0)),""))</f>
        <v/>
      </c>
      <c r="C63" s="75">
        <f>IF($A63="","",PROPER(_xll.BDP($A63&amp;" Corp","NAME")))</f>
        <v/>
      </c>
      <c r="D63" s="76">
        <f>IF($A63="","",_xll.BDP($A63&amp;" Corp","CPN"))</f>
        <v/>
      </c>
      <c r="E63" s="75">
        <f>IF($A63="","",_xll.BDP($A63&amp;" Corp","PAYMENT_RANK"))</f>
        <v/>
      </c>
      <c r="F63" s="100">
        <f>IF($A63="","",_xll.BDP($A63&amp;" Corp","MATURITY"))</f>
        <v/>
      </c>
      <c r="G63" s="75">
        <f>IF($A63="","",PROPER(_xll.BDP($A63&amp;" Corp","COUNTRY_FULL_NAME")))</f>
        <v/>
      </c>
      <c r="H63" s="75">
        <f>IF($A63="","",_xll.BDP($A63&amp;" Corp","INDUSTRY_SECTOR"))</f>
        <v/>
      </c>
      <c r="I63" s="101">
        <f>IF($A63="","",IFERROR(_xll.BDP($A63&amp;" Corp","MIN_PIECE")/1000,""))</f>
        <v/>
      </c>
      <c r="J63" s="31">
        <f>IF($A63="","",_xll.BDP($A63&amp;" Corp","PX_LAST"))</f>
        <v/>
      </c>
      <c r="K63" s="31">
        <f>IF($A63="","",_xll.BDP($A63&amp;" Corp","YAS_BOND_YLD","YAS_YLD_FLAG=15"))</f>
        <v/>
      </c>
      <c r="L63" s="31">
        <f>IF($A63="","",K63-_xll.BDP($A63&amp;" Corp","YAS_BOND_YLD","YAS_YLD_FLAG=15","SETTLE_DT",Company_desc!$A$1))</f>
        <v/>
      </c>
      <c r="M63" s="31">
        <f>IF($A63="","",K63-_xll.BDP($A63&amp;" Corp","YAS_BOND_YLD","YAS_YLD_FLAG=15","SETTLE_DT",Company_desc!$A$2))</f>
        <v/>
      </c>
      <c r="N63" s="79">
        <f>IF($A63="","",_xll.BDP($A63&amp;" Corp","YAS_OAS_SPRD"))</f>
        <v/>
      </c>
      <c r="O63" s="67">
        <f>IF($A63="","",_xll.BDP($A63&amp;" Corp","YAS_MOD_DUR"))</f>
        <v/>
      </c>
      <c r="P63" s="80">
        <f>IF($A63="","",IFERROR(INDEX(Sheet1!$P:$P,MATCH($A63,Sheet1!$A:$A,0)),""))</f>
        <v/>
      </c>
      <c r="Q63" s="75">
        <f>IF($A63="","",IFERROR(INDEX(Company_desc!$C:$C,MATCH($A63,Company_desc!$A:$A,0)),IFERROR(INDEX(Sheet1!$Q:$Q,MATCH($A63,Sheet1!$A:$A,0)),"")))</f>
        <v/>
      </c>
      <c r="R63" s="75">
        <f>IF($A63="","",_xll.BDP($A63&amp;" Corp","CRNCY"))</f>
        <v/>
      </c>
      <c r="S63" s="75">
        <f>IF($A63="","",IFERROR(INDEX(Sheet1!$S:$S,MATCH($A63,Sheet1!$A:$A,0)),""))</f>
        <v/>
      </c>
      <c r="T63" s="75">
        <f>IF($A63="","",IFERROR(INDEX(Sheet1!$T:$T,MATCH($A63,Sheet1!$A:$A,0)),_xll.BDP($A63&amp;" Corp","RTG_SP")))</f>
        <v/>
      </c>
      <c r="U63" s="75">
        <f>IF($A63="","",IFERROR(INDEX(Sheet1!$U:$U,MATCH($A63,Sheet1!$A:$A,0)),""))</f>
        <v/>
      </c>
      <c r="W63" s="81">
        <f>IF($A63="","",N63-_xll.BDP($A63&amp;" Corp","YAS_OAS_SPRD","SETTLE_DT",Company_desc!$A$1))</f>
        <v/>
      </c>
      <c r="X63" s="81">
        <f>IF($A63="","",N63-_xll.BDP($A63&amp;" Corp","YAS_OAS_SPRD","SETTLE_DT",Company_desc!$A$2))</f>
        <v/>
      </c>
      <c r="Y63" s="80">
        <f>IF($A63="","",N63-_xll.BDP($A63&amp;" Corp","YAS_OAS_SPRD","SETTLE_DT",Company_desc!$D$1))</f>
        <v/>
      </c>
      <c r="Z63" s="82">
        <f>IF($A63="","",K63-_xll.BDP($A63&amp;" Corp","YAS_BOND_YLD","YAS_YLD_FLAG=15","SETTLE_DT",Company_desc!$D$1))</f>
        <v/>
      </c>
      <c r="AA63" s="80">
        <f>IF($A63="","",_xll.BDP($A63&amp;" Corp","YAS_OAS_SPRD","SETTLE_DT",Company_desc!$D$1))</f>
        <v/>
      </c>
    </row>
    <row r="64">
      <c r="B64" s="75">
        <f>IF($A64="","",IFERROR(INDEX(Sheet1!$B:$B,MATCH($A64,Sheet1!$A:$A,0)),""))</f>
        <v/>
      </c>
      <c r="C64" s="75">
        <f>IF($A64="","",PROPER(_xll.BDP($A64&amp;" Corp","NAME")))</f>
        <v/>
      </c>
      <c r="D64" s="76">
        <f>IF($A64="","",_xll.BDP($A64&amp;" Corp","CPN"))</f>
        <v/>
      </c>
      <c r="E64" s="75">
        <f>IF($A64="","",_xll.BDP($A64&amp;" Corp","PAYMENT_RANK"))</f>
        <v/>
      </c>
      <c r="F64" s="100">
        <f>IF($A64="","",_xll.BDP($A64&amp;" Corp","MATURITY"))</f>
        <v/>
      </c>
      <c r="G64" s="75">
        <f>IF($A64="","",PROPER(_xll.BDP($A64&amp;" Corp","COUNTRY_FULL_NAME")))</f>
        <v/>
      </c>
      <c r="H64" s="75">
        <f>IF($A64="","",_xll.BDP($A64&amp;" Corp","INDUSTRY_SECTOR"))</f>
        <v/>
      </c>
      <c r="I64" s="101">
        <f>IF($A64="","",IFERROR(_xll.BDP($A64&amp;" Corp","MIN_PIECE")/1000,""))</f>
        <v/>
      </c>
      <c r="J64" s="31">
        <f>IF($A64="","",_xll.BDP($A64&amp;" Corp","PX_LAST"))</f>
        <v/>
      </c>
      <c r="K64" s="31">
        <f>IF($A64="","",_xll.BDP($A64&amp;" Corp","YAS_BOND_YLD","YAS_YLD_FLAG=15"))</f>
        <v/>
      </c>
      <c r="L64" s="31">
        <f>IF($A64="","",K64-_xll.BDP($A64&amp;" Corp","YAS_BOND_YLD","YAS_YLD_FLAG=15","SETTLE_DT",Company_desc!$A$1))</f>
        <v/>
      </c>
      <c r="M64" s="31">
        <f>IF($A64="","",K64-_xll.BDP($A64&amp;" Corp","YAS_BOND_YLD","YAS_YLD_FLAG=15","SETTLE_DT",Company_desc!$A$2))</f>
        <v/>
      </c>
      <c r="N64" s="79">
        <f>IF($A64="","",_xll.BDP($A64&amp;" Corp","YAS_OAS_SPRD"))</f>
        <v/>
      </c>
      <c r="O64" s="67">
        <f>IF($A64="","",_xll.BDP($A64&amp;" Corp","YAS_MOD_DUR"))</f>
        <v/>
      </c>
      <c r="P64" s="80">
        <f>IF($A64="","",IFERROR(INDEX(Sheet1!$P:$P,MATCH($A64,Sheet1!$A:$A,0)),""))</f>
        <v/>
      </c>
      <c r="Q64" s="75">
        <f>IF($A64="","",IFERROR(INDEX(Company_desc!$C:$C,MATCH($A64,Company_desc!$A:$A,0)),IFERROR(INDEX(Sheet1!$Q:$Q,MATCH($A64,Sheet1!$A:$A,0)),"")))</f>
        <v/>
      </c>
      <c r="R64" s="75">
        <f>IF($A64="","",_xll.BDP($A64&amp;" Corp","CRNCY"))</f>
        <v/>
      </c>
      <c r="S64" s="75">
        <f>IF($A64="","",IFERROR(INDEX(Sheet1!$S:$S,MATCH($A64,Sheet1!$A:$A,0)),""))</f>
        <v/>
      </c>
      <c r="T64" s="75">
        <f>IF($A64="","",IFERROR(INDEX(Sheet1!$T:$T,MATCH($A64,Sheet1!$A:$A,0)),_xll.BDP($A64&amp;" Corp","RTG_SP")))</f>
        <v/>
      </c>
      <c r="U64" s="75">
        <f>IF($A64="","",IFERROR(INDEX(Sheet1!$U:$U,MATCH($A64,Sheet1!$A:$A,0)),""))</f>
        <v/>
      </c>
      <c r="W64" s="81">
        <f>IF($A64="","",N64-_xll.BDP($A64&amp;" Corp","YAS_OAS_SPRD","SETTLE_DT",Company_desc!$A$1))</f>
        <v/>
      </c>
      <c r="X64" s="81">
        <f>IF($A64="","",N64-_xll.BDP($A64&amp;" Corp","YAS_OAS_SPRD","SETTLE_DT",Company_desc!$A$2))</f>
        <v/>
      </c>
      <c r="Y64" s="80">
        <f>IF($A64="","",N64-_xll.BDP($A64&amp;" Corp","YAS_OAS_SPRD","SETTLE_DT",Company_desc!$D$1))</f>
        <v/>
      </c>
      <c r="Z64" s="82">
        <f>IF($A64="","",K64-_xll.BDP($A64&amp;" Corp","YAS_BOND_YLD","YAS_YLD_FLAG=15","SETTLE_DT",Company_desc!$D$1))</f>
        <v/>
      </c>
      <c r="AA64" s="80">
        <f>IF($A64="","",_xll.BDP($A64&amp;" Corp","YAS_OAS_SPRD","SETTLE_DT",Company_desc!$D$1))</f>
        <v/>
      </c>
    </row>
    <row r="65">
      <c r="B65" s="75">
        <f>IF($A65="","",IFERROR(INDEX(Sheet1!$B:$B,MATCH($A65,Sheet1!$A:$A,0)),""))</f>
        <v/>
      </c>
      <c r="C65" s="75">
        <f>IF($A65="","",PROPER(_xll.BDP($A65&amp;" Corp","NAME")))</f>
        <v/>
      </c>
      <c r="D65" s="76">
        <f>IF($A65="","",_xll.BDP($A65&amp;" Corp","CPN"))</f>
        <v/>
      </c>
      <c r="E65" s="75">
        <f>IF($A65="","",_xll.BDP($A65&amp;" Corp","PAYMENT_RANK"))</f>
        <v/>
      </c>
      <c r="F65" s="100">
        <f>IF($A65="","",_xll.BDP($A65&amp;" Corp","MATURITY"))</f>
        <v/>
      </c>
      <c r="G65" s="75">
        <f>IF($A65="","",PROPER(_xll.BDP($A65&amp;" Corp","COUNTRY_FULL_NAME")))</f>
        <v/>
      </c>
      <c r="H65" s="75">
        <f>IF($A65="","",_xll.BDP($A65&amp;" Corp","INDUSTRY_SECTOR"))</f>
        <v/>
      </c>
      <c r="I65" s="101">
        <f>IF($A65="","",IFERROR(_xll.BDP($A65&amp;" Corp","MIN_PIECE")/1000,""))</f>
        <v/>
      </c>
      <c r="J65" s="31">
        <f>IF($A65="","",_xll.BDP($A65&amp;" Corp","PX_LAST"))</f>
        <v/>
      </c>
      <c r="K65" s="31">
        <f>IF($A65="","",_xll.BDP($A65&amp;" Corp","YAS_BOND_YLD","YAS_YLD_FLAG=15"))</f>
        <v/>
      </c>
      <c r="L65" s="31">
        <f>IF($A65="","",K65-_xll.BDP($A65&amp;" Corp","YAS_BOND_YLD","YAS_YLD_FLAG=15","SETTLE_DT",Company_desc!$A$1))</f>
        <v/>
      </c>
      <c r="M65" s="31">
        <f>IF($A65="","",K65-_xll.BDP($A65&amp;" Corp","YAS_BOND_YLD","YAS_YLD_FLAG=15","SETTLE_DT",Company_desc!$A$2))</f>
        <v/>
      </c>
      <c r="N65" s="79">
        <f>IF($A65="","",_xll.BDP($A65&amp;" Corp","YAS_OAS_SPRD"))</f>
        <v/>
      </c>
      <c r="O65" s="67">
        <f>IF($A65="","",_xll.BDP($A65&amp;" Corp","YAS_MOD_DUR"))</f>
        <v/>
      </c>
      <c r="P65" s="80">
        <f>IF($A65="","",IFERROR(INDEX(Sheet1!$P:$P,MATCH($A65,Sheet1!$A:$A,0)),""))</f>
        <v/>
      </c>
      <c r="Q65" s="75">
        <f>IF($A65="","",IFERROR(INDEX(Company_desc!$C:$C,MATCH($A65,Company_desc!$A:$A,0)),IFERROR(INDEX(Sheet1!$Q:$Q,MATCH($A65,Sheet1!$A:$A,0)),"")))</f>
        <v/>
      </c>
      <c r="R65" s="75">
        <f>IF($A65="","",_xll.BDP($A65&amp;" Corp","CRNCY"))</f>
        <v/>
      </c>
      <c r="S65" s="75">
        <f>IF($A65="","",IFERROR(INDEX(Sheet1!$S:$S,MATCH($A65,Sheet1!$A:$A,0)),""))</f>
        <v/>
      </c>
      <c r="T65" s="75">
        <f>IF($A65="","",IFERROR(INDEX(Sheet1!$T:$T,MATCH($A65,Sheet1!$A:$A,0)),_xll.BDP($A65&amp;" Corp","RTG_SP")))</f>
        <v/>
      </c>
      <c r="U65" s="75">
        <f>IF($A65="","",IFERROR(INDEX(Sheet1!$U:$U,MATCH($A65,Sheet1!$A:$A,0)),""))</f>
        <v/>
      </c>
      <c r="W65" s="81">
        <f>IF($A65="","",N65-_xll.BDP($A65&amp;" Corp","YAS_OAS_SPRD","SETTLE_DT",Company_desc!$A$1))</f>
        <v/>
      </c>
      <c r="X65" s="81">
        <f>IF($A65="","",N65-_xll.BDP($A65&amp;" Corp","YAS_OAS_SPRD","SETTLE_DT",Company_desc!$A$2))</f>
        <v/>
      </c>
      <c r="Y65" s="80">
        <f>IF($A65="","",N65-_xll.BDP($A65&amp;" Corp","YAS_OAS_SPRD","SETTLE_DT",Company_desc!$D$1))</f>
        <v/>
      </c>
      <c r="Z65" s="82">
        <f>IF($A65="","",K65-_xll.BDP($A65&amp;" Corp","YAS_BOND_YLD","YAS_YLD_FLAG=15","SETTLE_DT",Company_desc!$D$1))</f>
        <v/>
      </c>
      <c r="AA65" s="80">
        <f>IF($A65="","",_xll.BDP($A65&amp;" Corp","YAS_OAS_SPRD","SETTLE_DT",Company_desc!$D$1))</f>
        <v/>
      </c>
    </row>
    <row r="66">
      <c r="B66" s="75">
        <f>IF($A66="","",IFERROR(INDEX(Sheet1!$B:$B,MATCH($A66,Sheet1!$A:$A,0)),""))</f>
        <v/>
      </c>
      <c r="C66" s="75">
        <f>IF($A66="","",PROPER(_xll.BDP($A66&amp;" Corp","NAME")))</f>
        <v/>
      </c>
      <c r="D66" s="76">
        <f>IF($A66="","",_xll.BDP($A66&amp;" Corp","CPN"))</f>
        <v/>
      </c>
      <c r="E66" s="75">
        <f>IF($A66="","",_xll.BDP($A66&amp;" Corp","PAYMENT_RANK"))</f>
        <v/>
      </c>
      <c r="F66" s="100">
        <f>IF($A66="","",_xll.BDP($A66&amp;" Corp","MATURITY"))</f>
        <v/>
      </c>
      <c r="G66" s="75">
        <f>IF($A66="","",PROPER(_xll.BDP($A66&amp;" Corp","COUNTRY_FULL_NAME")))</f>
        <v/>
      </c>
      <c r="H66" s="75">
        <f>IF($A66="","",_xll.BDP($A66&amp;" Corp","INDUSTRY_SECTOR"))</f>
        <v/>
      </c>
      <c r="I66" s="101">
        <f>IF($A66="","",IFERROR(_xll.BDP($A66&amp;" Corp","MIN_PIECE")/1000,""))</f>
        <v/>
      </c>
      <c r="J66" s="31">
        <f>IF($A66="","",_xll.BDP($A66&amp;" Corp","PX_LAST"))</f>
        <v/>
      </c>
      <c r="K66" s="31">
        <f>IF($A66="","",_xll.BDP($A66&amp;" Corp","YAS_BOND_YLD","YAS_YLD_FLAG=15"))</f>
        <v/>
      </c>
      <c r="L66" s="31">
        <f>IF($A66="","",K66-_xll.BDP($A66&amp;" Corp","YAS_BOND_YLD","YAS_YLD_FLAG=15","SETTLE_DT",Company_desc!$A$1))</f>
        <v/>
      </c>
      <c r="M66" s="31">
        <f>IF($A66="","",K66-_xll.BDP($A66&amp;" Corp","YAS_BOND_YLD","YAS_YLD_FLAG=15","SETTLE_DT",Company_desc!$A$2))</f>
        <v/>
      </c>
      <c r="N66" s="79">
        <f>IF($A66="","",_xll.BDP($A66&amp;" Corp","YAS_OAS_SPRD"))</f>
        <v/>
      </c>
      <c r="O66" s="67">
        <f>IF($A66="","",_xll.BDP($A66&amp;" Corp","YAS_MOD_DUR"))</f>
        <v/>
      </c>
      <c r="P66" s="80">
        <f>IF($A66="","",IFERROR(INDEX(Sheet1!$P:$P,MATCH($A66,Sheet1!$A:$A,0)),""))</f>
        <v/>
      </c>
      <c r="Q66" s="75">
        <f>IF($A66="","",IFERROR(INDEX(Company_desc!$C:$C,MATCH($A66,Company_desc!$A:$A,0)),IFERROR(INDEX(Sheet1!$Q:$Q,MATCH($A66,Sheet1!$A:$A,0)),"")))</f>
        <v/>
      </c>
      <c r="R66" s="75">
        <f>IF($A66="","",_xll.BDP($A66&amp;" Corp","CRNCY"))</f>
        <v/>
      </c>
      <c r="S66" s="75">
        <f>IF($A66="","",IFERROR(INDEX(Sheet1!$S:$S,MATCH($A66,Sheet1!$A:$A,0)),""))</f>
        <v/>
      </c>
      <c r="T66" s="75">
        <f>IF($A66="","",IFERROR(INDEX(Sheet1!$T:$T,MATCH($A66,Sheet1!$A:$A,0)),_xll.BDP($A66&amp;" Corp","RTG_SP")))</f>
        <v/>
      </c>
      <c r="U66" s="75">
        <f>IF($A66="","",IFERROR(INDEX(Sheet1!$U:$U,MATCH($A66,Sheet1!$A:$A,0)),""))</f>
        <v/>
      </c>
      <c r="W66" s="81">
        <f>IF($A66="","",N66-_xll.BDP($A66&amp;" Corp","YAS_OAS_SPRD","SETTLE_DT",Company_desc!$A$1))</f>
        <v/>
      </c>
      <c r="X66" s="81">
        <f>IF($A66="","",N66-_xll.BDP($A66&amp;" Corp","YAS_OAS_SPRD","SETTLE_DT",Company_desc!$A$2))</f>
        <v/>
      </c>
      <c r="Y66" s="80">
        <f>IF($A66="","",N66-_xll.BDP($A66&amp;" Corp","YAS_OAS_SPRD","SETTLE_DT",Company_desc!$D$1))</f>
        <v/>
      </c>
      <c r="Z66" s="82">
        <f>IF($A66="","",K66-_xll.BDP($A66&amp;" Corp","YAS_BOND_YLD","YAS_YLD_FLAG=15","SETTLE_DT",Company_desc!$D$1))</f>
        <v/>
      </c>
      <c r="AA66" s="80">
        <f>IF($A66="","",_xll.BDP($A66&amp;" Corp","YAS_OAS_SPRD","SETTLE_DT",Company_desc!$D$1))</f>
        <v/>
      </c>
    </row>
    <row r="67">
      <c r="B67" s="75">
        <f>IF($A67="","",IFERROR(INDEX(Sheet1!$B:$B,MATCH($A67,Sheet1!$A:$A,0)),""))</f>
        <v/>
      </c>
      <c r="C67" s="75">
        <f>IF($A67="","",PROPER(_xll.BDP($A67&amp;" Corp","NAME")))</f>
        <v/>
      </c>
      <c r="D67" s="76">
        <f>IF($A67="","",_xll.BDP($A67&amp;" Corp","CPN"))</f>
        <v/>
      </c>
      <c r="E67" s="75">
        <f>IF($A67="","",_xll.BDP($A67&amp;" Corp","PAYMENT_RANK"))</f>
        <v/>
      </c>
      <c r="F67" s="100">
        <f>IF($A67="","",_xll.BDP($A67&amp;" Corp","MATURITY"))</f>
        <v/>
      </c>
      <c r="G67" s="75">
        <f>IF($A67="","",PROPER(_xll.BDP($A67&amp;" Corp","COUNTRY_FULL_NAME")))</f>
        <v/>
      </c>
      <c r="H67" s="75">
        <f>IF($A67="","",_xll.BDP($A67&amp;" Corp","INDUSTRY_SECTOR"))</f>
        <v/>
      </c>
      <c r="I67" s="101">
        <f>IF($A67="","",IFERROR(_xll.BDP($A67&amp;" Corp","MIN_PIECE")/1000,""))</f>
        <v/>
      </c>
      <c r="J67" s="31">
        <f>IF($A67="","",_xll.BDP($A67&amp;" Corp","PX_LAST"))</f>
        <v/>
      </c>
      <c r="K67" s="31">
        <f>IF($A67="","",_xll.BDP($A67&amp;" Corp","YAS_BOND_YLD","YAS_YLD_FLAG=15"))</f>
        <v/>
      </c>
      <c r="L67" s="31">
        <f>IF($A67="","",K67-_xll.BDP($A67&amp;" Corp","YAS_BOND_YLD","YAS_YLD_FLAG=15","SETTLE_DT",Company_desc!$A$1))</f>
        <v/>
      </c>
      <c r="M67" s="31">
        <f>IF($A67="","",K67-_xll.BDP($A67&amp;" Corp","YAS_BOND_YLD","YAS_YLD_FLAG=15","SETTLE_DT",Company_desc!$A$2))</f>
        <v/>
      </c>
      <c r="N67" s="79">
        <f>IF($A67="","",_xll.BDP($A67&amp;" Corp","YAS_OAS_SPRD"))</f>
        <v/>
      </c>
      <c r="O67" s="67">
        <f>IF($A67="","",_xll.BDP($A67&amp;" Corp","YAS_MOD_DUR"))</f>
        <v/>
      </c>
      <c r="P67" s="80">
        <f>IF($A67="","",IFERROR(INDEX(Sheet1!$P:$P,MATCH($A67,Sheet1!$A:$A,0)),""))</f>
        <v/>
      </c>
      <c r="Q67" s="75">
        <f>IF($A67="","",IFERROR(INDEX(Company_desc!$C:$C,MATCH($A67,Company_desc!$A:$A,0)),IFERROR(INDEX(Sheet1!$Q:$Q,MATCH($A67,Sheet1!$A:$A,0)),"")))</f>
        <v/>
      </c>
      <c r="R67" s="75">
        <f>IF($A67="","",_xll.BDP($A67&amp;" Corp","CRNCY"))</f>
        <v/>
      </c>
      <c r="S67" s="75">
        <f>IF($A67="","",IFERROR(INDEX(Sheet1!$S:$S,MATCH($A67,Sheet1!$A:$A,0)),""))</f>
        <v/>
      </c>
      <c r="T67" s="75">
        <f>IF($A67="","",IFERROR(INDEX(Sheet1!$T:$T,MATCH($A67,Sheet1!$A:$A,0)),_xll.BDP($A67&amp;" Corp","RTG_SP")))</f>
        <v/>
      </c>
      <c r="U67" s="75">
        <f>IF($A67="","",IFERROR(INDEX(Sheet1!$U:$U,MATCH($A67,Sheet1!$A:$A,0)),""))</f>
        <v/>
      </c>
      <c r="W67" s="81">
        <f>IF($A67="","",N67-_xll.BDP($A67&amp;" Corp","YAS_OAS_SPRD","SETTLE_DT",Company_desc!$A$1))</f>
        <v/>
      </c>
      <c r="X67" s="81">
        <f>IF($A67="","",N67-_xll.BDP($A67&amp;" Corp","YAS_OAS_SPRD","SETTLE_DT",Company_desc!$A$2))</f>
        <v/>
      </c>
      <c r="Y67" s="80">
        <f>IF($A67="","",N67-_xll.BDP($A67&amp;" Corp","YAS_OAS_SPRD","SETTLE_DT",Company_desc!$D$1))</f>
        <v/>
      </c>
      <c r="Z67" s="82">
        <f>IF($A67="","",K67-_xll.BDP($A67&amp;" Corp","YAS_BOND_YLD","YAS_YLD_FLAG=15","SETTLE_DT",Company_desc!$D$1))</f>
        <v/>
      </c>
      <c r="AA67" s="80">
        <f>IF($A67="","",_xll.BDP($A67&amp;" Corp","YAS_OAS_SPRD","SETTLE_DT",Company_desc!$D$1))</f>
        <v/>
      </c>
    </row>
    <row r="68">
      <c r="B68" s="75">
        <f>IF($A68="","",IFERROR(INDEX(Sheet1!$B:$B,MATCH($A68,Sheet1!$A:$A,0)),""))</f>
        <v/>
      </c>
      <c r="C68" s="75">
        <f>IF($A68="","",PROPER(_xll.BDP($A68&amp;" Corp","NAME")))</f>
        <v/>
      </c>
      <c r="D68" s="76">
        <f>IF($A68="","",_xll.BDP($A68&amp;" Corp","CPN"))</f>
        <v/>
      </c>
      <c r="E68" s="75">
        <f>IF($A68="","",_xll.BDP($A68&amp;" Corp","PAYMENT_RANK"))</f>
        <v/>
      </c>
      <c r="F68" s="100">
        <f>IF($A68="","",_xll.BDP($A68&amp;" Corp","MATURITY"))</f>
        <v/>
      </c>
      <c r="G68" s="75">
        <f>IF($A68="","",PROPER(_xll.BDP($A68&amp;" Corp","COUNTRY_FULL_NAME")))</f>
        <v/>
      </c>
      <c r="H68" s="75">
        <f>IF($A68="","",_xll.BDP($A68&amp;" Corp","INDUSTRY_SECTOR"))</f>
        <v/>
      </c>
      <c r="I68" s="101">
        <f>IF($A68="","",IFERROR(_xll.BDP($A68&amp;" Corp","MIN_PIECE")/1000,""))</f>
        <v/>
      </c>
      <c r="J68" s="31">
        <f>IF($A68="","",_xll.BDP($A68&amp;" Corp","PX_LAST"))</f>
        <v/>
      </c>
      <c r="K68" s="31">
        <f>IF($A68="","",_xll.BDP($A68&amp;" Corp","YAS_BOND_YLD","YAS_YLD_FLAG=15"))</f>
        <v/>
      </c>
      <c r="L68" s="31">
        <f>IF($A68="","",K68-_xll.BDP($A68&amp;" Corp","YAS_BOND_YLD","YAS_YLD_FLAG=15","SETTLE_DT",Company_desc!$A$1))</f>
        <v/>
      </c>
      <c r="M68" s="31">
        <f>IF($A68="","",K68-_xll.BDP($A68&amp;" Corp","YAS_BOND_YLD","YAS_YLD_FLAG=15","SETTLE_DT",Company_desc!$A$2))</f>
        <v/>
      </c>
      <c r="N68" s="79">
        <f>IF($A68="","",_xll.BDP($A68&amp;" Corp","YAS_OAS_SPRD"))</f>
        <v/>
      </c>
      <c r="O68" s="67">
        <f>IF($A68="","",_xll.BDP($A68&amp;" Corp","YAS_MOD_DUR"))</f>
        <v/>
      </c>
      <c r="P68" s="80">
        <f>IF($A68="","",IFERROR(INDEX(Sheet1!$P:$P,MATCH($A68,Sheet1!$A:$A,0)),""))</f>
        <v/>
      </c>
      <c r="Q68" s="75">
        <f>IF($A68="","",IFERROR(INDEX(Company_desc!$C:$C,MATCH($A68,Company_desc!$A:$A,0)),IFERROR(INDEX(Sheet1!$Q:$Q,MATCH($A68,Sheet1!$A:$A,0)),"")))</f>
        <v/>
      </c>
      <c r="R68" s="75">
        <f>IF($A68="","",_xll.BDP($A68&amp;" Corp","CRNCY"))</f>
        <v/>
      </c>
      <c r="S68" s="75">
        <f>IF($A68="","",IFERROR(INDEX(Sheet1!$S:$S,MATCH($A68,Sheet1!$A:$A,0)),""))</f>
        <v/>
      </c>
      <c r="T68" s="75">
        <f>IF($A68="","",IFERROR(INDEX(Sheet1!$T:$T,MATCH($A68,Sheet1!$A:$A,0)),_xll.BDP($A68&amp;" Corp","RTG_SP")))</f>
        <v/>
      </c>
      <c r="U68" s="75">
        <f>IF($A68="","",IFERROR(INDEX(Sheet1!$U:$U,MATCH($A68,Sheet1!$A:$A,0)),""))</f>
        <v/>
      </c>
      <c r="W68" s="81">
        <f>IF($A68="","",N68-_xll.BDP($A68&amp;" Corp","YAS_OAS_SPRD","SETTLE_DT",Company_desc!$A$1))</f>
        <v/>
      </c>
      <c r="X68" s="81">
        <f>IF($A68="","",N68-_xll.BDP($A68&amp;" Corp","YAS_OAS_SPRD","SETTLE_DT",Company_desc!$A$2))</f>
        <v/>
      </c>
      <c r="Y68" s="80">
        <f>IF($A68="","",N68-_xll.BDP($A68&amp;" Corp","YAS_OAS_SPRD","SETTLE_DT",Company_desc!$D$1))</f>
        <v/>
      </c>
      <c r="Z68" s="82">
        <f>IF($A68="","",K68-_xll.BDP($A68&amp;" Corp","YAS_BOND_YLD","YAS_YLD_FLAG=15","SETTLE_DT",Company_desc!$D$1))</f>
        <v/>
      </c>
      <c r="AA68" s="80">
        <f>IF($A68="","",_xll.BDP($A68&amp;" Corp","YAS_OAS_SPRD","SETTLE_DT",Company_desc!$D$1))</f>
        <v/>
      </c>
    </row>
    <row r="69">
      <c r="B69" s="75">
        <f>IF($A69="","",IFERROR(INDEX(Sheet1!$B:$B,MATCH($A69,Sheet1!$A:$A,0)),""))</f>
        <v/>
      </c>
      <c r="C69" s="75">
        <f>IF($A69="","",PROPER(_xll.BDP($A69&amp;" Corp","NAME")))</f>
        <v/>
      </c>
      <c r="D69" s="76">
        <f>IF($A69="","",_xll.BDP($A69&amp;" Corp","CPN"))</f>
        <v/>
      </c>
      <c r="E69" s="75">
        <f>IF($A69="","",_xll.BDP($A69&amp;" Corp","PAYMENT_RANK"))</f>
        <v/>
      </c>
      <c r="F69" s="100">
        <f>IF($A69="","",_xll.BDP($A69&amp;" Corp","MATURITY"))</f>
        <v/>
      </c>
      <c r="G69" s="75">
        <f>IF($A69="","",PROPER(_xll.BDP($A69&amp;" Corp","COUNTRY_FULL_NAME")))</f>
        <v/>
      </c>
      <c r="H69" s="75">
        <f>IF($A69="","",_xll.BDP($A69&amp;" Corp","INDUSTRY_SECTOR"))</f>
        <v/>
      </c>
      <c r="I69" s="101">
        <f>IF($A69="","",IFERROR(_xll.BDP($A69&amp;" Corp","MIN_PIECE")/1000,""))</f>
        <v/>
      </c>
      <c r="J69" s="31">
        <f>IF($A69="","",_xll.BDP($A69&amp;" Corp","PX_LAST"))</f>
        <v/>
      </c>
      <c r="K69" s="31">
        <f>IF($A69="","",_xll.BDP($A69&amp;" Corp","YAS_BOND_YLD","YAS_YLD_FLAG=15"))</f>
        <v/>
      </c>
      <c r="L69" s="31">
        <f>IF($A69="","",K69-_xll.BDP($A69&amp;" Corp","YAS_BOND_YLD","YAS_YLD_FLAG=15","SETTLE_DT",Company_desc!$A$1))</f>
        <v/>
      </c>
      <c r="M69" s="31">
        <f>IF($A69="","",K69-_xll.BDP($A69&amp;" Corp","YAS_BOND_YLD","YAS_YLD_FLAG=15","SETTLE_DT",Company_desc!$A$2))</f>
        <v/>
      </c>
      <c r="N69" s="79">
        <f>IF($A69="","",_xll.BDP($A69&amp;" Corp","YAS_OAS_SPRD"))</f>
        <v/>
      </c>
      <c r="O69" s="82">
        <f>IF($A69="","",_xll.BDP($A69&amp;" Corp","YAS_MOD_DUR"))</f>
        <v/>
      </c>
      <c r="P69" s="80">
        <f>IF($A69="","",IFERROR(INDEX(Sheet1!$P:$P,MATCH($A69,Sheet1!$A:$A,0)),""))</f>
        <v/>
      </c>
      <c r="Q69" s="75">
        <f>IF($A69="","",IFERROR(INDEX(Company_desc!$C:$C,MATCH($A69,Company_desc!$A:$A,0)),IFERROR(INDEX(Sheet1!$Q:$Q,MATCH($A69,Sheet1!$A:$A,0)),"")))</f>
        <v/>
      </c>
      <c r="R69" s="75">
        <f>IF($A69="","",_xll.BDP($A69&amp;" Corp","CRNCY"))</f>
        <v/>
      </c>
      <c r="S69" s="75">
        <f>IF($A69="","",IFERROR(INDEX(Sheet1!$S:$S,MATCH($A69,Sheet1!$A:$A,0)),""))</f>
        <v/>
      </c>
      <c r="T69" s="75">
        <f>IF($A69="","",IFERROR(INDEX(Sheet1!$T:$T,MATCH($A69,Sheet1!$A:$A,0)),_xll.BDP($A69&amp;" Corp","RTG_SP")))</f>
        <v/>
      </c>
      <c r="U69" s="75">
        <f>IF($A69="","",IFERROR(INDEX(Sheet1!$U:$U,MATCH($A69,Sheet1!$A:$A,0)),""))</f>
        <v/>
      </c>
      <c r="W69" s="81">
        <f>IF($A69="","",N69-_xll.BDP($A69&amp;" Corp","YAS_OAS_SPRD","SETTLE_DT",Company_desc!$A$1))</f>
        <v/>
      </c>
      <c r="X69" s="81">
        <f>IF($A69="","",N69-_xll.BDP($A69&amp;" Corp","YAS_OAS_SPRD","SETTLE_DT",Company_desc!$A$2))</f>
        <v/>
      </c>
      <c r="Y69" s="80">
        <f>IF($A69="","",N69-_xll.BDP($A69&amp;" Corp","YAS_OAS_SPRD","SETTLE_DT",Company_desc!$D$1))</f>
        <v/>
      </c>
      <c r="Z69" s="82">
        <f>IF($A69="","",K69-_xll.BDP($A69&amp;" Corp","YAS_BOND_YLD","YAS_YLD_FLAG=15","SETTLE_DT",Company_desc!$D$1))</f>
        <v/>
      </c>
      <c r="AA69" s="80">
        <f>IF($A69="","",_xll.BDP($A69&amp;" Corp","YAS_OAS_SPRD","SETTLE_DT",Company_desc!$D$1))</f>
        <v/>
      </c>
    </row>
    <row r="70">
      <c r="B70" s="75">
        <f>IF($A70="","",IFERROR(INDEX(Sheet1!$B:$B,MATCH($A70,Sheet1!$A:$A,0)),""))</f>
        <v/>
      </c>
      <c r="C70" s="75">
        <f>IF($A70="","",PROPER(_xll.BDP($A70&amp;" Corp","NAME")))</f>
        <v/>
      </c>
      <c r="D70" s="76">
        <f>IF($A70="","",_xll.BDP($A70&amp;" Corp","CPN"))</f>
        <v/>
      </c>
      <c r="E70" s="75">
        <f>IF($A70="","",_xll.BDP($A70&amp;" Corp","PAYMENT_RANK"))</f>
        <v/>
      </c>
      <c r="F70" s="100">
        <f>IF($A70="","",_xll.BDP($A70&amp;" Corp","MATURITY"))</f>
        <v/>
      </c>
      <c r="G70" s="75">
        <f>IF($A70="","",PROPER(_xll.BDP($A70&amp;" Corp","COUNTRY_FULL_NAME")))</f>
        <v/>
      </c>
      <c r="H70" s="75">
        <f>IF($A70="","",_xll.BDP($A70&amp;" Corp","INDUSTRY_SECTOR"))</f>
        <v/>
      </c>
      <c r="I70" s="101">
        <f>IF($A70="","",IFERROR(_xll.BDP($A70&amp;" Corp","MIN_PIECE")/1000,""))</f>
        <v/>
      </c>
      <c r="J70" s="31">
        <f>IF($A70="","",_xll.BDP($A70&amp;" Corp","PX_LAST"))</f>
        <v/>
      </c>
      <c r="K70" s="31">
        <f>IF($A70="","",_xll.BDP($A70&amp;" Corp","YAS_BOND_YLD","YAS_YLD_FLAG=15"))</f>
        <v/>
      </c>
      <c r="L70" s="31">
        <f>IF($A70="","",K70-_xll.BDP($A70&amp;" Corp","YAS_BOND_YLD","YAS_YLD_FLAG=15","SETTLE_DT",Company_desc!$A$1))</f>
        <v/>
      </c>
      <c r="M70" s="31">
        <f>IF($A70="","",K70-_xll.BDP($A70&amp;" Corp","YAS_BOND_YLD","YAS_YLD_FLAG=15","SETTLE_DT",Company_desc!$A$2))</f>
        <v/>
      </c>
      <c r="N70" s="79">
        <f>IF($A70="","",_xll.BDP($A70&amp;" Corp","YAS_OAS_SPRD"))</f>
        <v/>
      </c>
      <c r="O70" s="67">
        <f>IF($A70="","",_xll.BDP($A70&amp;" Corp","YAS_MOD_DUR"))</f>
        <v/>
      </c>
      <c r="P70" s="80">
        <f>IF($A70="","",IFERROR(INDEX(Sheet1!$P:$P,MATCH($A70,Sheet1!$A:$A,0)),""))</f>
        <v/>
      </c>
      <c r="Q70" s="75">
        <f>IF($A70="","",IFERROR(INDEX(Company_desc!$C:$C,MATCH($A70,Company_desc!$A:$A,0)),IFERROR(INDEX(Sheet1!$Q:$Q,MATCH($A70,Sheet1!$A:$A,0)),"")))</f>
        <v/>
      </c>
      <c r="R70" s="75">
        <f>IF($A70="","",_xll.BDP($A70&amp;" Corp","CRNCY"))</f>
        <v/>
      </c>
      <c r="S70" s="75">
        <f>IF($A70="","",IFERROR(INDEX(Sheet1!$S:$S,MATCH($A70,Sheet1!$A:$A,0)),""))</f>
        <v/>
      </c>
      <c r="T70" s="75">
        <f>IF($A70="","",IFERROR(INDEX(Sheet1!$T:$T,MATCH($A70,Sheet1!$A:$A,0)),_xll.BDP($A70&amp;" Corp","RTG_SP")))</f>
        <v/>
      </c>
      <c r="U70" s="75">
        <f>IF($A70="","",IFERROR(INDEX(Sheet1!$U:$U,MATCH($A70,Sheet1!$A:$A,0)),""))</f>
        <v/>
      </c>
      <c r="W70" s="81">
        <f>IF($A70="","",N70-_xll.BDP($A70&amp;" Corp","YAS_OAS_SPRD","SETTLE_DT",Company_desc!$A$1))</f>
        <v/>
      </c>
      <c r="X70" s="81">
        <f>IF($A70="","",N70-_xll.BDP($A70&amp;" Corp","YAS_OAS_SPRD","SETTLE_DT",Company_desc!$A$2))</f>
        <v/>
      </c>
      <c r="Y70" s="80">
        <f>IF($A70="","",N70-_xll.BDP($A70&amp;" Corp","YAS_OAS_SPRD","SETTLE_DT",Company_desc!$D$1))</f>
        <v/>
      </c>
      <c r="Z70" s="82">
        <f>IF($A70="","",K70-_xll.BDP($A70&amp;" Corp","YAS_BOND_YLD","YAS_YLD_FLAG=15","SETTLE_DT",Company_desc!$D$1))</f>
        <v/>
      </c>
      <c r="AA70" s="80">
        <f>IF($A70="","",_xll.BDP($A70&amp;" Corp","YAS_OAS_SPRD","SETTLE_DT",Company_desc!$D$1))</f>
        <v/>
      </c>
    </row>
    <row r="71">
      <c r="B71" s="75">
        <f>IF($A71="","",IFERROR(INDEX(Sheet1!$B:$B,MATCH($A71,Sheet1!$A:$A,0)),""))</f>
        <v/>
      </c>
      <c r="C71" s="75">
        <f>IF($A71="","",PROPER(_xll.BDP($A71&amp;" Corp","NAME")))</f>
        <v/>
      </c>
      <c r="D71" s="76">
        <f>IF($A71="","",_xll.BDP($A71&amp;" Corp","CPN"))</f>
        <v/>
      </c>
      <c r="E71" s="75">
        <f>IF($A71="","",_xll.BDP($A71&amp;" Corp","PAYMENT_RANK"))</f>
        <v/>
      </c>
      <c r="F71" s="100">
        <f>IF($A71="","",_xll.BDP($A71&amp;" Corp","MATURITY"))</f>
        <v/>
      </c>
      <c r="G71" s="75">
        <f>IF($A71="","",PROPER(_xll.BDP($A71&amp;" Corp","COUNTRY_FULL_NAME")))</f>
        <v/>
      </c>
      <c r="H71" s="75">
        <f>IF($A71="","",_xll.BDP($A71&amp;" Corp","INDUSTRY_SECTOR"))</f>
        <v/>
      </c>
      <c r="I71" s="101">
        <f>IF($A71="","",IFERROR(_xll.BDP($A71&amp;" Corp","MIN_PIECE")/1000,""))</f>
        <v/>
      </c>
      <c r="J71" s="31">
        <f>IF($A71="","",_xll.BDP($A71&amp;" Corp","PX_LAST"))</f>
        <v/>
      </c>
      <c r="K71" s="31">
        <f>IF($A71="","",_xll.BDP($A71&amp;" Corp","YAS_BOND_YLD","YAS_YLD_FLAG=15"))</f>
        <v/>
      </c>
      <c r="L71" s="31">
        <f>IF($A71="","",K71-_xll.BDP($A71&amp;" Corp","YAS_BOND_YLD","YAS_YLD_FLAG=15","SETTLE_DT",Company_desc!$A$1))</f>
        <v/>
      </c>
      <c r="M71" s="31">
        <f>IF($A71="","",K71-_xll.BDP($A71&amp;" Corp","YAS_BOND_YLD","YAS_YLD_FLAG=15","SETTLE_DT",Company_desc!$A$2))</f>
        <v/>
      </c>
      <c r="N71" s="79">
        <f>IF($A71="","",_xll.BDP($A71&amp;" Corp","YAS_OAS_SPRD"))</f>
        <v/>
      </c>
      <c r="O71" s="67">
        <f>IF($A71="","",_xll.BDP($A71&amp;" Corp","YAS_MOD_DUR"))</f>
        <v/>
      </c>
      <c r="P71" s="80">
        <f>IF($A71="","",IFERROR(INDEX(Sheet1!$P:$P,MATCH($A71,Sheet1!$A:$A,0)),""))</f>
        <v/>
      </c>
      <c r="Q71" s="75">
        <f>IF($A71="","",IFERROR(INDEX(Company_desc!$C:$C,MATCH($A71,Company_desc!$A:$A,0)),IFERROR(INDEX(Sheet1!$Q:$Q,MATCH($A71,Sheet1!$A:$A,0)),"")))</f>
        <v/>
      </c>
      <c r="R71" s="75">
        <f>IF($A71="","",_xll.BDP($A71&amp;" Corp","CRNCY"))</f>
        <v/>
      </c>
      <c r="S71" s="75">
        <f>IF($A71="","",IFERROR(INDEX(Sheet1!$S:$S,MATCH($A71,Sheet1!$A:$A,0)),""))</f>
        <v/>
      </c>
      <c r="T71" s="75">
        <f>IF($A71="","",IFERROR(INDEX(Sheet1!$T:$T,MATCH($A71,Sheet1!$A:$A,0)),_xll.BDP($A71&amp;" Corp","RTG_SP")))</f>
        <v/>
      </c>
      <c r="U71" s="75">
        <f>IF($A71="","",IFERROR(INDEX(Sheet1!$U:$U,MATCH($A71,Sheet1!$A:$A,0)),""))</f>
        <v/>
      </c>
      <c r="W71" s="81">
        <f>IF($A71="","",N71-_xll.BDP($A71&amp;" Corp","YAS_OAS_SPRD","SETTLE_DT",Company_desc!$A$1))</f>
        <v/>
      </c>
      <c r="X71" s="81">
        <f>IF($A71="","",N71-_xll.BDP($A71&amp;" Corp","YAS_OAS_SPRD","SETTLE_DT",Company_desc!$A$2))</f>
        <v/>
      </c>
      <c r="Y71" s="80">
        <f>IF($A71="","",N71-_xll.BDP($A71&amp;" Corp","YAS_OAS_SPRD","SETTLE_DT",Company_desc!$D$1))</f>
        <v/>
      </c>
      <c r="Z71" s="82">
        <f>IF($A71="","",K71-_xll.BDP($A71&amp;" Corp","YAS_BOND_YLD","YAS_YLD_FLAG=15","SETTLE_DT",Company_desc!$D$1))</f>
        <v/>
      </c>
      <c r="AA71" s="80">
        <f>IF($A71="","",_xll.BDP($A71&amp;" Corp","YAS_OAS_SPRD","SETTLE_DT",Company_desc!$D$1))</f>
        <v/>
      </c>
    </row>
    <row r="72">
      <c r="B72" s="75">
        <f>IF($A72="","",IFERROR(INDEX(Sheet1!$B:$B,MATCH($A72,Sheet1!$A:$A,0)),""))</f>
        <v/>
      </c>
      <c r="C72" s="75">
        <f>IF($A72="","",PROPER(_xll.BDP($A72&amp;" Corp","NAME")))</f>
        <v/>
      </c>
      <c r="D72" s="76">
        <f>IF($A72="","",_xll.BDP($A72&amp;" Corp","CPN"))</f>
        <v/>
      </c>
      <c r="E72" s="75">
        <f>IF($A72="","",_xll.BDP($A72&amp;" Corp","PAYMENT_RANK"))</f>
        <v/>
      </c>
      <c r="F72" s="100">
        <f>IF($A72="","",_xll.BDP($A72&amp;" Corp","MATURITY"))</f>
        <v/>
      </c>
      <c r="G72" s="75">
        <f>IF($A72="","",PROPER(_xll.BDP($A72&amp;" Corp","COUNTRY_FULL_NAME")))</f>
        <v/>
      </c>
      <c r="H72" s="75">
        <f>IF($A72="","",_xll.BDP($A72&amp;" Corp","INDUSTRY_SECTOR"))</f>
        <v/>
      </c>
      <c r="I72" s="101">
        <f>IF($A72="","",IFERROR(_xll.BDP($A72&amp;" Corp","MIN_PIECE")/1000,""))</f>
        <v/>
      </c>
      <c r="J72" s="31">
        <f>IF($A72="","",_xll.BDP($A72&amp;" Corp","PX_LAST"))</f>
        <v/>
      </c>
      <c r="K72" s="31">
        <f>IF($A72="","",_xll.BDP($A72&amp;" Corp","YAS_BOND_YLD","YAS_YLD_FLAG=15"))</f>
        <v/>
      </c>
      <c r="L72" s="31">
        <f>IF($A72="","",K72-_xll.BDP($A72&amp;" Corp","YAS_BOND_YLD","YAS_YLD_FLAG=15","SETTLE_DT",Company_desc!$A$1))</f>
        <v/>
      </c>
      <c r="M72" s="31">
        <f>IF($A72="","",K72-_xll.BDP($A72&amp;" Corp","YAS_BOND_YLD","YAS_YLD_FLAG=15","SETTLE_DT",Company_desc!$A$2))</f>
        <v/>
      </c>
      <c r="N72" s="79">
        <f>IF($A72="","",_xll.BDP($A72&amp;" Corp","YAS_OAS_SPRD"))</f>
        <v/>
      </c>
      <c r="O72" s="67">
        <f>IF($A72="","",_xll.BDP($A72&amp;" Corp","YAS_MOD_DUR"))</f>
        <v/>
      </c>
      <c r="P72" s="80">
        <f>IF($A72="","",IFERROR(INDEX(Sheet1!$P:$P,MATCH($A72,Sheet1!$A:$A,0)),""))</f>
        <v/>
      </c>
      <c r="Q72" s="75">
        <f>IF($A72="","",IFERROR(INDEX(Company_desc!$C:$C,MATCH($A72,Company_desc!$A:$A,0)),IFERROR(INDEX(Sheet1!$Q:$Q,MATCH($A72,Sheet1!$A:$A,0)),"")))</f>
        <v/>
      </c>
      <c r="R72" s="75">
        <f>IF($A72="","",_xll.BDP($A72&amp;" Corp","CRNCY"))</f>
        <v/>
      </c>
      <c r="S72" s="75">
        <f>IF($A72="","",IFERROR(INDEX(Sheet1!$S:$S,MATCH($A72,Sheet1!$A:$A,0)),""))</f>
        <v/>
      </c>
      <c r="T72" s="75">
        <f>IF($A72="","",IFERROR(INDEX(Sheet1!$T:$T,MATCH($A72,Sheet1!$A:$A,0)),_xll.BDP($A72&amp;" Corp","RTG_SP")))</f>
        <v/>
      </c>
      <c r="U72" s="75">
        <f>IF($A72="","",IFERROR(INDEX(Sheet1!$U:$U,MATCH($A72,Sheet1!$A:$A,0)),""))</f>
        <v/>
      </c>
      <c r="W72" s="81">
        <f>IF($A72="","",N72-_xll.BDP($A72&amp;" Corp","YAS_OAS_SPRD","SETTLE_DT",Company_desc!$A$1))</f>
        <v/>
      </c>
      <c r="X72" s="81">
        <f>IF($A72="","",N72-_xll.BDP($A72&amp;" Corp","YAS_OAS_SPRD","SETTLE_DT",Company_desc!$A$2))</f>
        <v/>
      </c>
      <c r="Y72" s="80">
        <f>IF($A72="","",N72-_xll.BDP($A72&amp;" Corp","YAS_OAS_SPRD","SETTLE_DT",Company_desc!$D$1))</f>
        <v/>
      </c>
      <c r="Z72" s="82">
        <f>IF($A72="","",K72-_xll.BDP($A72&amp;" Corp","YAS_BOND_YLD","YAS_YLD_FLAG=15","SETTLE_DT",Company_desc!$D$1))</f>
        <v/>
      </c>
      <c r="AA72" s="80">
        <f>IF($A72="","",_xll.BDP($A72&amp;" Corp","YAS_OAS_SPRD","SETTLE_DT",Company_desc!$D$1))</f>
        <v/>
      </c>
    </row>
    <row r="73">
      <c r="B73" s="75">
        <f>IF($A73="","",IFERROR(INDEX(Sheet1!$B:$B,MATCH($A73,Sheet1!$A:$A,0)),""))</f>
        <v/>
      </c>
      <c r="C73" s="75">
        <f>IF($A73="","",PROPER(_xll.BDP($A73&amp;" Corp","NAME")))</f>
        <v/>
      </c>
      <c r="D73" s="76">
        <f>IF($A73="","",_xll.BDP($A73&amp;" Corp","CPN"))</f>
        <v/>
      </c>
      <c r="E73" s="75">
        <f>IF($A73="","",_xll.BDP($A73&amp;" Corp","PAYMENT_RANK"))</f>
        <v/>
      </c>
      <c r="F73" s="100">
        <f>IF($A73="","",_xll.BDP($A73&amp;" Corp","MATURITY"))</f>
        <v/>
      </c>
      <c r="G73" s="75">
        <f>IF($A73="","",PROPER(_xll.BDP($A73&amp;" Corp","COUNTRY_FULL_NAME")))</f>
        <v/>
      </c>
      <c r="H73" s="75">
        <f>IF($A73="","",_xll.BDP($A73&amp;" Corp","INDUSTRY_SECTOR"))</f>
        <v/>
      </c>
      <c r="I73" s="101">
        <f>IF($A73="","",IFERROR(_xll.BDP($A73&amp;" Corp","MIN_PIECE")/1000,""))</f>
        <v/>
      </c>
      <c r="J73" s="31">
        <f>IF($A73="","",_xll.BDP($A73&amp;" Corp","PX_LAST"))</f>
        <v/>
      </c>
      <c r="K73" s="31">
        <f>IF($A73="","",_xll.BDP($A73&amp;" Corp","YAS_BOND_YLD","YAS_YLD_FLAG=15"))</f>
        <v/>
      </c>
      <c r="L73" s="31">
        <f>IF($A73="","",K73-_xll.BDP($A73&amp;" Corp","YAS_BOND_YLD","YAS_YLD_FLAG=15","SETTLE_DT",Company_desc!$A$1))</f>
        <v/>
      </c>
      <c r="M73" s="31">
        <f>IF($A73="","",K73-_xll.BDP($A73&amp;" Corp","YAS_BOND_YLD","YAS_YLD_FLAG=15","SETTLE_DT",Company_desc!$A$2))</f>
        <v/>
      </c>
      <c r="N73" s="79">
        <f>IF($A73="","",_xll.BDP($A73&amp;" Corp","YAS_OAS_SPRD"))</f>
        <v/>
      </c>
      <c r="O73" s="67">
        <f>IF($A73="","",_xll.BDP($A73&amp;" Corp","YAS_MOD_DUR"))</f>
        <v/>
      </c>
      <c r="P73" s="80">
        <f>IF($A73="","",IFERROR(INDEX(Sheet1!$P:$P,MATCH($A73,Sheet1!$A:$A,0)),""))</f>
        <v/>
      </c>
      <c r="Q73" s="75">
        <f>IF($A73="","",IFERROR(INDEX(Company_desc!$C:$C,MATCH($A73,Company_desc!$A:$A,0)),IFERROR(INDEX(Sheet1!$Q:$Q,MATCH($A73,Sheet1!$A:$A,0)),"")))</f>
        <v/>
      </c>
      <c r="R73" s="75">
        <f>IF($A73="","",_xll.BDP($A73&amp;" Corp","CRNCY"))</f>
        <v/>
      </c>
      <c r="S73" s="75">
        <f>IF($A73="","",IFERROR(INDEX(Sheet1!$S:$S,MATCH($A73,Sheet1!$A:$A,0)),""))</f>
        <v/>
      </c>
      <c r="T73" s="75">
        <f>IF($A73="","",IFERROR(INDEX(Sheet1!$T:$T,MATCH($A73,Sheet1!$A:$A,0)),_xll.BDP($A73&amp;" Corp","RTG_SP")))</f>
        <v/>
      </c>
      <c r="U73" s="75">
        <f>IF($A73="","",IFERROR(INDEX(Sheet1!$U:$U,MATCH($A73,Sheet1!$A:$A,0)),""))</f>
        <v/>
      </c>
      <c r="W73" s="81">
        <f>IF($A73="","",N73-_xll.BDP($A73&amp;" Corp","YAS_OAS_SPRD","SETTLE_DT",Company_desc!$A$1))</f>
        <v/>
      </c>
      <c r="X73" s="81">
        <f>IF($A73="","",N73-_xll.BDP($A73&amp;" Corp","YAS_OAS_SPRD","SETTLE_DT",Company_desc!$A$2))</f>
        <v/>
      </c>
      <c r="Y73" s="80">
        <f>IF($A73="","",N73-_xll.BDP($A73&amp;" Corp","YAS_OAS_SPRD","SETTLE_DT",Company_desc!$D$1))</f>
        <v/>
      </c>
      <c r="Z73" s="82">
        <f>IF($A73="","",K73-_xll.BDP($A73&amp;" Corp","YAS_BOND_YLD","YAS_YLD_FLAG=15","SETTLE_DT",Company_desc!$D$1))</f>
        <v/>
      </c>
      <c r="AA73" s="80">
        <f>IF($A73="","",_xll.BDP($A73&amp;" Corp","YAS_OAS_SPRD","SETTLE_DT",Company_desc!$D$1))</f>
        <v/>
      </c>
    </row>
    <row r="74">
      <c r="B74" s="75">
        <f>IF($A74="","",IFERROR(INDEX(Sheet1!$B:$B,MATCH($A74,Sheet1!$A:$A,0)),""))</f>
        <v/>
      </c>
      <c r="C74" s="75">
        <f>IF($A74="","",PROPER(_xll.BDP($A74&amp;" Corp","NAME")))</f>
        <v/>
      </c>
      <c r="D74" s="76">
        <f>IF($A74="","",_xll.BDP($A74&amp;" Corp","CPN"))</f>
        <v/>
      </c>
      <c r="E74" s="75">
        <f>IF($A74="","",_xll.BDP($A74&amp;" Corp","PAYMENT_RANK"))</f>
        <v/>
      </c>
      <c r="F74" s="100">
        <f>IF($A74="","",_xll.BDP($A74&amp;" Corp","MATURITY"))</f>
        <v/>
      </c>
      <c r="G74" s="75">
        <f>IF($A74="","",PROPER(_xll.BDP($A74&amp;" Corp","COUNTRY_FULL_NAME")))</f>
        <v/>
      </c>
      <c r="H74" s="75">
        <f>IF($A74="","",_xll.BDP($A74&amp;" Corp","INDUSTRY_SECTOR"))</f>
        <v/>
      </c>
      <c r="I74" s="101">
        <f>IF($A74="","",IFERROR(_xll.BDP($A74&amp;" Corp","MIN_PIECE")/1000,""))</f>
        <v/>
      </c>
      <c r="J74" s="31">
        <f>IF($A74="","",_xll.BDP($A74&amp;" Corp","PX_LAST"))</f>
        <v/>
      </c>
      <c r="K74" s="31">
        <f>IF($A74="","",_xll.BDP($A74&amp;" Corp","YAS_BOND_YLD","YAS_YLD_FLAG=15"))</f>
        <v/>
      </c>
      <c r="L74" s="31">
        <f>IF($A74="","",K74-_xll.BDP($A74&amp;" Corp","YAS_BOND_YLD","YAS_YLD_FLAG=15","SETTLE_DT",Company_desc!$A$1))</f>
        <v/>
      </c>
      <c r="M74" s="31">
        <f>IF($A74="","",K74-_xll.BDP($A74&amp;" Corp","YAS_BOND_YLD","YAS_YLD_FLAG=15","SETTLE_DT",Company_desc!$A$2))</f>
        <v/>
      </c>
      <c r="N74" s="79">
        <f>IF($A74="","",_xll.BDP($A74&amp;" Corp","YAS_OAS_SPRD"))</f>
        <v/>
      </c>
      <c r="O74" s="67">
        <f>IF($A74="","",_xll.BDP($A74&amp;" Corp","YAS_MOD_DUR"))</f>
        <v/>
      </c>
      <c r="P74" s="80">
        <f>IF($A74="","",IFERROR(INDEX(Sheet1!$P:$P,MATCH($A74,Sheet1!$A:$A,0)),""))</f>
        <v/>
      </c>
      <c r="Q74" s="75">
        <f>IF($A74="","",IFERROR(INDEX(Company_desc!$C:$C,MATCH($A74,Company_desc!$A:$A,0)),IFERROR(INDEX(Sheet1!$Q:$Q,MATCH($A74,Sheet1!$A:$A,0)),"")))</f>
        <v/>
      </c>
      <c r="R74" s="75">
        <f>IF($A74="","",_xll.BDP($A74&amp;" Corp","CRNCY"))</f>
        <v/>
      </c>
      <c r="S74" s="75">
        <f>IF($A74="","",IFERROR(INDEX(Sheet1!$S:$S,MATCH($A74,Sheet1!$A:$A,0)),""))</f>
        <v/>
      </c>
      <c r="T74" s="75">
        <f>IF($A74="","",IFERROR(INDEX(Sheet1!$T:$T,MATCH($A74,Sheet1!$A:$A,0)),_xll.BDP($A74&amp;" Corp","RTG_SP")))</f>
        <v/>
      </c>
      <c r="U74" s="75">
        <f>IF($A74="","",IFERROR(INDEX(Sheet1!$U:$U,MATCH($A74,Sheet1!$A:$A,0)),""))</f>
        <v/>
      </c>
      <c r="W74" s="81">
        <f>IF($A74="","",N74-_xll.BDP($A74&amp;" Corp","YAS_OAS_SPRD","SETTLE_DT",Company_desc!$A$1))</f>
        <v/>
      </c>
      <c r="X74" s="81">
        <f>IF($A74="","",N74-_xll.BDP($A74&amp;" Corp","YAS_OAS_SPRD","SETTLE_DT",Company_desc!$A$2))</f>
        <v/>
      </c>
      <c r="Y74" s="80">
        <f>IF($A74="","",N74-_xll.BDP($A74&amp;" Corp","YAS_OAS_SPRD","SETTLE_DT",Company_desc!$D$1))</f>
        <v/>
      </c>
      <c r="Z74" s="82">
        <f>IF($A74="","",K74-_xll.BDP($A74&amp;" Corp","YAS_BOND_YLD","YAS_YLD_FLAG=15","SETTLE_DT",Company_desc!$D$1))</f>
        <v/>
      </c>
      <c r="AA74" s="80">
        <f>IF($A74="","",_xll.BDP($A74&amp;" Corp","YAS_OAS_SPRD","SETTLE_DT",Company_desc!$D$1))</f>
        <v/>
      </c>
    </row>
    <row r="75">
      <c r="B75" s="75">
        <f>IF($A75="","",IFERROR(INDEX(Sheet1!$B:$B,MATCH($A75,Sheet1!$A:$A,0)),""))</f>
        <v/>
      </c>
      <c r="C75" s="75">
        <f>IF($A75="","",PROPER(_xll.BDP($A75&amp;" Corp","NAME")))</f>
        <v/>
      </c>
      <c r="D75" s="76">
        <f>IF($A75="","",_xll.BDP($A75&amp;" Corp","CPN"))</f>
        <v/>
      </c>
      <c r="E75" s="75">
        <f>IF($A75="","",_xll.BDP($A75&amp;" Corp","PAYMENT_RANK"))</f>
        <v/>
      </c>
      <c r="F75" s="100">
        <f>IF($A75="","",_xll.BDP($A75&amp;" Corp","MATURITY"))</f>
        <v/>
      </c>
      <c r="G75" s="75">
        <f>IF($A75="","",PROPER(_xll.BDP($A75&amp;" Corp","COUNTRY_FULL_NAME")))</f>
        <v/>
      </c>
      <c r="H75" s="75">
        <f>IF($A75="","",_xll.BDP($A75&amp;" Corp","INDUSTRY_SECTOR"))</f>
        <v/>
      </c>
      <c r="I75" s="101">
        <f>IF($A75="","",IFERROR(_xll.BDP($A75&amp;" Corp","MIN_PIECE")/1000,""))</f>
        <v/>
      </c>
      <c r="J75" s="31">
        <f>IF($A75="","",_xll.BDP($A75&amp;" Corp","PX_LAST"))</f>
        <v/>
      </c>
      <c r="K75" s="31">
        <f>IF($A75="","",_xll.BDP($A75&amp;" Corp","YAS_BOND_YLD","YAS_YLD_FLAG=15"))</f>
        <v/>
      </c>
      <c r="L75" s="31">
        <f>IF($A75="","",K75-_xll.BDP($A75&amp;" Corp","YAS_BOND_YLD","YAS_YLD_FLAG=15","SETTLE_DT",Company_desc!$A$1))</f>
        <v/>
      </c>
      <c r="M75" s="31">
        <f>IF($A75="","",K75-_xll.BDP($A75&amp;" Corp","YAS_BOND_YLD","YAS_YLD_FLAG=15","SETTLE_DT",Company_desc!$A$2))</f>
        <v/>
      </c>
      <c r="N75" s="79">
        <f>IF($A75="","",_xll.BDP($A75&amp;" Corp","YAS_OAS_SPRD"))</f>
        <v/>
      </c>
      <c r="O75" s="67">
        <f>IF($A75="","",_xll.BDP($A75&amp;" Corp","YAS_MOD_DUR"))</f>
        <v/>
      </c>
      <c r="P75" s="80">
        <f>IF($A75="","",IFERROR(INDEX(Sheet1!$P:$P,MATCH($A75,Sheet1!$A:$A,0)),""))</f>
        <v/>
      </c>
      <c r="Q75" s="75">
        <f>IF($A75="","",IFERROR(INDEX(Company_desc!$C:$C,MATCH($A75,Company_desc!$A:$A,0)),IFERROR(INDEX(Sheet1!$Q:$Q,MATCH($A75,Sheet1!$A:$A,0)),"")))</f>
        <v/>
      </c>
      <c r="R75" s="75">
        <f>IF($A75="","",_xll.BDP($A75&amp;" Corp","CRNCY"))</f>
        <v/>
      </c>
      <c r="S75" s="75">
        <f>IF($A75="","",IFERROR(INDEX(Sheet1!$S:$S,MATCH($A75,Sheet1!$A:$A,0)),""))</f>
        <v/>
      </c>
      <c r="T75" s="75">
        <f>IF($A75="","",IFERROR(INDEX(Sheet1!$T:$T,MATCH($A75,Sheet1!$A:$A,0)),_xll.BDP($A75&amp;" Corp","RTG_SP")))</f>
        <v/>
      </c>
      <c r="U75" s="75">
        <f>IF($A75="","",IFERROR(INDEX(Sheet1!$U:$U,MATCH($A75,Sheet1!$A:$A,0)),""))</f>
        <v/>
      </c>
      <c r="W75" s="81">
        <f>IF($A75="","",N75-_xll.BDP($A75&amp;" Corp","YAS_OAS_SPRD","SETTLE_DT",Company_desc!$A$1))</f>
        <v/>
      </c>
      <c r="X75" s="81">
        <f>IF($A75="","",N75-_xll.BDP($A75&amp;" Corp","YAS_OAS_SPRD","SETTLE_DT",Company_desc!$A$2))</f>
        <v/>
      </c>
      <c r="Y75" s="80">
        <f>IF($A75="","",N75-_xll.BDP($A75&amp;" Corp","YAS_OAS_SPRD","SETTLE_DT",Company_desc!$D$1))</f>
        <v/>
      </c>
      <c r="Z75" s="82">
        <f>IF($A75="","",K75-_xll.BDP($A75&amp;" Corp","YAS_BOND_YLD","YAS_YLD_FLAG=15","SETTLE_DT",Company_desc!$D$1))</f>
        <v/>
      </c>
      <c r="AA75" s="80">
        <f>IF($A75="","",_xll.BDP($A75&amp;" Corp","YAS_OAS_SPRD","SETTLE_DT",Company_desc!$D$1))</f>
        <v/>
      </c>
    </row>
    <row r="76">
      <c r="B76" s="75">
        <f>IF($A76="","",IFERROR(INDEX(Sheet1!$B:$B,MATCH($A76,Sheet1!$A:$A,0)),""))</f>
        <v/>
      </c>
      <c r="C76" s="75">
        <f>IF($A76="","",PROPER(_xll.BDP($A76&amp;" Corp","NAME")))</f>
        <v/>
      </c>
      <c r="D76" s="76">
        <f>IF($A76="","",_xll.BDP($A76&amp;" Corp","CPN"))</f>
        <v/>
      </c>
      <c r="E76" s="75">
        <f>IF($A76="","",_xll.BDP($A76&amp;" Corp","PAYMENT_RANK"))</f>
        <v/>
      </c>
      <c r="F76" s="100">
        <f>IF($A76="","",_xll.BDP($A76&amp;" Corp","MATURITY"))</f>
        <v/>
      </c>
      <c r="G76" s="75">
        <f>IF($A76="","",PROPER(_xll.BDP($A76&amp;" Corp","COUNTRY_FULL_NAME")))</f>
        <v/>
      </c>
      <c r="H76" s="75">
        <f>IF($A76="","",_xll.BDP($A76&amp;" Corp","INDUSTRY_SECTOR"))</f>
        <v/>
      </c>
      <c r="I76" s="101">
        <f>IF($A76="","",IFERROR(_xll.BDP($A76&amp;" Corp","MIN_PIECE")/1000,""))</f>
        <v/>
      </c>
      <c r="J76" s="31">
        <f>IF($A76="","",_xll.BDP($A76&amp;" Corp","PX_LAST"))</f>
        <v/>
      </c>
      <c r="K76" s="31">
        <f>IF($A76="","",_xll.BDP($A76&amp;" Corp","YAS_BOND_YLD","YAS_YLD_FLAG=15"))</f>
        <v/>
      </c>
      <c r="L76" s="31">
        <f>IF($A76="","",K76-_xll.BDP($A76&amp;" Corp","YAS_BOND_YLD","YAS_YLD_FLAG=15","SETTLE_DT",Company_desc!$A$1))</f>
        <v/>
      </c>
      <c r="M76" s="31">
        <f>IF($A76="","",K76-_xll.BDP($A76&amp;" Corp","YAS_BOND_YLD","YAS_YLD_FLAG=15","SETTLE_DT",Company_desc!$A$2))</f>
        <v/>
      </c>
      <c r="N76" s="79">
        <f>IF($A76="","",_xll.BDP($A76&amp;" Corp","YAS_OAS_SPRD"))</f>
        <v/>
      </c>
      <c r="O76" s="67">
        <f>IF($A76="","",_xll.BDP($A76&amp;" Corp","YAS_MOD_DUR"))</f>
        <v/>
      </c>
      <c r="P76" s="80">
        <f>IF($A76="","",IFERROR(INDEX(Sheet1!$P:$P,MATCH($A76,Sheet1!$A:$A,0)),""))</f>
        <v/>
      </c>
      <c r="Q76" s="75">
        <f>IF($A76="","",IFERROR(INDEX(Company_desc!$C:$C,MATCH($A76,Company_desc!$A:$A,0)),IFERROR(INDEX(Sheet1!$Q:$Q,MATCH($A76,Sheet1!$A:$A,0)),"")))</f>
        <v/>
      </c>
      <c r="R76" s="75">
        <f>IF($A76="","",_xll.BDP($A76&amp;" Corp","CRNCY"))</f>
        <v/>
      </c>
      <c r="S76" s="75">
        <f>IF($A76="","",IFERROR(INDEX(Sheet1!$S:$S,MATCH($A76,Sheet1!$A:$A,0)),""))</f>
        <v/>
      </c>
      <c r="T76" s="75">
        <f>IF($A76="","",IFERROR(INDEX(Sheet1!$T:$T,MATCH($A76,Sheet1!$A:$A,0)),_xll.BDP($A76&amp;" Corp","RTG_SP")))</f>
        <v/>
      </c>
      <c r="U76" s="75">
        <f>IF($A76="","",IFERROR(INDEX(Sheet1!$U:$U,MATCH($A76,Sheet1!$A:$A,0)),""))</f>
        <v/>
      </c>
      <c r="W76" s="81">
        <f>IF($A76="","",N76-_xll.BDP($A76&amp;" Corp","YAS_OAS_SPRD","SETTLE_DT",Company_desc!$A$1))</f>
        <v/>
      </c>
      <c r="X76" s="81">
        <f>IF($A76="","",N76-_xll.BDP($A76&amp;" Corp","YAS_OAS_SPRD","SETTLE_DT",Company_desc!$A$2))</f>
        <v/>
      </c>
      <c r="Y76" s="80">
        <f>IF($A76="","",N76-_xll.BDP($A76&amp;" Corp","YAS_OAS_SPRD","SETTLE_DT",Company_desc!$D$1))</f>
        <v/>
      </c>
      <c r="Z76" s="82">
        <f>IF($A76="","",K76-_xll.BDP($A76&amp;" Corp","YAS_BOND_YLD","YAS_YLD_FLAG=15","SETTLE_DT",Company_desc!$D$1))</f>
        <v/>
      </c>
      <c r="AA76" s="80">
        <f>IF($A76="","",_xll.BDP($A76&amp;" Corp","YAS_OAS_SPRD","SETTLE_DT",Company_desc!$D$1))</f>
        <v/>
      </c>
    </row>
    <row r="77">
      <c r="B77" s="75">
        <f>IF($A77="","",IFERROR(INDEX(Sheet1!$B:$B,MATCH($A77,Sheet1!$A:$A,0)),""))</f>
        <v/>
      </c>
      <c r="C77" s="75">
        <f>IF($A77="","",PROPER(_xll.BDP($A77&amp;" Corp","NAME")))</f>
        <v/>
      </c>
      <c r="D77" s="76">
        <f>IF($A77="","",_xll.BDP($A77&amp;" Corp","CPN"))</f>
        <v/>
      </c>
      <c r="E77" s="75">
        <f>IF($A77="","",_xll.BDP($A77&amp;" Corp","PAYMENT_RANK"))</f>
        <v/>
      </c>
      <c r="F77" s="100">
        <f>IF($A77="","",_xll.BDP($A77&amp;" Corp","MATURITY"))</f>
        <v/>
      </c>
      <c r="G77" s="75">
        <f>IF($A77="","",PROPER(_xll.BDP($A77&amp;" Corp","COUNTRY_FULL_NAME")))</f>
        <v/>
      </c>
      <c r="H77" s="75">
        <f>IF($A77="","",_xll.BDP($A77&amp;" Corp","INDUSTRY_SECTOR"))</f>
        <v/>
      </c>
      <c r="I77" s="101">
        <f>IF($A77="","",IFERROR(_xll.BDP($A77&amp;" Corp","MIN_PIECE")/1000,""))</f>
        <v/>
      </c>
      <c r="J77" s="31">
        <f>IF($A77="","",_xll.BDP($A77&amp;" Corp","PX_LAST"))</f>
        <v/>
      </c>
      <c r="K77" s="31">
        <f>IF($A77="","",_xll.BDP($A77&amp;" Corp","YAS_BOND_YLD","YAS_YLD_FLAG=15"))</f>
        <v/>
      </c>
      <c r="L77" s="31">
        <f>IF($A77="","",K77-_xll.BDP($A77&amp;" Corp","YAS_BOND_YLD","YAS_YLD_FLAG=15","SETTLE_DT",Company_desc!$A$1))</f>
        <v/>
      </c>
      <c r="M77" s="31">
        <f>IF($A77="","",K77-_xll.BDP($A77&amp;" Corp","YAS_BOND_YLD","YAS_YLD_FLAG=15","SETTLE_DT",Company_desc!$A$2))</f>
        <v/>
      </c>
      <c r="N77" s="79">
        <f>IF($A77="","",_xll.BDP($A77&amp;" Corp","YAS_OAS_SPRD"))</f>
        <v/>
      </c>
      <c r="O77" s="67">
        <f>IF($A77="","",_xll.BDP($A77&amp;" Corp","YAS_MOD_DUR"))</f>
        <v/>
      </c>
      <c r="P77" s="80">
        <f>IF($A77="","",IFERROR(INDEX(Sheet1!$P:$P,MATCH($A77,Sheet1!$A:$A,0)),""))</f>
        <v/>
      </c>
      <c r="Q77" s="75">
        <f>IF($A77="","",IFERROR(INDEX(Company_desc!$C:$C,MATCH($A77,Company_desc!$A:$A,0)),IFERROR(INDEX(Sheet1!$Q:$Q,MATCH($A77,Sheet1!$A:$A,0)),"")))</f>
        <v/>
      </c>
      <c r="R77" s="75">
        <f>IF($A77="","",_xll.BDP($A77&amp;" Corp","CRNCY"))</f>
        <v/>
      </c>
      <c r="S77" s="75">
        <f>IF($A77="","",IFERROR(INDEX(Sheet1!$S:$S,MATCH($A77,Sheet1!$A:$A,0)),""))</f>
        <v/>
      </c>
      <c r="T77" s="75">
        <f>IF($A77="","",IFERROR(INDEX(Sheet1!$T:$T,MATCH($A77,Sheet1!$A:$A,0)),_xll.BDP($A77&amp;" Corp","RTG_SP")))</f>
        <v/>
      </c>
      <c r="U77" s="75">
        <f>IF($A77="","",IFERROR(INDEX(Sheet1!$U:$U,MATCH($A77,Sheet1!$A:$A,0)),""))</f>
        <v/>
      </c>
      <c r="W77" s="81">
        <f>IF($A77="","",N77-_xll.BDP($A77&amp;" Corp","YAS_OAS_SPRD","SETTLE_DT",Company_desc!$A$1))</f>
        <v/>
      </c>
      <c r="X77" s="81">
        <f>IF($A77="","",N77-_xll.BDP($A77&amp;" Corp","YAS_OAS_SPRD","SETTLE_DT",Company_desc!$A$2))</f>
        <v/>
      </c>
      <c r="Y77" s="80">
        <f>IF($A77="","",N77-_xll.BDP($A77&amp;" Corp","YAS_OAS_SPRD","SETTLE_DT",Company_desc!$D$1))</f>
        <v/>
      </c>
      <c r="Z77" s="82">
        <f>IF($A77="","",K77-_xll.BDP($A77&amp;" Corp","YAS_BOND_YLD","YAS_YLD_FLAG=15","SETTLE_DT",Company_desc!$D$1))</f>
        <v/>
      </c>
      <c r="AA77" s="80">
        <f>IF($A77="","",_xll.BDP($A77&amp;" Corp","YAS_OAS_SPRD","SETTLE_DT",Company_desc!$D$1))</f>
        <v/>
      </c>
    </row>
    <row r="78">
      <c r="B78" s="75">
        <f>IF($A78="","",IFERROR(INDEX(Sheet1!$B:$B,MATCH($A78,Sheet1!$A:$A,0)),""))</f>
        <v/>
      </c>
      <c r="C78" s="75">
        <f>IF($A78="","",PROPER(_xll.BDP($A78&amp;" Corp","NAME")))</f>
        <v/>
      </c>
      <c r="D78" s="76">
        <f>IF($A78="","",_xll.BDP($A78&amp;" Corp","CPN"))</f>
        <v/>
      </c>
      <c r="E78" s="75">
        <f>IF($A78="","",_xll.BDP($A78&amp;" Corp","PAYMENT_RANK"))</f>
        <v/>
      </c>
      <c r="F78" s="100">
        <f>IF($A78="","",_xll.BDP($A78&amp;" Corp","MATURITY"))</f>
        <v/>
      </c>
      <c r="G78" s="75">
        <f>IF($A78="","",PROPER(_xll.BDP($A78&amp;" Corp","COUNTRY_FULL_NAME")))</f>
        <v/>
      </c>
      <c r="H78" s="75">
        <f>IF($A78="","",_xll.BDP($A78&amp;" Corp","INDUSTRY_SECTOR"))</f>
        <v/>
      </c>
      <c r="I78" s="101">
        <f>IF($A78="","",IFERROR(_xll.BDP($A78&amp;" Corp","MIN_PIECE")/1000,""))</f>
        <v/>
      </c>
      <c r="J78" s="31">
        <f>IF($A78="","",_xll.BDP($A78&amp;" Corp","PX_LAST"))</f>
        <v/>
      </c>
      <c r="K78" s="31">
        <f>IF($A78="","",_xll.BDP($A78&amp;" Corp","YAS_BOND_YLD","YAS_YLD_FLAG=15"))</f>
        <v/>
      </c>
      <c r="L78" s="31">
        <f>IF($A78="","",K78-_xll.BDP($A78&amp;" Corp","YAS_BOND_YLD","YAS_YLD_FLAG=15","SETTLE_DT",Company_desc!$A$1))</f>
        <v/>
      </c>
      <c r="M78" s="31">
        <f>IF($A78="","",K78-_xll.BDP($A78&amp;" Corp","YAS_BOND_YLD","YAS_YLD_FLAG=15","SETTLE_DT",Company_desc!$A$2))</f>
        <v/>
      </c>
      <c r="N78" s="79">
        <f>IF($A78="","",_xll.BDP($A78&amp;" Corp","YAS_OAS_SPRD"))</f>
        <v/>
      </c>
      <c r="O78" s="67">
        <f>IF($A78="","",_xll.BDP($A78&amp;" Corp","YAS_MOD_DUR"))</f>
        <v/>
      </c>
      <c r="P78" s="80">
        <f>IF($A78="","",IFERROR(INDEX(Sheet1!$P:$P,MATCH($A78,Sheet1!$A:$A,0)),""))</f>
        <v/>
      </c>
      <c r="Q78" s="75">
        <f>IF($A78="","",IFERROR(INDEX(Company_desc!$C:$C,MATCH($A78,Company_desc!$A:$A,0)),IFERROR(INDEX(Sheet1!$Q:$Q,MATCH($A78,Sheet1!$A:$A,0)),"")))</f>
        <v/>
      </c>
      <c r="R78" s="75">
        <f>IF($A78="","",_xll.BDP($A78&amp;" Corp","CRNCY"))</f>
        <v/>
      </c>
      <c r="S78" s="75">
        <f>IF($A78="","",IFERROR(INDEX(Sheet1!$S:$S,MATCH($A78,Sheet1!$A:$A,0)),""))</f>
        <v/>
      </c>
      <c r="T78" s="75">
        <f>IF($A78="","",IFERROR(INDEX(Sheet1!$T:$T,MATCH($A78,Sheet1!$A:$A,0)),_xll.BDP($A78&amp;" Corp","RTG_SP")))</f>
        <v/>
      </c>
      <c r="U78" s="75">
        <f>IF($A78="","",IFERROR(INDEX(Sheet1!$U:$U,MATCH($A78,Sheet1!$A:$A,0)),""))</f>
        <v/>
      </c>
      <c r="W78" s="81">
        <f>IF($A78="","",N78-_xll.BDP($A78&amp;" Corp","YAS_OAS_SPRD","SETTLE_DT",Company_desc!$A$1))</f>
        <v/>
      </c>
      <c r="X78" s="81">
        <f>IF($A78="","",N78-_xll.BDP($A78&amp;" Corp","YAS_OAS_SPRD","SETTLE_DT",Company_desc!$A$2))</f>
        <v/>
      </c>
      <c r="Y78" s="80">
        <f>IF($A78="","",N78-_xll.BDP($A78&amp;" Corp","YAS_OAS_SPRD","SETTLE_DT",Company_desc!$D$1))</f>
        <v/>
      </c>
      <c r="Z78" s="82">
        <f>IF($A78="","",K78-_xll.BDP($A78&amp;" Corp","YAS_BOND_YLD","YAS_YLD_FLAG=15","SETTLE_DT",Company_desc!$D$1))</f>
        <v/>
      </c>
      <c r="AA78" s="80">
        <f>IF($A78="","",_xll.BDP($A78&amp;" Corp","YAS_OAS_SPRD","SETTLE_DT",Company_desc!$D$1))</f>
        <v/>
      </c>
    </row>
    <row r="79">
      <c r="A79" s="42" t="n"/>
      <c r="B79" s="75">
        <f>IF($A79="","",IFERROR(INDEX(Sheet1!$B:$B,MATCH($A79,Sheet1!$A:$A,0)),""))</f>
        <v/>
      </c>
      <c r="C79" s="75">
        <f>IF($A79="","",PROPER(_xll.BDP($A79&amp;" Corp","NAME")))</f>
        <v/>
      </c>
      <c r="D79" s="76">
        <f>IF($A79="","",_xll.BDP($A79&amp;" Corp","CPN"))</f>
        <v/>
      </c>
      <c r="E79" s="75">
        <f>IF($A79="","",_xll.BDP($A79&amp;" Corp","PAYMENT_RANK"))</f>
        <v/>
      </c>
      <c r="F79" s="100">
        <f>IF($A79="","",_xll.BDP($A79&amp;" Corp","MATURITY"))</f>
        <v/>
      </c>
      <c r="G79" s="75">
        <f>IF($A79="","",PROPER(_xll.BDP($A79&amp;" Corp","COUNTRY_FULL_NAME")))</f>
        <v/>
      </c>
      <c r="H79" s="75">
        <f>IF($A79="","",_xll.BDP($A79&amp;" Corp","INDUSTRY_SECTOR"))</f>
        <v/>
      </c>
      <c r="I79" s="101">
        <f>IF($A79="","",IFERROR(_xll.BDP($A79&amp;" Corp","MIN_PIECE")/1000,""))</f>
        <v/>
      </c>
      <c r="J79" s="31">
        <f>IF($A79="","",_xll.BDP($A79&amp;" Corp","PX_LAST"))</f>
        <v/>
      </c>
      <c r="K79" s="31">
        <f>IF($A79="","",_xll.BDP($A79&amp;" Corp","YAS_BOND_YLD","YAS_YLD_FLAG=15"))</f>
        <v/>
      </c>
      <c r="L79" s="31">
        <f>IF($A79="","",K79-_xll.BDP($A79&amp;" Corp","YAS_BOND_YLD","YAS_YLD_FLAG=15","SETTLE_DT",Company_desc!$A$1))</f>
        <v/>
      </c>
      <c r="M79" s="31">
        <f>IF($A79="","",K79-_xll.BDP($A79&amp;" Corp","YAS_BOND_YLD","YAS_YLD_FLAG=15","SETTLE_DT",Company_desc!$A$2))</f>
        <v/>
      </c>
      <c r="N79" s="79">
        <f>IF($A79="","",_xll.BDP($A79&amp;" Corp","YAS_OAS_SPRD"))</f>
        <v/>
      </c>
      <c r="O79" s="67">
        <f>IF($A79="","",_xll.BDP($A79&amp;" Corp","YAS_MOD_DUR"))</f>
        <v/>
      </c>
      <c r="P79" s="80">
        <f>IF($A79="","",IFERROR(INDEX(Sheet1!$P:$P,MATCH($A79,Sheet1!$A:$A,0)),""))</f>
        <v/>
      </c>
      <c r="Q79" s="75">
        <f>IF($A79="","",IFERROR(INDEX(Company_desc!$C:$C,MATCH($A79,Company_desc!$A:$A,0)),IFERROR(INDEX(Sheet1!$Q:$Q,MATCH($A79,Sheet1!$A:$A,0)),"")))</f>
        <v/>
      </c>
      <c r="R79" s="75">
        <f>IF($A79="","",_xll.BDP($A79&amp;" Corp","CRNCY"))</f>
        <v/>
      </c>
      <c r="S79" s="75">
        <f>IF($A79="","",IFERROR(INDEX(Sheet1!$S:$S,MATCH($A79,Sheet1!$A:$A,0)),""))</f>
        <v/>
      </c>
      <c r="T79" s="75">
        <f>IF($A79="","",IFERROR(INDEX(Sheet1!$T:$T,MATCH($A79,Sheet1!$A:$A,0)),_xll.BDP($A79&amp;" Corp","RTG_SP")))</f>
        <v/>
      </c>
      <c r="U79" s="75">
        <f>IF($A79="","",IFERROR(INDEX(Sheet1!$U:$U,MATCH($A79,Sheet1!$A:$A,0)),""))</f>
        <v/>
      </c>
      <c r="W79" s="81">
        <f>IF($A79="","",N79-_xll.BDP($A79&amp;" Corp","YAS_OAS_SPRD","SETTLE_DT",Company_desc!$A$1))</f>
        <v/>
      </c>
      <c r="X79" s="81">
        <f>IF($A79="","",N79-_xll.BDP($A79&amp;" Corp","YAS_OAS_SPRD","SETTLE_DT",Company_desc!$A$2))</f>
        <v/>
      </c>
      <c r="Y79" s="80">
        <f>IF($A79="","",N79-_xll.BDP($A79&amp;" Corp","YAS_OAS_SPRD","SETTLE_DT",Company_desc!$D$1))</f>
        <v/>
      </c>
      <c r="Z79" s="82">
        <f>IF($A79="","",K79-_xll.BDP($A79&amp;" Corp","YAS_BOND_YLD","YAS_YLD_FLAG=15","SETTLE_DT",Company_desc!$D$1))</f>
        <v/>
      </c>
      <c r="AA79" s="80">
        <f>IF($A79="","",_xll.BDP($A79&amp;" Corp","YAS_OAS_SPRD","SETTLE_DT",Company_desc!$D$1))</f>
        <v/>
      </c>
    </row>
    <row r="80">
      <c r="B80" s="75">
        <f>IF($A80="","",IFERROR(INDEX(Sheet1!$B:$B,MATCH($A80,Sheet1!$A:$A,0)),""))</f>
        <v/>
      </c>
      <c r="C80" s="75">
        <f>IF($A80="","",PROPER(_xll.BDP($A80&amp;" Corp","NAME")))</f>
        <v/>
      </c>
      <c r="D80" s="76">
        <f>IF($A80="","",_xll.BDP($A80&amp;" Corp","CPN"))</f>
        <v/>
      </c>
      <c r="E80" s="75">
        <f>IF($A80="","",_xll.BDP($A80&amp;" Corp","PAYMENT_RANK"))</f>
        <v/>
      </c>
      <c r="F80" s="100">
        <f>IF($A80="","",_xll.BDP($A80&amp;" Corp","MATURITY"))</f>
        <v/>
      </c>
      <c r="G80" s="75">
        <f>IF($A80="","",PROPER(_xll.BDP($A80&amp;" Corp","COUNTRY_FULL_NAME")))</f>
        <v/>
      </c>
      <c r="H80" s="75">
        <f>IF($A80="","",_xll.BDP($A80&amp;" Corp","INDUSTRY_SECTOR"))</f>
        <v/>
      </c>
      <c r="I80" s="101">
        <f>IF($A80="","",IFERROR(_xll.BDP($A80&amp;" Corp","MIN_PIECE")/1000,""))</f>
        <v/>
      </c>
      <c r="J80" s="31">
        <f>IF($A80="","",_xll.BDP($A80&amp;" Corp","PX_LAST"))</f>
        <v/>
      </c>
      <c r="K80" s="31">
        <f>IF($A80="","",_xll.BDP($A80&amp;" Corp","YAS_BOND_YLD","YAS_YLD_FLAG=15"))</f>
        <v/>
      </c>
      <c r="L80" s="31">
        <f>IF($A80="","",K80-_xll.BDP($A80&amp;" Corp","YAS_BOND_YLD","YAS_YLD_FLAG=15","SETTLE_DT",Company_desc!$A$1))</f>
        <v/>
      </c>
      <c r="M80" s="31">
        <f>IF($A80="","",K80-_xll.BDP($A80&amp;" Corp","YAS_BOND_YLD","YAS_YLD_FLAG=15","SETTLE_DT",Company_desc!$A$2))</f>
        <v/>
      </c>
      <c r="N80" s="79">
        <f>IF($A80="","",_xll.BDP($A80&amp;" Corp","YAS_OAS_SPRD"))</f>
        <v/>
      </c>
      <c r="O80" s="67">
        <f>IF($A80="","",_xll.BDP($A80&amp;" Corp","YAS_MOD_DUR"))</f>
        <v/>
      </c>
      <c r="P80" s="80">
        <f>IF($A80="","",IFERROR(INDEX(Sheet1!$P:$P,MATCH($A80,Sheet1!$A:$A,0)),""))</f>
        <v/>
      </c>
      <c r="Q80" s="75">
        <f>IF($A80="","",IFERROR(INDEX(Company_desc!$C:$C,MATCH($A80,Company_desc!$A:$A,0)),IFERROR(INDEX(Sheet1!$Q:$Q,MATCH($A80,Sheet1!$A:$A,0)),"")))</f>
        <v/>
      </c>
      <c r="R80" s="75">
        <f>IF($A80="","",_xll.BDP($A80&amp;" Corp","CRNCY"))</f>
        <v/>
      </c>
      <c r="S80" s="75">
        <f>IF($A80="","",IFERROR(INDEX(Sheet1!$S:$S,MATCH($A80,Sheet1!$A:$A,0)),""))</f>
        <v/>
      </c>
      <c r="T80" s="75">
        <f>IF($A80="","",IFERROR(INDEX(Sheet1!$T:$T,MATCH($A80,Sheet1!$A:$A,0)),_xll.BDP($A80&amp;" Corp","RTG_SP")))</f>
        <v/>
      </c>
      <c r="U80" s="75">
        <f>IF($A80="","",IFERROR(INDEX(Sheet1!$U:$U,MATCH($A80,Sheet1!$A:$A,0)),""))</f>
        <v/>
      </c>
      <c r="W80" s="81">
        <f>IF($A80="","",N80-_xll.BDP($A80&amp;" Corp","YAS_OAS_SPRD","SETTLE_DT",Company_desc!$A$1))</f>
        <v/>
      </c>
      <c r="X80" s="81">
        <f>IF($A80="","",N80-_xll.BDP($A80&amp;" Corp","YAS_OAS_SPRD","SETTLE_DT",Company_desc!$A$2))</f>
        <v/>
      </c>
      <c r="Y80" s="80">
        <f>IF($A80="","",N80-_xll.BDP($A80&amp;" Corp","YAS_OAS_SPRD","SETTLE_DT",Company_desc!$D$1))</f>
        <v/>
      </c>
      <c r="Z80" s="82">
        <f>IF($A80="","",K80-_xll.BDP($A80&amp;" Corp","YAS_BOND_YLD","YAS_YLD_FLAG=15","SETTLE_DT",Company_desc!$D$1))</f>
        <v/>
      </c>
      <c r="AA80" s="80">
        <f>IF($A80="","",_xll.BDP($A80&amp;" Corp","YAS_OAS_SPRD","SETTLE_DT",Company_desc!$D$1))</f>
        <v/>
      </c>
    </row>
    <row r="81">
      <c r="B81" s="75">
        <f>IF($A81="","",IFERROR(INDEX(Sheet1!$B:$B,MATCH($A81,Sheet1!$A:$A,0)),""))</f>
        <v/>
      </c>
      <c r="C81" s="75">
        <f>IF($A81="","",PROPER(_xll.BDP($A81&amp;" Corp","NAME")))</f>
        <v/>
      </c>
      <c r="D81" s="76">
        <f>IF($A81="","",_xll.BDP($A81&amp;" Corp","CPN"))</f>
        <v/>
      </c>
      <c r="E81" s="75">
        <f>IF($A81="","",_xll.BDP($A81&amp;" Corp","PAYMENT_RANK"))</f>
        <v/>
      </c>
      <c r="F81" s="100">
        <f>IF($A81="","",_xll.BDP($A81&amp;" Corp","MATURITY"))</f>
        <v/>
      </c>
      <c r="G81" s="75">
        <f>IF($A81="","",PROPER(_xll.BDP($A81&amp;" Corp","COUNTRY_FULL_NAME")))</f>
        <v/>
      </c>
      <c r="H81" s="75">
        <f>IF($A81="","",_xll.BDP($A81&amp;" Corp","INDUSTRY_SECTOR"))</f>
        <v/>
      </c>
      <c r="I81" s="101">
        <f>IF($A81="","",IFERROR(_xll.BDP($A81&amp;" Corp","MIN_PIECE")/1000,""))</f>
        <v/>
      </c>
      <c r="J81" s="31">
        <f>IF($A81="","",_xll.BDP($A81&amp;" Corp","PX_LAST"))</f>
        <v/>
      </c>
      <c r="K81" s="31">
        <f>IF($A81="","",_xll.BDP($A81&amp;" Corp","YAS_BOND_YLD","YAS_YLD_FLAG=15"))</f>
        <v/>
      </c>
      <c r="L81" s="31">
        <f>IF($A81="","",K81-_xll.BDP($A81&amp;" Corp","YAS_BOND_YLD","YAS_YLD_FLAG=15","SETTLE_DT",Company_desc!$A$1))</f>
        <v/>
      </c>
      <c r="M81" s="31">
        <f>IF($A81="","",K81-_xll.BDP($A81&amp;" Corp","YAS_BOND_YLD","YAS_YLD_FLAG=15","SETTLE_DT",Company_desc!$A$2))</f>
        <v/>
      </c>
      <c r="N81" s="79">
        <f>IF($A81="","",_xll.BDP($A81&amp;" Corp","YAS_OAS_SPRD"))</f>
        <v/>
      </c>
      <c r="O81" s="67">
        <f>IF($A81="","",_xll.BDP($A81&amp;" Corp","YAS_MOD_DUR"))</f>
        <v/>
      </c>
      <c r="P81" s="80">
        <f>IF($A81="","",IFERROR(INDEX(Sheet1!$P:$P,MATCH($A81,Sheet1!$A:$A,0)),""))</f>
        <v/>
      </c>
      <c r="Q81" s="75">
        <f>IF($A81="","",IFERROR(INDEX(Company_desc!$C:$C,MATCH($A81,Company_desc!$A:$A,0)),IFERROR(INDEX(Sheet1!$Q:$Q,MATCH($A81,Sheet1!$A:$A,0)),"")))</f>
        <v/>
      </c>
      <c r="R81" s="75">
        <f>IF($A81="","",_xll.BDP($A81&amp;" Corp","CRNCY"))</f>
        <v/>
      </c>
      <c r="S81" s="75">
        <f>IF($A81="","",IFERROR(INDEX(Sheet1!$S:$S,MATCH($A81,Sheet1!$A:$A,0)),""))</f>
        <v/>
      </c>
      <c r="T81" s="75">
        <f>IF($A81="","",IFERROR(INDEX(Sheet1!$T:$T,MATCH($A81,Sheet1!$A:$A,0)),_xll.BDP($A81&amp;" Corp","RTG_SP")))</f>
        <v/>
      </c>
      <c r="U81" s="75">
        <f>IF($A81="","",IFERROR(INDEX(Sheet1!$U:$U,MATCH($A81,Sheet1!$A:$A,0)),""))</f>
        <v/>
      </c>
      <c r="W81" s="81">
        <f>IF($A81="","",N81-_xll.BDP($A81&amp;" Corp","YAS_OAS_SPRD","SETTLE_DT",Company_desc!$A$1))</f>
        <v/>
      </c>
      <c r="X81" s="81">
        <f>IF($A81="","",N81-_xll.BDP($A81&amp;" Corp","YAS_OAS_SPRD","SETTLE_DT",Company_desc!$A$2))</f>
        <v/>
      </c>
      <c r="Y81" s="80">
        <f>IF($A81="","",N81-_xll.BDP($A81&amp;" Corp","YAS_OAS_SPRD","SETTLE_DT",Company_desc!$D$1))</f>
        <v/>
      </c>
      <c r="Z81" s="82">
        <f>IF($A81="","",K81-_xll.BDP($A81&amp;" Corp","YAS_BOND_YLD","YAS_YLD_FLAG=15","SETTLE_DT",Company_desc!$D$1))</f>
        <v/>
      </c>
      <c r="AA81" s="80">
        <f>IF($A81="","",_xll.BDP($A81&amp;" Corp","YAS_OAS_SPRD","SETTLE_DT",Company_desc!$D$1))</f>
        <v/>
      </c>
    </row>
    <row r="82">
      <c r="B82" s="75">
        <f>IF($A82="","",IFERROR(INDEX(Sheet1!$B:$B,MATCH($A82,Sheet1!$A:$A,0)),""))</f>
        <v/>
      </c>
      <c r="C82" s="75">
        <f>IF($A82="","",PROPER(_xll.BDP($A82&amp;" Corp","NAME")))</f>
        <v/>
      </c>
      <c r="D82" s="76">
        <f>IF($A82="","",_xll.BDP($A82&amp;" Corp","CPN"))</f>
        <v/>
      </c>
      <c r="E82" s="75">
        <f>IF($A82="","",_xll.BDP($A82&amp;" Corp","PAYMENT_RANK"))</f>
        <v/>
      </c>
      <c r="F82" s="100">
        <f>IF($A82="","",_xll.BDP($A82&amp;" Corp","MATURITY"))</f>
        <v/>
      </c>
      <c r="G82" s="75">
        <f>IF($A82="","",PROPER(_xll.BDP($A82&amp;" Corp","COUNTRY_FULL_NAME")))</f>
        <v/>
      </c>
      <c r="H82" s="75">
        <f>IF($A82="","",_xll.BDP($A82&amp;" Corp","INDUSTRY_SECTOR"))</f>
        <v/>
      </c>
      <c r="I82" s="101">
        <f>IF($A82="","",IFERROR(_xll.BDP($A82&amp;" Corp","MIN_PIECE")/1000,""))</f>
        <v/>
      </c>
      <c r="J82" s="31">
        <f>IF($A82="","",_xll.BDP($A82&amp;" Corp","PX_LAST"))</f>
        <v/>
      </c>
      <c r="K82" s="31">
        <f>IF($A82="","",_xll.BDP($A82&amp;" Corp","YAS_BOND_YLD","YAS_YLD_FLAG=15"))</f>
        <v/>
      </c>
      <c r="L82" s="31">
        <f>IF($A82="","",K82-_xll.BDP($A82&amp;" Corp","YAS_BOND_YLD","YAS_YLD_FLAG=15","SETTLE_DT",Company_desc!$A$1))</f>
        <v/>
      </c>
      <c r="M82" s="31">
        <f>IF($A82="","",K82-_xll.BDP($A82&amp;" Corp","YAS_BOND_YLD","YAS_YLD_FLAG=15","SETTLE_DT",Company_desc!$A$2))</f>
        <v/>
      </c>
      <c r="N82" s="79">
        <f>IF($A82="","",_xll.BDP($A82&amp;" Corp","YAS_OAS_SPRD"))</f>
        <v/>
      </c>
      <c r="O82" s="67">
        <f>IF($A82="","",_xll.BDP($A82&amp;" Corp","YAS_MOD_DUR"))</f>
        <v/>
      </c>
      <c r="P82" s="80">
        <f>IF($A82="","",IFERROR(INDEX(Sheet1!$P:$P,MATCH($A82,Sheet1!$A:$A,0)),""))</f>
        <v/>
      </c>
      <c r="Q82" s="75">
        <f>IF($A82="","",IFERROR(INDEX(Company_desc!$C:$C,MATCH($A82,Company_desc!$A:$A,0)),IFERROR(INDEX(Sheet1!$Q:$Q,MATCH($A82,Sheet1!$A:$A,0)),"")))</f>
        <v/>
      </c>
      <c r="R82" s="75">
        <f>IF($A82="","",_xll.BDP($A82&amp;" Corp","CRNCY"))</f>
        <v/>
      </c>
      <c r="S82" s="75">
        <f>IF($A82="","",IFERROR(INDEX(Sheet1!$S:$S,MATCH($A82,Sheet1!$A:$A,0)),""))</f>
        <v/>
      </c>
      <c r="T82" s="75">
        <f>IF($A82="","",IFERROR(INDEX(Sheet1!$T:$T,MATCH($A82,Sheet1!$A:$A,0)),_xll.BDP($A82&amp;" Corp","RTG_SP")))</f>
        <v/>
      </c>
      <c r="U82" s="83">
        <f>IF($A82="","",IFERROR(INDEX(Sheet1!$U:$U,MATCH($A82,Sheet1!$A:$A,0)),""))</f>
        <v/>
      </c>
      <c r="W82" s="81">
        <f>IF($A82="","",N82-_xll.BDP($A82&amp;" Corp","YAS_OAS_SPRD","SETTLE_DT",Company_desc!$A$1))</f>
        <v/>
      </c>
      <c r="X82" s="81">
        <f>IF($A82="","",N82-_xll.BDP($A82&amp;" Corp","YAS_OAS_SPRD","SETTLE_DT",Company_desc!$A$2))</f>
        <v/>
      </c>
      <c r="Y82" s="80">
        <f>IF($A82="","",N82-_xll.BDP($A82&amp;" Corp","YAS_OAS_SPRD","SETTLE_DT",Company_desc!$D$1))</f>
        <v/>
      </c>
      <c r="Z82" s="82">
        <f>IF($A82="","",K82-_xll.BDP($A82&amp;" Corp","YAS_BOND_YLD","YAS_YLD_FLAG=15","SETTLE_DT",Company_desc!$D$1))</f>
        <v/>
      </c>
      <c r="AA82" s="80">
        <f>IF($A82="","",_xll.BDP($A82&amp;" Corp","YAS_OAS_SPRD","SETTLE_DT",Company_desc!$D$1))</f>
        <v/>
      </c>
    </row>
    <row r="83">
      <c r="B83" s="75">
        <f>IF($A83="","",IFERROR(INDEX(Sheet1!$B:$B,MATCH($A83,Sheet1!$A:$A,0)),""))</f>
        <v/>
      </c>
      <c r="C83" s="75">
        <f>IF($A83="","",PROPER(_xll.BDP($A83&amp;" Corp","NAME")))</f>
        <v/>
      </c>
      <c r="D83" s="76">
        <f>IF($A83="","",_xll.BDP($A83&amp;" Corp","CPN"))</f>
        <v/>
      </c>
      <c r="E83" s="75">
        <f>IF($A83="","",_xll.BDP($A83&amp;" Corp","PAYMENT_RANK"))</f>
        <v/>
      </c>
      <c r="F83" s="100">
        <f>IF($A83="","",_xll.BDP($A83&amp;" Corp","MATURITY"))</f>
        <v/>
      </c>
      <c r="G83" s="75">
        <f>IF($A83="","",PROPER(_xll.BDP($A83&amp;" Corp","COUNTRY_FULL_NAME")))</f>
        <v/>
      </c>
      <c r="H83" s="75">
        <f>IF($A83="","",_xll.BDP($A83&amp;" Corp","INDUSTRY_SECTOR"))</f>
        <v/>
      </c>
      <c r="I83" s="101">
        <f>IF($A83="","",IFERROR(_xll.BDP($A83&amp;" Corp","MIN_PIECE")/1000,""))</f>
        <v/>
      </c>
      <c r="J83" s="31">
        <f>IF($A83="","",_xll.BDP($A83&amp;" Corp","PX_LAST"))</f>
        <v/>
      </c>
      <c r="K83" s="31">
        <f>IF($A83="","",_xll.BDP($A83&amp;" Corp","YAS_BOND_YLD","YAS_YLD_FLAG=15"))</f>
        <v/>
      </c>
      <c r="L83" s="31">
        <f>IF($A83="","",K83-_xll.BDP($A83&amp;" Corp","YAS_BOND_YLD","YAS_YLD_FLAG=15","SETTLE_DT",Company_desc!$A$1))</f>
        <v/>
      </c>
      <c r="M83" s="31">
        <f>IF($A83="","",K83-_xll.BDP($A83&amp;" Corp","YAS_BOND_YLD","YAS_YLD_FLAG=15","SETTLE_DT",Company_desc!$A$2))</f>
        <v/>
      </c>
      <c r="N83" s="79">
        <f>IF($A83="","",_xll.BDP($A83&amp;" Corp","YAS_OAS_SPRD"))</f>
        <v/>
      </c>
      <c r="O83" s="67">
        <f>IF($A83="","",_xll.BDP($A83&amp;" Corp","YAS_MOD_DUR"))</f>
        <v/>
      </c>
      <c r="P83" s="80">
        <f>IF($A83="","",IFERROR(INDEX(Sheet1!$P:$P,MATCH($A83,Sheet1!$A:$A,0)),""))</f>
        <v/>
      </c>
      <c r="Q83" s="75">
        <f>IF($A83="","",IFERROR(INDEX(Company_desc!$C:$C,MATCH($A83,Company_desc!$A:$A,0)),IFERROR(INDEX(Sheet1!$Q:$Q,MATCH($A83,Sheet1!$A:$A,0)),"")))</f>
        <v/>
      </c>
      <c r="R83" s="75">
        <f>IF($A83="","",_xll.BDP($A83&amp;" Corp","CRNCY"))</f>
        <v/>
      </c>
      <c r="S83" s="75">
        <f>IF($A83="","",IFERROR(INDEX(Sheet1!$S:$S,MATCH($A83,Sheet1!$A:$A,0)),""))</f>
        <v/>
      </c>
      <c r="T83" s="75">
        <f>IF($A83="","",IFERROR(INDEX(Sheet1!$T:$T,MATCH($A83,Sheet1!$A:$A,0)),_xll.BDP($A83&amp;" Corp","RTG_SP")))</f>
        <v/>
      </c>
      <c r="U83" s="75">
        <f>IF($A83="","",IFERROR(INDEX(Sheet1!$U:$U,MATCH($A83,Sheet1!$A:$A,0)),""))</f>
        <v/>
      </c>
      <c r="W83" s="81">
        <f>IF($A83="","",N83-_xll.BDP($A83&amp;" Corp","YAS_OAS_SPRD","SETTLE_DT",Company_desc!$A$1))</f>
        <v/>
      </c>
      <c r="X83" s="81">
        <f>IF($A83="","",N83-_xll.BDP($A83&amp;" Corp","YAS_OAS_SPRD","SETTLE_DT",Company_desc!$A$2))</f>
        <v/>
      </c>
      <c r="Y83" s="80">
        <f>IF($A83="","",N83-_xll.BDP($A83&amp;" Corp","YAS_OAS_SPRD","SETTLE_DT",Company_desc!$D$1))</f>
        <v/>
      </c>
      <c r="Z83" s="82">
        <f>IF($A83="","",K83-_xll.BDP($A83&amp;" Corp","YAS_BOND_YLD","YAS_YLD_FLAG=15","SETTLE_DT",Company_desc!$D$1))</f>
        <v/>
      </c>
      <c r="AA83" s="80">
        <f>IF($A83="","",_xll.BDP($A83&amp;" Corp","YAS_OAS_SPRD","SETTLE_DT",Company_desc!$D$1))</f>
        <v/>
      </c>
    </row>
    <row r="84">
      <c r="B84" s="75">
        <f>IF($A84="","",IFERROR(INDEX(Sheet1!$B:$B,MATCH($A84,Sheet1!$A:$A,0)),""))</f>
        <v/>
      </c>
      <c r="C84" s="75">
        <f>IF($A84="","",PROPER(_xll.BDP($A84&amp;" Corp","NAME")))</f>
        <v/>
      </c>
      <c r="D84" s="76">
        <f>IF($A84="","",_xll.BDP($A84&amp;" Corp","CPN"))</f>
        <v/>
      </c>
      <c r="E84" s="75">
        <f>IF($A84="","",_xll.BDP($A84&amp;" Corp","PAYMENT_RANK"))</f>
        <v/>
      </c>
      <c r="F84" s="100">
        <f>IF($A84="","",_xll.BDP($A84&amp;" Corp","MATURITY"))</f>
        <v/>
      </c>
      <c r="G84" s="75">
        <f>IF($A84="","",PROPER(_xll.BDP($A84&amp;" Corp","COUNTRY_FULL_NAME")))</f>
        <v/>
      </c>
      <c r="H84" s="75">
        <f>IF($A84="","",_xll.BDP($A84&amp;" Corp","INDUSTRY_SECTOR"))</f>
        <v/>
      </c>
      <c r="I84" s="101">
        <f>IF($A84="","",IFERROR(_xll.BDP($A84&amp;" Corp","MIN_PIECE")/1000,""))</f>
        <v/>
      </c>
      <c r="J84" s="31">
        <f>IF($A84="","",_xll.BDP($A84&amp;" Corp","PX_LAST"))</f>
        <v/>
      </c>
      <c r="K84" s="31">
        <f>IF($A84="","",_xll.BDP($A84&amp;" Corp","YAS_BOND_YLD","YAS_YLD_FLAG=15"))</f>
        <v/>
      </c>
      <c r="L84" s="31">
        <f>IF($A84="","",K84-_xll.BDP($A84&amp;" Corp","YAS_BOND_YLD","YAS_YLD_FLAG=15","SETTLE_DT",Company_desc!$A$1))</f>
        <v/>
      </c>
      <c r="M84" s="31">
        <f>IF($A84="","",K84-_xll.BDP($A84&amp;" Corp","YAS_BOND_YLD","YAS_YLD_FLAG=15","SETTLE_DT",Company_desc!$A$2))</f>
        <v/>
      </c>
      <c r="N84" s="79">
        <f>IF($A84="","",_xll.BDP($A84&amp;" Corp","YAS_OAS_SPRD"))</f>
        <v/>
      </c>
      <c r="O84" s="67">
        <f>IF($A84="","",_xll.BDP($A84&amp;" Corp","YAS_MOD_DUR"))</f>
        <v/>
      </c>
      <c r="P84" s="80">
        <f>IF($A84="","",IFERROR(INDEX(Sheet1!$P:$P,MATCH($A84,Sheet1!$A:$A,0)),""))</f>
        <v/>
      </c>
      <c r="Q84" s="75">
        <f>IF($A84="","",IFERROR(INDEX(Company_desc!$C:$C,MATCH($A84,Company_desc!$A:$A,0)),IFERROR(INDEX(Sheet1!$Q:$Q,MATCH($A84,Sheet1!$A:$A,0)),"")))</f>
        <v/>
      </c>
      <c r="R84" s="75">
        <f>IF($A84="","",_xll.BDP($A84&amp;" Corp","CRNCY"))</f>
        <v/>
      </c>
      <c r="S84" s="75">
        <f>IF($A84="","",IFERROR(INDEX(Sheet1!$S:$S,MATCH($A84,Sheet1!$A:$A,0)),""))</f>
        <v/>
      </c>
      <c r="T84" s="75">
        <f>IF($A84="","",IFERROR(INDEX(Sheet1!$T:$T,MATCH($A84,Sheet1!$A:$A,0)),_xll.BDP($A84&amp;" Corp","RTG_SP")))</f>
        <v/>
      </c>
      <c r="U84" s="75">
        <f>IF($A84="","",IFERROR(INDEX(Sheet1!$U:$U,MATCH($A84,Sheet1!$A:$A,0)),""))</f>
        <v/>
      </c>
      <c r="W84" s="81">
        <f>IF($A84="","",N84-_xll.BDP($A84&amp;" Corp","YAS_OAS_SPRD","SETTLE_DT",Company_desc!$A$1))</f>
        <v/>
      </c>
      <c r="X84" s="81">
        <f>IF($A84="","",N84-_xll.BDP($A84&amp;" Corp","YAS_OAS_SPRD","SETTLE_DT",Company_desc!$A$2))</f>
        <v/>
      </c>
      <c r="Y84" s="80">
        <f>IF($A84="","",N84-_xll.BDP($A84&amp;" Corp","YAS_OAS_SPRD","SETTLE_DT",Company_desc!$D$1))</f>
        <v/>
      </c>
      <c r="Z84" s="82">
        <f>IF($A84="","",K84-_xll.BDP($A84&amp;" Corp","YAS_BOND_YLD","YAS_YLD_FLAG=15","SETTLE_DT",Company_desc!$D$1))</f>
        <v/>
      </c>
      <c r="AA84" s="80">
        <f>IF($A84="","",_xll.BDP($A84&amp;" Corp","YAS_OAS_SPRD","SETTLE_DT",Company_desc!$D$1))</f>
        <v/>
      </c>
    </row>
    <row r="85">
      <c r="B85" s="75">
        <f>IF($A85="","",IFERROR(INDEX(Sheet1!$B:$B,MATCH($A85,Sheet1!$A:$A,0)),""))</f>
        <v/>
      </c>
      <c r="C85" s="75">
        <f>IF($A85="","",PROPER(_xll.BDP($A85&amp;" Corp","NAME")))</f>
        <v/>
      </c>
      <c r="D85" s="76">
        <f>IF($A85="","",_xll.BDP($A85&amp;" Corp","CPN"))</f>
        <v/>
      </c>
      <c r="E85" s="75">
        <f>IF($A85="","",_xll.BDP($A85&amp;" Corp","PAYMENT_RANK"))</f>
        <v/>
      </c>
      <c r="F85" s="100">
        <f>IF($A85="","",_xll.BDP($A85&amp;" Corp","MATURITY"))</f>
        <v/>
      </c>
      <c r="G85" s="75">
        <f>IF($A85="","",PROPER(_xll.BDP($A85&amp;" Corp","COUNTRY_FULL_NAME")))</f>
        <v/>
      </c>
      <c r="H85" s="75">
        <f>IF($A85="","",_xll.BDP($A85&amp;" Corp","INDUSTRY_SECTOR"))</f>
        <v/>
      </c>
      <c r="I85" s="101">
        <f>IF($A85="","",IFERROR(_xll.BDP($A85&amp;" Corp","MIN_PIECE")/1000,""))</f>
        <v/>
      </c>
      <c r="J85" s="31">
        <f>IF($A85="","",_xll.BDP($A85&amp;" Corp","PX_LAST"))</f>
        <v/>
      </c>
      <c r="K85" s="31">
        <f>IF($A85="","",_xll.BDP($A85&amp;" Corp","YAS_BOND_YLD","YAS_YLD_FLAG=15"))</f>
        <v/>
      </c>
      <c r="L85" s="31">
        <f>IF($A85="","",K85-_xll.BDP($A85&amp;" Corp","YAS_BOND_YLD","YAS_YLD_FLAG=15","SETTLE_DT",Company_desc!$A$1))</f>
        <v/>
      </c>
      <c r="M85" s="31">
        <f>IF($A85="","",K85-_xll.BDP($A85&amp;" Corp","YAS_BOND_YLD","YAS_YLD_FLAG=15","SETTLE_DT",Company_desc!$A$2))</f>
        <v/>
      </c>
      <c r="N85" s="79">
        <f>IF($A85="","",_xll.BDP($A85&amp;" Corp","YAS_OAS_SPRD"))</f>
        <v/>
      </c>
      <c r="O85" s="67">
        <f>IF($A85="","",_xll.BDP($A85&amp;" Corp","YAS_MOD_DUR"))</f>
        <v/>
      </c>
      <c r="P85" s="80">
        <f>IF($A85="","",IFERROR(INDEX(Sheet1!$P:$P,MATCH($A85,Sheet1!$A:$A,0)),""))</f>
        <v/>
      </c>
      <c r="Q85" s="75">
        <f>IF($A85="","",IFERROR(INDEX(Company_desc!$C:$C,MATCH($A85,Company_desc!$A:$A,0)),IFERROR(INDEX(Sheet1!$Q:$Q,MATCH($A85,Sheet1!$A:$A,0)),"")))</f>
        <v/>
      </c>
      <c r="R85" s="75">
        <f>IF($A85="","",_xll.BDP($A85&amp;" Corp","CRNCY"))</f>
        <v/>
      </c>
      <c r="S85" s="75">
        <f>IF($A85="","",IFERROR(INDEX(Sheet1!$S:$S,MATCH($A85,Sheet1!$A:$A,0)),""))</f>
        <v/>
      </c>
      <c r="T85" s="75">
        <f>IF($A85="","",IFERROR(INDEX(Sheet1!$T:$T,MATCH($A85,Sheet1!$A:$A,0)),_xll.BDP($A85&amp;" Corp","RTG_SP")))</f>
        <v/>
      </c>
      <c r="U85" s="75">
        <f>IF($A85="","",IFERROR(INDEX(Sheet1!$U:$U,MATCH($A85,Sheet1!$A:$A,0)),""))</f>
        <v/>
      </c>
      <c r="W85" s="81">
        <f>IF($A85="","",N85-_xll.BDP($A85&amp;" Corp","YAS_OAS_SPRD","SETTLE_DT",Company_desc!$A$1))</f>
        <v/>
      </c>
      <c r="X85" s="81">
        <f>IF($A85="","",N85-_xll.BDP($A85&amp;" Corp","YAS_OAS_SPRD","SETTLE_DT",Company_desc!$A$2))</f>
        <v/>
      </c>
      <c r="Y85" s="80">
        <f>IF($A85="","",N85-_xll.BDP($A85&amp;" Corp","YAS_OAS_SPRD","SETTLE_DT",Company_desc!$D$1))</f>
        <v/>
      </c>
      <c r="Z85" s="82">
        <f>IF($A85="","",K85-_xll.BDP($A85&amp;" Corp","YAS_BOND_YLD","YAS_YLD_FLAG=15","SETTLE_DT",Company_desc!$D$1))</f>
        <v/>
      </c>
      <c r="AA85" s="80">
        <f>IF($A85="","",_xll.BDP($A85&amp;" Corp","YAS_OAS_SPRD","SETTLE_DT",Company_desc!$D$1))</f>
        <v/>
      </c>
    </row>
    <row r="86">
      <c r="B86" s="75">
        <f>IF($A86="","",IFERROR(INDEX(Sheet1!$B:$B,MATCH($A86,Sheet1!$A:$A,0)),""))</f>
        <v/>
      </c>
      <c r="C86" s="75">
        <f>IF($A86="","",PROPER(_xll.BDP($A86&amp;" Corp","NAME")))</f>
        <v/>
      </c>
      <c r="D86" s="76">
        <f>IF($A86="","",_xll.BDP($A86&amp;" Corp","CPN"))</f>
        <v/>
      </c>
      <c r="E86" s="75">
        <f>IF($A86="","",_xll.BDP($A86&amp;" Corp","PAYMENT_RANK"))</f>
        <v/>
      </c>
      <c r="F86" s="100">
        <f>IF($A86="","",_xll.BDP($A86&amp;" Corp","MATURITY"))</f>
        <v/>
      </c>
      <c r="G86" s="75">
        <f>IF($A86="","",PROPER(_xll.BDP($A86&amp;" Corp","COUNTRY_FULL_NAME")))</f>
        <v/>
      </c>
      <c r="H86" s="75">
        <f>IF($A86="","",_xll.BDP($A86&amp;" Corp","INDUSTRY_SECTOR"))</f>
        <v/>
      </c>
      <c r="I86" s="101">
        <f>IF($A86="","",IFERROR(_xll.BDP($A86&amp;" Corp","MIN_PIECE")/1000,""))</f>
        <v/>
      </c>
      <c r="J86" s="31">
        <f>IF($A86="","",_xll.BDP($A86&amp;" Corp","PX_LAST"))</f>
        <v/>
      </c>
      <c r="K86" s="31">
        <f>IF($A86="","",_xll.BDP($A86&amp;" Corp","YAS_BOND_YLD","YAS_YLD_FLAG=15"))</f>
        <v/>
      </c>
      <c r="L86" s="31">
        <f>IF($A86="","",K86-_xll.BDP($A86&amp;" Corp","YAS_BOND_YLD","YAS_YLD_FLAG=15","SETTLE_DT",Company_desc!$A$1))</f>
        <v/>
      </c>
      <c r="M86" s="31">
        <f>IF($A86="","",K86-_xll.BDP($A86&amp;" Corp","YAS_BOND_YLD","YAS_YLD_FLAG=15","SETTLE_DT",Company_desc!$A$2))</f>
        <v/>
      </c>
      <c r="N86" s="79">
        <f>IF($A86="","",_xll.BDP($A86&amp;" Corp","YAS_OAS_SPRD"))</f>
        <v/>
      </c>
      <c r="O86" s="67">
        <f>IF($A86="","",_xll.BDP($A86&amp;" Corp","YAS_MOD_DUR"))</f>
        <v/>
      </c>
      <c r="P86" s="80">
        <f>IF($A86="","",IFERROR(INDEX(Sheet1!$P:$P,MATCH($A86,Sheet1!$A:$A,0)),""))</f>
        <v/>
      </c>
      <c r="Q86" s="75">
        <f>IF($A86="","",IFERROR(INDEX(Company_desc!$C:$C,MATCH($A86,Company_desc!$A:$A,0)),IFERROR(INDEX(Sheet1!$Q:$Q,MATCH($A86,Sheet1!$A:$A,0)),"")))</f>
        <v/>
      </c>
      <c r="R86" s="75">
        <f>IF($A86="","",_xll.BDP($A86&amp;" Corp","CRNCY"))</f>
        <v/>
      </c>
      <c r="S86" s="75">
        <f>IF($A86="","",IFERROR(INDEX(Sheet1!$S:$S,MATCH($A86,Sheet1!$A:$A,0)),""))</f>
        <v/>
      </c>
      <c r="T86" s="75">
        <f>IF($A86="","",IFERROR(INDEX(Sheet1!$T:$T,MATCH($A86,Sheet1!$A:$A,0)),_xll.BDP($A86&amp;" Corp","RTG_SP")))</f>
        <v/>
      </c>
      <c r="U86" s="75">
        <f>IF($A86="","",IFERROR(INDEX(Sheet1!$U:$U,MATCH($A86,Sheet1!$A:$A,0)),""))</f>
        <v/>
      </c>
      <c r="W86" s="81">
        <f>IF($A86="","",N86-_xll.BDP($A86&amp;" Corp","YAS_OAS_SPRD","SETTLE_DT",Company_desc!$A$1))</f>
        <v/>
      </c>
      <c r="X86" s="81">
        <f>IF($A86="","",N86-_xll.BDP($A86&amp;" Corp","YAS_OAS_SPRD","SETTLE_DT",Company_desc!$A$2))</f>
        <v/>
      </c>
      <c r="Y86" s="80">
        <f>IF($A86="","",N86-_xll.BDP($A86&amp;" Corp","YAS_OAS_SPRD","SETTLE_DT",Company_desc!$D$1))</f>
        <v/>
      </c>
      <c r="Z86" s="82">
        <f>IF($A86="","",K86-_xll.BDP($A86&amp;" Corp","YAS_BOND_YLD","YAS_YLD_FLAG=15","SETTLE_DT",Company_desc!$D$1))</f>
        <v/>
      </c>
      <c r="AA86" s="80">
        <f>IF($A86="","",_xll.BDP($A86&amp;" Corp","YAS_OAS_SPRD","SETTLE_DT",Company_desc!$D$1))</f>
        <v/>
      </c>
    </row>
    <row r="87">
      <c r="B87" s="75">
        <f>IF($A87="","",IFERROR(INDEX(Sheet1!$B:$B,MATCH($A87,Sheet1!$A:$A,0)),""))</f>
        <v/>
      </c>
      <c r="C87" s="75">
        <f>IF($A87="","",PROPER(_xll.BDP($A87&amp;" Corp","NAME")))</f>
        <v/>
      </c>
      <c r="D87" s="76">
        <f>IF($A87="","",_xll.BDP($A87&amp;" Corp","CPN"))</f>
        <v/>
      </c>
      <c r="E87" s="75">
        <f>IF($A87="","",_xll.BDP($A87&amp;" Corp","PAYMENT_RANK"))</f>
        <v/>
      </c>
      <c r="F87" s="100">
        <f>IF($A87="","",_xll.BDP($A87&amp;" Corp","MATURITY"))</f>
        <v/>
      </c>
      <c r="G87" s="75">
        <f>IF($A87="","",PROPER(_xll.BDP($A87&amp;" Corp","COUNTRY_FULL_NAME")))</f>
        <v/>
      </c>
      <c r="H87" s="75">
        <f>IF($A87="","",_xll.BDP($A87&amp;" Corp","INDUSTRY_SECTOR"))</f>
        <v/>
      </c>
      <c r="I87" s="101">
        <f>IF($A87="","",IFERROR(_xll.BDP($A87&amp;" Corp","MIN_PIECE")/1000,""))</f>
        <v/>
      </c>
      <c r="J87" s="31">
        <f>IF($A87="","",_xll.BDP($A87&amp;" Corp","PX_LAST"))</f>
        <v/>
      </c>
      <c r="K87" s="31">
        <f>IF($A87="","",_xll.BDP($A87&amp;" Corp","YAS_BOND_YLD","YAS_YLD_FLAG=15"))</f>
        <v/>
      </c>
      <c r="L87" s="31">
        <f>IF($A87="","",K87-_xll.BDP($A87&amp;" Corp","YAS_BOND_YLD","YAS_YLD_FLAG=15","SETTLE_DT",Company_desc!$A$1))</f>
        <v/>
      </c>
      <c r="M87" s="31">
        <f>IF($A87="","",K87-_xll.BDP($A87&amp;" Corp","YAS_BOND_YLD","YAS_YLD_FLAG=15","SETTLE_DT",Company_desc!$A$2))</f>
        <v/>
      </c>
      <c r="N87" s="79">
        <f>IF($A87="","",_xll.BDP($A87&amp;" Corp","YAS_OAS_SPRD"))</f>
        <v/>
      </c>
      <c r="O87" s="67">
        <f>IF($A87="","",_xll.BDP($A87&amp;" Corp","YAS_MOD_DUR"))</f>
        <v/>
      </c>
      <c r="P87" s="80">
        <f>IF($A87="","",IFERROR(INDEX(Sheet1!$P:$P,MATCH($A87,Sheet1!$A:$A,0)),""))</f>
        <v/>
      </c>
      <c r="Q87" s="75">
        <f>IF($A87="","",IFERROR(INDEX(Company_desc!$C:$C,MATCH($A87,Company_desc!$A:$A,0)),IFERROR(INDEX(Sheet1!$Q:$Q,MATCH($A87,Sheet1!$A:$A,0)),"")))</f>
        <v/>
      </c>
      <c r="R87" s="75">
        <f>IF($A87="","",_xll.BDP($A87&amp;" Corp","CRNCY"))</f>
        <v/>
      </c>
      <c r="S87" s="75">
        <f>IF($A87="","",IFERROR(INDEX(Sheet1!$S:$S,MATCH($A87,Sheet1!$A:$A,0)),""))</f>
        <v/>
      </c>
      <c r="T87" s="75">
        <f>IF($A87="","",IFERROR(INDEX(Sheet1!$T:$T,MATCH($A87,Sheet1!$A:$A,0)),_xll.BDP($A87&amp;" Corp","RTG_SP")))</f>
        <v/>
      </c>
      <c r="U87" s="75">
        <f>IF($A87="","",IFERROR(INDEX(Sheet1!$U:$U,MATCH($A87,Sheet1!$A:$A,0)),""))</f>
        <v/>
      </c>
      <c r="W87" s="81">
        <f>IF($A87="","",N87-_xll.BDP($A87&amp;" Corp","YAS_OAS_SPRD","SETTLE_DT",Company_desc!$A$1))</f>
        <v/>
      </c>
      <c r="X87" s="81">
        <f>IF($A87="","",N87-_xll.BDP($A87&amp;" Corp","YAS_OAS_SPRD","SETTLE_DT",Company_desc!$A$2))</f>
        <v/>
      </c>
      <c r="Y87" s="80">
        <f>IF($A87="","",N87-_xll.BDP($A87&amp;" Corp","YAS_OAS_SPRD","SETTLE_DT",Company_desc!$D$1))</f>
        <v/>
      </c>
      <c r="Z87" s="82">
        <f>IF($A87="","",K87-_xll.BDP($A87&amp;" Corp","YAS_BOND_YLD","YAS_YLD_FLAG=15","SETTLE_DT",Company_desc!$D$1))</f>
        <v/>
      </c>
      <c r="AA87" s="80">
        <f>IF($A87="","",_xll.BDP($A87&amp;" Corp","YAS_OAS_SPRD","SETTLE_DT",Company_desc!$D$1))</f>
        <v/>
      </c>
    </row>
    <row r="88">
      <c r="B88" s="75">
        <f>IF($A88="","",IFERROR(INDEX(Sheet1!$B:$B,MATCH($A88,Sheet1!$A:$A,0)),""))</f>
        <v/>
      </c>
      <c r="C88" s="75">
        <f>IF($A88="","",PROPER(_xll.BDP($A88&amp;" Corp","NAME")))</f>
        <v/>
      </c>
      <c r="D88" s="76">
        <f>IF($A88="","",_xll.BDP($A88&amp;" Corp","CPN"))</f>
        <v/>
      </c>
      <c r="E88" s="75">
        <f>IF($A88="","",_xll.BDP($A88&amp;" Corp","PAYMENT_RANK"))</f>
        <v/>
      </c>
      <c r="F88" s="100">
        <f>IF($A88="","",_xll.BDP($A88&amp;" Corp","MATURITY"))</f>
        <v/>
      </c>
      <c r="G88" s="75">
        <f>IF($A88="","",PROPER(_xll.BDP($A88&amp;" Corp","COUNTRY_FULL_NAME")))</f>
        <v/>
      </c>
      <c r="H88" s="75">
        <f>IF($A88="","",_xll.BDP($A88&amp;" Corp","INDUSTRY_SECTOR"))</f>
        <v/>
      </c>
      <c r="I88" s="101">
        <f>IF($A88="","",IFERROR(_xll.BDP($A88&amp;" Corp","MIN_PIECE")/1000,""))</f>
        <v/>
      </c>
      <c r="J88" s="31">
        <f>IF($A88="","",_xll.BDP($A88&amp;" Corp","PX_LAST"))</f>
        <v/>
      </c>
      <c r="K88" s="31">
        <f>IF($A88="","",_xll.BDP($A88&amp;" Corp","YAS_BOND_YLD","YAS_YLD_FLAG=15"))</f>
        <v/>
      </c>
      <c r="L88" s="31">
        <f>IF($A88="","",K88-_xll.BDP($A88&amp;" Corp","YAS_BOND_YLD","YAS_YLD_FLAG=15","SETTLE_DT",Company_desc!$A$1))</f>
        <v/>
      </c>
      <c r="M88" s="31">
        <f>IF($A88="","",K88-_xll.BDP($A88&amp;" Corp","YAS_BOND_YLD","YAS_YLD_FLAG=15","SETTLE_DT",Company_desc!$A$2))</f>
        <v/>
      </c>
      <c r="N88" s="79">
        <f>IF($A88="","",_xll.BDP($A88&amp;" Corp","YAS_OAS_SPRD"))</f>
        <v/>
      </c>
      <c r="O88" s="67">
        <f>IF($A88="","",_xll.BDP($A88&amp;" Corp","YAS_MOD_DUR"))</f>
        <v/>
      </c>
      <c r="P88" s="80">
        <f>IF($A88="","",IFERROR(INDEX(Sheet1!$P:$P,MATCH($A88,Sheet1!$A:$A,0)),""))</f>
        <v/>
      </c>
      <c r="Q88" s="75">
        <f>IF($A88="","",IFERROR(INDEX(Company_desc!$C:$C,MATCH($A88,Company_desc!$A:$A,0)),IFERROR(INDEX(Sheet1!$Q:$Q,MATCH($A88,Sheet1!$A:$A,0)),"")))</f>
        <v/>
      </c>
      <c r="R88" s="75">
        <f>IF($A88="","",_xll.BDP($A88&amp;" Corp","CRNCY"))</f>
        <v/>
      </c>
      <c r="S88" s="75">
        <f>IF($A88="","",IFERROR(INDEX(Sheet1!$S:$S,MATCH($A88,Sheet1!$A:$A,0)),""))</f>
        <v/>
      </c>
      <c r="T88" s="75">
        <f>IF($A88="","",IFERROR(INDEX(Sheet1!$T:$T,MATCH($A88,Sheet1!$A:$A,0)),_xll.BDP($A88&amp;" Corp","RTG_SP")))</f>
        <v/>
      </c>
      <c r="U88" s="75">
        <f>IF($A88="","",IFERROR(INDEX(Sheet1!$U:$U,MATCH($A88,Sheet1!$A:$A,0)),""))</f>
        <v/>
      </c>
      <c r="W88" s="81">
        <f>IF($A88="","",N88-_xll.BDP($A88&amp;" Corp","YAS_OAS_SPRD","SETTLE_DT",Company_desc!$A$1))</f>
        <v/>
      </c>
      <c r="X88" s="81">
        <f>IF($A88="","",N88-_xll.BDP($A88&amp;" Corp","YAS_OAS_SPRD","SETTLE_DT",Company_desc!$A$2))</f>
        <v/>
      </c>
      <c r="Y88" s="80">
        <f>IF($A88="","",N88-_xll.BDP($A88&amp;" Corp","YAS_OAS_SPRD","SETTLE_DT",Company_desc!$D$1))</f>
        <v/>
      </c>
      <c r="Z88" s="82">
        <f>IF($A88="","",K88-_xll.BDP($A88&amp;" Corp","YAS_BOND_YLD","YAS_YLD_FLAG=15","SETTLE_DT",Company_desc!$D$1))</f>
        <v/>
      </c>
      <c r="AA88" s="80">
        <f>IF($A88="","",_xll.BDP($A88&amp;" Corp","YAS_OAS_SPRD","SETTLE_DT",Company_desc!$D$1))</f>
        <v/>
      </c>
    </row>
    <row r="89">
      <c r="B89" s="75">
        <f>IF($A89="","",IFERROR(INDEX(Sheet1!$B:$B,MATCH($A89,Sheet1!$A:$A,0)),""))</f>
        <v/>
      </c>
      <c r="C89" s="75">
        <f>IF($A89="","",PROPER(_xll.BDP($A89&amp;" Corp","NAME")))</f>
        <v/>
      </c>
      <c r="D89" s="76">
        <f>IF($A89="","",_xll.BDP($A89&amp;" Corp","CPN"))</f>
        <v/>
      </c>
      <c r="E89" s="75">
        <f>IF($A89="","",_xll.BDP($A89&amp;" Corp","PAYMENT_RANK"))</f>
        <v/>
      </c>
      <c r="F89" s="100">
        <f>IF($A89="","",_xll.BDP($A89&amp;" Corp","MATURITY"))</f>
        <v/>
      </c>
      <c r="G89" s="75">
        <f>IF($A89="","",PROPER(_xll.BDP($A89&amp;" Corp","COUNTRY_FULL_NAME")))</f>
        <v/>
      </c>
      <c r="H89" s="75">
        <f>IF($A89="","",_xll.BDP($A89&amp;" Corp","INDUSTRY_SECTOR"))</f>
        <v/>
      </c>
      <c r="I89" s="101">
        <f>IF($A89="","",IFERROR(_xll.BDP($A89&amp;" Corp","MIN_PIECE")/1000,""))</f>
        <v/>
      </c>
      <c r="J89" s="31">
        <f>IF($A89="","",_xll.BDP($A89&amp;" Corp","PX_LAST"))</f>
        <v/>
      </c>
      <c r="K89" s="31">
        <f>IF($A89="","",_xll.BDP($A89&amp;" Corp","YAS_BOND_YLD","YAS_YLD_FLAG=15"))</f>
        <v/>
      </c>
      <c r="L89" s="31">
        <f>IF($A89="","",K89-_xll.BDP($A89&amp;" Corp","YAS_BOND_YLD","YAS_YLD_FLAG=15","SETTLE_DT",Company_desc!$A$1))</f>
        <v/>
      </c>
      <c r="M89" s="31">
        <f>IF($A89="","",K89-_xll.BDP($A89&amp;" Corp","YAS_BOND_YLD","YAS_YLD_FLAG=15","SETTLE_DT",Company_desc!$A$2))</f>
        <v/>
      </c>
      <c r="N89" s="79">
        <f>IF($A89="","",_xll.BDP($A89&amp;" Corp","YAS_OAS_SPRD"))</f>
        <v/>
      </c>
      <c r="O89" s="67">
        <f>IF($A89="","",_xll.BDP($A89&amp;" Corp","YAS_MOD_DUR"))</f>
        <v/>
      </c>
      <c r="P89" s="80">
        <f>IF($A89="","",IFERROR(INDEX(Sheet1!$P:$P,MATCH($A89,Sheet1!$A:$A,0)),""))</f>
        <v/>
      </c>
      <c r="Q89" s="75">
        <f>IF($A89="","",IFERROR(INDEX(Company_desc!$C:$C,MATCH($A89,Company_desc!$A:$A,0)),IFERROR(INDEX(Sheet1!$Q:$Q,MATCH($A89,Sheet1!$A:$A,0)),"")))</f>
        <v/>
      </c>
      <c r="R89" s="75">
        <f>IF($A89="","",_xll.BDP($A89&amp;" Corp","CRNCY"))</f>
        <v/>
      </c>
      <c r="S89" s="75">
        <f>IF($A89="","",IFERROR(INDEX(Sheet1!$S:$S,MATCH($A89,Sheet1!$A:$A,0)),""))</f>
        <v/>
      </c>
      <c r="T89" s="75">
        <f>IF($A89="","",IFERROR(INDEX(Sheet1!$T:$T,MATCH($A89,Sheet1!$A:$A,0)),_xll.BDP($A89&amp;" Corp","RTG_SP")))</f>
        <v/>
      </c>
      <c r="U89" s="75">
        <f>IF($A89="","",IFERROR(INDEX(Sheet1!$U:$U,MATCH($A89,Sheet1!$A:$A,0)),""))</f>
        <v/>
      </c>
      <c r="W89" s="81">
        <f>IF($A89="","",N89-_xll.BDP($A89&amp;" Corp","YAS_OAS_SPRD","SETTLE_DT",Company_desc!$A$1))</f>
        <v/>
      </c>
      <c r="X89" s="81">
        <f>IF($A89="","",N89-_xll.BDP($A89&amp;" Corp","YAS_OAS_SPRD","SETTLE_DT",Company_desc!$A$2))</f>
        <v/>
      </c>
      <c r="Y89" s="80">
        <f>IF($A89="","",N89-_xll.BDP($A89&amp;" Corp","YAS_OAS_SPRD","SETTLE_DT",Company_desc!$D$1))</f>
        <v/>
      </c>
      <c r="Z89" s="82">
        <f>IF($A89="","",K89-_xll.BDP($A89&amp;" Corp","YAS_BOND_YLD","YAS_YLD_FLAG=15","SETTLE_DT",Company_desc!$D$1))</f>
        <v/>
      </c>
      <c r="AA89" s="80">
        <f>IF($A89="","",_xll.BDP($A89&amp;" Corp","YAS_OAS_SPRD","SETTLE_DT",Company_desc!$D$1))</f>
        <v/>
      </c>
    </row>
    <row r="90">
      <c r="B90" s="75">
        <f>IF($A90="","",IFERROR(INDEX(Sheet1!$B:$B,MATCH($A90,Sheet1!$A:$A,0)),""))</f>
        <v/>
      </c>
      <c r="C90" s="75">
        <f>IF($A90="","",PROPER(_xll.BDP($A90&amp;" Corp","NAME")))</f>
        <v/>
      </c>
      <c r="D90" s="76">
        <f>IF($A90="","",_xll.BDP($A90&amp;" Corp","CPN"))</f>
        <v/>
      </c>
      <c r="E90" s="75">
        <f>IF($A90="","",_xll.BDP($A90&amp;" Corp","PAYMENT_RANK"))</f>
        <v/>
      </c>
      <c r="F90" s="100">
        <f>IF($A90="","",_xll.BDP($A90&amp;" Corp","MATURITY"))</f>
        <v/>
      </c>
      <c r="G90" s="75">
        <f>IF($A90="","",PROPER(_xll.BDP($A90&amp;" Corp","COUNTRY_FULL_NAME")))</f>
        <v/>
      </c>
      <c r="H90" s="75">
        <f>IF($A90="","",_xll.BDP($A90&amp;" Corp","INDUSTRY_SECTOR"))</f>
        <v/>
      </c>
      <c r="I90" s="101">
        <f>IF($A90="","",IFERROR(_xll.BDP($A90&amp;" Corp","MIN_PIECE")/1000,""))</f>
        <v/>
      </c>
      <c r="J90" s="31">
        <f>IF($A90="","",_xll.BDP($A90&amp;" Corp","PX_LAST"))</f>
        <v/>
      </c>
      <c r="K90" s="31">
        <f>IF($A90="","",_xll.BDP($A90&amp;" Corp","YAS_BOND_YLD","YAS_YLD_FLAG=15"))</f>
        <v/>
      </c>
      <c r="L90" s="31">
        <f>IF($A90="","",K90-_xll.BDP($A90&amp;" Corp","YAS_BOND_YLD","YAS_YLD_FLAG=15","SETTLE_DT",Company_desc!$A$1))</f>
        <v/>
      </c>
      <c r="M90" s="31">
        <f>IF($A90="","",K90-_xll.BDP($A90&amp;" Corp","YAS_BOND_YLD","YAS_YLD_FLAG=15","SETTLE_DT",Company_desc!$A$2))</f>
        <v/>
      </c>
      <c r="N90" s="79">
        <f>IF($A90="","",_xll.BDP($A90&amp;" Corp","YAS_OAS_SPRD"))</f>
        <v/>
      </c>
      <c r="O90" s="82">
        <f>IF($A90="","",_xll.BDP($A90&amp;" Corp","YAS_MOD_DUR"))</f>
        <v/>
      </c>
      <c r="P90" s="80">
        <f>IF($A90="","",IFERROR(INDEX(Sheet1!$P:$P,MATCH($A90,Sheet1!$A:$A,0)),""))</f>
        <v/>
      </c>
      <c r="Q90" s="75">
        <f>IF($A90="","",IFERROR(INDEX(Company_desc!$C:$C,MATCH($A90,Company_desc!$A:$A,0)),IFERROR(INDEX(Sheet1!$Q:$Q,MATCH($A90,Sheet1!$A:$A,0)),"")))</f>
        <v/>
      </c>
      <c r="R90" s="75">
        <f>IF($A90="","",_xll.BDP($A90&amp;" Corp","CRNCY"))</f>
        <v/>
      </c>
      <c r="S90" s="75">
        <f>IF($A90="","",IFERROR(INDEX(Sheet1!$S:$S,MATCH($A90,Sheet1!$A:$A,0)),""))</f>
        <v/>
      </c>
      <c r="T90" s="75">
        <f>IF($A90="","",IFERROR(INDEX(Sheet1!$T:$T,MATCH($A90,Sheet1!$A:$A,0)),_xll.BDP($A90&amp;" Corp","RTG_SP")))</f>
        <v/>
      </c>
      <c r="U90" s="75">
        <f>IF($A90="","",IFERROR(INDEX(Sheet1!$U:$U,MATCH($A90,Sheet1!$A:$A,0)),""))</f>
        <v/>
      </c>
      <c r="W90" s="81">
        <f>IF($A90="","",N90-_xll.BDP($A90&amp;" Corp","YAS_OAS_SPRD","SETTLE_DT",Company_desc!$A$1))</f>
        <v/>
      </c>
      <c r="X90" s="81">
        <f>IF($A90="","",N90-_xll.BDP($A90&amp;" Corp","YAS_OAS_SPRD","SETTLE_DT",Company_desc!$A$2))</f>
        <v/>
      </c>
      <c r="Y90" s="80">
        <f>IF($A90="","",N90-_xll.BDP($A90&amp;" Corp","YAS_OAS_SPRD","SETTLE_DT",Company_desc!$D$1))</f>
        <v/>
      </c>
      <c r="Z90" s="82">
        <f>IF($A90="","",K90-_xll.BDP($A90&amp;" Corp","YAS_BOND_YLD","YAS_YLD_FLAG=15","SETTLE_DT",Company_desc!$D$1))</f>
        <v/>
      </c>
      <c r="AA90" s="80">
        <f>IF($A90="","",_xll.BDP($A90&amp;" Corp","YAS_OAS_SPRD","SETTLE_DT",Company_desc!$D$1))</f>
        <v/>
      </c>
    </row>
    <row r="91">
      <c r="B91" s="75">
        <f>IF($A91="","",IFERROR(INDEX(Sheet1!$B:$B,MATCH($A91,Sheet1!$A:$A,0)),""))</f>
        <v/>
      </c>
      <c r="C91" s="75">
        <f>IF($A91="","",PROPER(_xll.BDP($A91&amp;" Corp","NAME")))</f>
        <v/>
      </c>
      <c r="D91" s="76">
        <f>IF($A91="","",_xll.BDP($A91&amp;" Corp","CPN"))</f>
        <v/>
      </c>
      <c r="E91" s="75">
        <f>IF($A91="","",_xll.BDP($A91&amp;" Corp","PAYMENT_RANK"))</f>
        <v/>
      </c>
      <c r="F91" s="100">
        <f>IF($A91="","",_xll.BDP($A91&amp;" Corp","MATURITY"))</f>
        <v/>
      </c>
      <c r="G91" s="75">
        <f>IF($A91="","",PROPER(_xll.BDP($A91&amp;" Corp","COUNTRY_FULL_NAME")))</f>
        <v/>
      </c>
      <c r="H91" s="75">
        <f>IF($A91="","",_xll.BDP($A91&amp;" Corp","INDUSTRY_SECTOR"))</f>
        <v/>
      </c>
      <c r="I91" s="101">
        <f>IF($A91="","",IFERROR(_xll.BDP($A91&amp;" Corp","MIN_PIECE")/1000,""))</f>
        <v/>
      </c>
      <c r="J91" s="31">
        <f>IF($A91="","",_xll.BDP($A91&amp;" Corp","PX_LAST"))</f>
        <v/>
      </c>
      <c r="K91" s="31">
        <f>IF($A91="","",_xll.BDP($A91&amp;" Corp","YAS_BOND_YLD","YAS_YLD_FLAG=15"))</f>
        <v/>
      </c>
      <c r="L91" s="31">
        <f>IF($A91="","",K91-_xll.BDP($A91&amp;" Corp","YAS_BOND_YLD","YAS_YLD_FLAG=15","SETTLE_DT",Company_desc!$A$1))</f>
        <v/>
      </c>
      <c r="M91" s="31">
        <f>IF($A91="","",K91-_xll.BDP($A91&amp;" Corp","YAS_BOND_YLD","YAS_YLD_FLAG=15","SETTLE_DT",Company_desc!$A$2))</f>
        <v/>
      </c>
      <c r="N91" s="79">
        <f>IF($A91="","",_xll.BDP($A91&amp;" Corp","YAS_OAS_SPRD"))</f>
        <v/>
      </c>
      <c r="O91" s="67">
        <f>IF($A91="","",_xll.BDP($A91&amp;" Corp","YAS_MOD_DUR"))</f>
        <v/>
      </c>
      <c r="P91" s="80">
        <f>IF($A91="","",IFERROR(INDEX(Sheet1!$P:$P,MATCH($A91,Sheet1!$A:$A,0)),""))</f>
        <v/>
      </c>
      <c r="Q91" s="75">
        <f>IF($A91="","",IFERROR(INDEX(Company_desc!$C:$C,MATCH($A91,Company_desc!$A:$A,0)),IFERROR(INDEX(Sheet1!$Q:$Q,MATCH($A91,Sheet1!$A:$A,0)),"")))</f>
        <v/>
      </c>
      <c r="R91" s="75">
        <f>IF($A91="","",_xll.BDP($A91&amp;" Corp","CRNCY"))</f>
        <v/>
      </c>
      <c r="S91" s="75">
        <f>IF($A91="","",IFERROR(INDEX(Sheet1!$S:$S,MATCH($A91,Sheet1!$A:$A,0)),""))</f>
        <v/>
      </c>
      <c r="T91" s="75">
        <f>IF($A91="","",IFERROR(INDEX(Sheet1!$T:$T,MATCH($A91,Sheet1!$A:$A,0)),_xll.BDP($A91&amp;" Corp","RTG_SP")))</f>
        <v/>
      </c>
      <c r="U91" s="75">
        <f>IF($A91="","",IFERROR(INDEX(Sheet1!$U:$U,MATCH($A91,Sheet1!$A:$A,0)),""))</f>
        <v/>
      </c>
      <c r="W91" s="81">
        <f>IF($A91="","",N91-_xll.BDP($A91&amp;" Corp","YAS_OAS_SPRD","SETTLE_DT",Company_desc!$A$1))</f>
        <v/>
      </c>
      <c r="X91" s="81">
        <f>IF($A91="","",N91-_xll.BDP($A91&amp;" Corp","YAS_OAS_SPRD","SETTLE_DT",Company_desc!$A$2))</f>
        <v/>
      </c>
      <c r="Y91" s="80">
        <f>IF($A91="","",N91-_xll.BDP($A91&amp;" Corp","YAS_OAS_SPRD","SETTLE_DT",Company_desc!$D$1))</f>
        <v/>
      </c>
      <c r="Z91" s="82">
        <f>IF($A91="","",K91-_xll.BDP($A91&amp;" Corp","YAS_BOND_YLD","YAS_YLD_FLAG=15","SETTLE_DT",Company_desc!$D$1))</f>
        <v/>
      </c>
      <c r="AA91" s="80">
        <f>IF($A91="","",_xll.BDP($A91&amp;" Corp","YAS_OAS_SPRD","SETTLE_DT",Company_desc!$D$1))</f>
        <v/>
      </c>
    </row>
    <row r="92">
      <c r="B92" s="28">
        <f>IF($A92="","",IFERROR(INDEX(Sheet1!$B:$B,MATCH($A92,Sheet1!$A:$A,0)),""))</f>
        <v/>
      </c>
      <c r="C92" s="29">
        <f>IF($A92="","",PROPER(_xll.BDP($A92&amp;" Corp","NAME")))</f>
        <v/>
      </c>
      <c r="D92" s="84">
        <f>IF($A92="","",_xll.BDP($A92&amp;" Corp","CPN"))</f>
        <v/>
      </c>
      <c r="E92" s="84">
        <f>IF($A92="","",_xll.BDP($A92&amp;" Corp","PAYMENT_RANK"))</f>
        <v/>
      </c>
      <c r="F92" s="102">
        <f>IF($A92="","",_xll.BDP($A92&amp;" Corp","MATURITY"))</f>
        <v/>
      </c>
      <c r="G92" s="43">
        <f>IF($A92="","",PROPER(_xll.BDP($A92&amp;" Corp","COUNTRY_FULL_NAME")))</f>
        <v/>
      </c>
      <c r="H92" s="29">
        <f>IF($A92="","",_xll.BDP($A92&amp;" Corp","INDUSTRY_SECTOR"))</f>
        <v/>
      </c>
      <c r="I92" s="103">
        <f>IF($A92="","",IFERROR(_xll.BDP($A92&amp;" Corp","MIN_PIECE")/1000,""))</f>
        <v/>
      </c>
      <c r="J92" s="31">
        <f>IF($A92="","",_xll.BDP($A92&amp;" Corp","PX_LAST"))</f>
        <v/>
      </c>
      <c r="K92" s="31">
        <f>IF($A92="","",_xll.BDP($A92&amp;" Corp","YAS_BOND_YLD","YAS_YLD_FLAG=15"))</f>
        <v/>
      </c>
      <c r="L92" s="31">
        <f>IF($A92="","",K92-_xll.BDP($A92&amp;" Corp","YAS_BOND_YLD","YAS_YLD_FLAG=15","SETTLE_DT",Company_desc!$A$1))</f>
        <v/>
      </c>
      <c r="M92" s="31">
        <f>IF($A92="","",K92-_xll.BDP($A92&amp;" Corp","YAS_BOND_YLD","YAS_YLD_FLAG=15","SETTLE_DT",Company_desc!$A$2))</f>
        <v/>
      </c>
      <c r="N92" s="79">
        <f>IF($A92="","",_xll.BDP($A92&amp;" Corp","YAS_OAS_SPRD"))</f>
        <v/>
      </c>
      <c r="O92" s="67">
        <f>IF($A92="","",_xll.BDP($A92&amp;" Corp","YAS_MOD_DUR"))</f>
        <v/>
      </c>
      <c r="P92" s="79">
        <f>IF($A92="","",IFERROR(INDEX(Sheet1!$P:$P,MATCH($A92,Sheet1!$A:$A,0)),""))</f>
        <v/>
      </c>
      <c r="Q92" s="27">
        <f>IF($A92="","",IFERROR(INDEX(Company_desc!$C:$C,MATCH($A92,Company_desc!$A:$A,0)),IFERROR(INDEX(Sheet1!$Q:$Q,MATCH($A92,Sheet1!$A:$A,0)),"")))</f>
        <v/>
      </c>
      <c r="R92" s="27">
        <f>IF($A92="","",_xll.BDP($A92&amp;" Corp","CRNCY"))</f>
        <v/>
      </c>
      <c r="S92" s="27">
        <f>IF($A92="","",IFERROR(INDEX(Sheet1!$S:$S,MATCH($A92,Sheet1!$A:$A,0)),""))</f>
        <v/>
      </c>
      <c r="T92" s="47">
        <f>IF($A92="","",IFERROR(INDEX(Sheet1!$T:$T,MATCH($A92,Sheet1!$A:$A,0)),_xll.BDP($A92&amp;" Corp","RTG_SP")))</f>
        <v/>
      </c>
      <c r="U92" s="75">
        <f>IF($A92="","",IFERROR(INDEX(Sheet1!$U:$U,MATCH($A92,Sheet1!$A:$A,0)),""))</f>
        <v/>
      </c>
      <c r="W92" s="81">
        <f>IF($A92="","",N92-_xll.BDP($A92&amp;" Corp","YAS_OAS_SPRD","SETTLE_DT",Company_desc!$A$1))</f>
        <v/>
      </c>
      <c r="X92" s="81">
        <f>IF($A92="","",N92-_xll.BDP($A92&amp;" Corp","YAS_OAS_SPRD","SETTLE_DT",Company_desc!$A$2))</f>
        <v/>
      </c>
      <c r="Y92" s="80">
        <f>IF($A92="","",N92-_xll.BDP($A92&amp;" Corp","YAS_OAS_SPRD","SETTLE_DT",Company_desc!$D$1))</f>
        <v/>
      </c>
      <c r="Z92" s="82">
        <f>IF($A92="","",K92-_xll.BDP($A92&amp;" Corp","YAS_BOND_YLD","YAS_YLD_FLAG=15","SETTLE_DT",Company_desc!$D$1))</f>
        <v/>
      </c>
      <c r="AA92" s="80">
        <f>IF($A92="","",_xll.BDP($A92&amp;" Corp","YAS_OAS_SPRD","SETTLE_DT",Company_desc!$D$1))</f>
        <v/>
      </c>
    </row>
    <row r="93">
      <c r="B93" s="28">
        <f>IF($A93="","",IFERROR(INDEX(Sheet1!$B:$B,MATCH($A93,Sheet1!$A:$A,0)),""))</f>
        <v/>
      </c>
      <c r="C93" s="29">
        <f>IF($A93="","",PROPER(_xll.BDP($A93&amp;" Corp","NAME")))</f>
        <v/>
      </c>
      <c r="D93" s="84">
        <f>IF($A93="","",_xll.BDP($A93&amp;" Corp","CPN"))</f>
        <v/>
      </c>
      <c r="E93" s="84">
        <f>IF($A93="","",_xll.BDP($A93&amp;" Corp","PAYMENT_RANK"))</f>
        <v/>
      </c>
      <c r="F93" s="102">
        <f>IF($A93="","",_xll.BDP($A93&amp;" Corp","MATURITY"))</f>
        <v/>
      </c>
      <c r="G93" s="43">
        <f>IF($A93="","",PROPER(_xll.BDP($A93&amp;" Corp","COUNTRY_FULL_NAME")))</f>
        <v/>
      </c>
      <c r="H93" s="29">
        <f>IF($A93="","",_xll.BDP($A93&amp;" Corp","INDUSTRY_SECTOR"))</f>
        <v/>
      </c>
      <c r="I93" s="103">
        <f>IF($A93="","",IFERROR(_xll.BDP($A93&amp;" Corp","MIN_PIECE")/1000,""))</f>
        <v/>
      </c>
      <c r="J93" s="31">
        <f>IF($A93="","",_xll.BDP($A93&amp;" Corp","PX_LAST"))</f>
        <v/>
      </c>
      <c r="K93" s="31">
        <f>IF($A93="","",_xll.BDP($A93&amp;" Corp","YAS_BOND_YLD","YAS_YLD_FLAG=15"))</f>
        <v/>
      </c>
      <c r="L93" s="31">
        <f>IF($A93="","",K93-_xll.BDP($A93&amp;" Corp","YAS_BOND_YLD","YAS_YLD_FLAG=15","SETTLE_DT",Company_desc!$A$1))</f>
        <v/>
      </c>
      <c r="M93" s="31">
        <f>IF($A93="","",K93-_xll.BDP($A93&amp;" Corp","YAS_BOND_YLD","YAS_YLD_FLAG=15","SETTLE_DT",Company_desc!$A$2))</f>
        <v/>
      </c>
      <c r="N93" s="79">
        <f>IF($A93="","",_xll.BDP($A93&amp;" Corp","YAS_OAS_SPRD"))</f>
        <v/>
      </c>
      <c r="O93" s="67">
        <f>IF($A93="","",_xll.BDP($A93&amp;" Corp","YAS_MOD_DUR"))</f>
        <v/>
      </c>
      <c r="P93" s="79">
        <f>IF($A93="","",IFERROR(INDEX(Sheet1!$P:$P,MATCH($A93,Sheet1!$A:$A,0)),""))</f>
        <v/>
      </c>
      <c r="Q93" s="27">
        <f>IF($A93="","",IFERROR(INDEX(Company_desc!$C:$C,MATCH($A93,Company_desc!$A:$A,0)),IFERROR(INDEX(Sheet1!$Q:$Q,MATCH($A93,Sheet1!$A:$A,0)),"")))</f>
        <v/>
      </c>
      <c r="R93" s="27">
        <f>IF($A93="","",_xll.BDP($A93&amp;" Corp","CRNCY"))</f>
        <v/>
      </c>
      <c r="S93" s="27">
        <f>IF($A93="","",IFERROR(INDEX(Sheet1!$S:$S,MATCH($A93,Sheet1!$A:$A,0)),""))</f>
        <v/>
      </c>
      <c r="T93" s="47">
        <f>IF($A93="","",IFERROR(INDEX(Sheet1!$T:$T,MATCH($A93,Sheet1!$A:$A,0)),_xll.BDP($A93&amp;" Corp","RTG_SP")))</f>
        <v/>
      </c>
      <c r="U93" s="75">
        <f>IF($A93="","",IFERROR(INDEX(Sheet1!$U:$U,MATCH($A93,Sheet1!$A:$A,0)),""))</f>
        <v/>
      </c>
      <c r="W93" s="81">
        <f>IF($A93="","",N93-_xll.BDP($A93&amp;" Corp","YAS_OAS_SPRD","SETTLE_DT",Company_desc!$A$1))</f>
        <v/>
      </c>
      <c r="X93" s="81">
        <f>IF($A93="","",N93-_xll.BDP($A93&amp;" Corp","YAS_OAS_SPRD","SETTLE_DT",Company_desc!$A$2))</f>
        <v/>
      </c>
      <c r="Y93" s="80">
        <f>IF($A93="","",N93-_xll.BDP($A93&amp;" Corp","YAS_OAS_SPRD","SETTLE_DT",Company_desc!$D$1))</f>
        <v/>
      </c>
      <c r="Z93" s="82">
        <f>IF($A93="","",K93-_xll.BDP($A93&amp;" Corp","YAS_BOND_YLD","YAS_YLD_FLAG=15","SETTLE_DT",Company_desc!$D$1))</f>
        <v/>
      </c>
      <c r="AA93" s="80">
        <f>IF($A93="","",_xll.BDP($A93&amp;" Corp","YAS_OAS_SPRD","SETTLE_DT",Company_desc!$D$1))</f>
        <v/>
      </c>
    </row>
    <row r="94">
      <c r="B94" s="75">
        <f>IF($A94="","",IFERROR(INDEX(Sheet1!$B:$B,MATCH($A94,Sheet1!$A:$A,0)),""))</f>
        <v/>
      </c>
      <c r="C94" s="75">
        <f>IF($A94="","",PROPER(_xll.BDP($A94&amp;" Corp","NAME")))</f>
        <v/>
      </c>
      <c r="D94" s="76">
        <f>IF($A94="","",_xll.BDP($A94&amp;" Corp","CPN"))</f>
        <v/>
      </c>
      <c r="E94" s="75">
        <f>IF($A94="","",_xll.BDP($A94&amp;" Corp","PAYMENT_RANK"))</f>
        <v/>
      </c>
      <c r="F94" s="100">
        <f>IF($A94="","",_xll.BDP($A94&amp;" Corp","MATURITY"))</f>
        <v/>
      </c>
      <c r="G94" s="75">
        <f>IF($A94="","",PROPER(_xll.BDP($A94&amp;" Corp","COUNTRY_FULL_NAME")))</f>
        <v/>
      </c>
      <c r="H94" s="75">
        <f>IF($A94="","",_xll.BDP($A94&amp;" Corp","INDUSTRY_SECTOR"))</f>
        <v/>
      </c>
      <c r="I94" s="101">
        <f>IF($A94="","",IFERROR(_xll.BDP($A94&amp;" Corp","MIN_PIECE")/1000,""))</f>
        <v/>
      </c>
      <c r="J94" s="31">
        <f>IF($A94="","",_xll.BDP($A94&amp;" Corp","PX_LAST"))</f>
        <v/>
      </c>
      <c r="K94" s="31">
        <f>IF($A94="","",_xll.BDP($A94&amp;" Corp","YAS_BOND_YLD","YAS_YLD_FLAG=15"))</f>
        <v/>
      </c>
      <c r="L94" s="31">
        <f>IF($A94="","",K94-_xll.BDP($A94&amp;" Corp","YAS_BOND_YLD","YAS_YLD_FLAG=15","SETTLE_DT",Company_desc!$A$1))</f>
        <v/>
      </c>
      <c r="M94" s="31">
        <f>IF($A94="","",K94-_xll.BDP($A94&amp;" Corp","YAS_BOND_YLD","YAS_YLD_FLAG=15","SETTLE_DT",Company_desc!$A$2))</f>
        <v/>
      </c>
      <c r="N94" s="79">
        <f>IF($A94="","",_xll.BDP($A94&amp;" Corp","YAS_OAS_SPRD"))</f>
        <v/>
      </c>
      <c r="O94" s="67">
        <f>IF($A94="","",_xll.BDP($A94&amp;" Corp","YAS_MOD_DUR"))</f>
        <v/>
      </c>
      <c r="P94" s="80">
        <f>IF($A94="","",IFERROR(INDEX(Sheet1!$P:$P,MATCH($A94,Sheet1!$A:$A,0)),""))</f>
        <v/>
      </c>
      <c r="Q94" s="75">
        <f>IF($A94="","",IFERROR(INDEX(Company_desc!$C:$C,MATCH($A94,Company_desc!$A:$A,0)),IFERROR(INDEX(Sheet1!$Q:$Q,MATCH($A94,Sheet1!$A:$A,0)),"")))</f>
        <v/>
      </c>
      <c r="R94" s="75">
        <f>IF($A94="","",_xll.BDP($A94&amp;" Corp","CRNCY"))</f>
        <v/>
      </c>
      <c r="S94" s="75">
        <f>IF($A94="","",IFERROR(INDEX(Sheet1!$S:$S,MATCH($A94,Sheet1!$A:$A,0)),""))</f>
        <v/>
      </c>
      <c r="T94" s="75">
        <f>IF($A94="","",IFERROR(INDEX(Sheet1!$T:$T,MATCH($A94,Sheet1!$A:$A,0)),_xll.BDP($A94&amp;" Corp","RTG_SP")))</f>
        <v/>
      </c>
      <c r="U94" s="75">
        <f>IF($A94="","",IFERROR(INDEX(Sheet1!$U:$U,MATCH($A94,Sheet1!$A:$A,0)),""))</f>
        <v/>
      </c>
      <c r="W94" s="81">
        <f>IF($A94="","",N94-_xll.BDP($A94&amp;" Corp","YAS_OAS_SPRD","SETTLE_DT",Company_desc!$A$1))</f>
        <v/>
      </c>
      <c r="X94" s="81">
        <f>IF($A94="","",N94-_xll.BDP($A94&amp;" Corp","YAS_OAS_SPRD","SETTLE_DT",Company_desc!$A$2))</f>
        <v/>
      </c>
      <c r="Y94" s="80">
        <f>IF($A94="","",N94-_xll.BDP($A94&amp;" Corp","YAS_OAS_SPRD","SETTLE_DT",Company_desc!$D$1))</f>
        <v/>
      </c>
      <c r="Z94" s="82">
        <f>IF($A94="","",K94-_xll.BDP($A94&amp;" Corp","YAS_BOND_YLD","YAS_YLD_FLAG=15","SETTLE_DT",Company_desc!$D$1))</f>
        <v/>
      </c>
      <c r="AA94" s="80">
        <f>IF($A94="","",_xll.BDP($A94&amp;" Corp","YAS_OAS_SPRD","SETTLE_DT",Company_desc!$D$1))</f>
        <v/>
      </c>
    </row>
    <row r="95">
      <c r="B95" s="75">
        <f>IF($A95="","",IFERROR(INDEX(Sheet1!$B:$B,MATCH($A95,Sheet1!$A:$A,0)),""))</f>
        <v/>
      </c>
      <c r="C95" s="75">
        <f>IF($A95="","",PROPER(_xll.BDP($A95&amp;" Corp","NAME")))</f>
        <v/>
      </c>
      <c r="D95" s="76">
        <f>IF($A95="","",_xll.BDP($A95&amp;" Corp","CPN"))</f>
        <v/>
      </c>
      <c r="E95" s="75">
        <f>IF($A95="","",_xll.BDP($A95&amp;" Corp","PAYMENT_RANK"))</f>
        <v/>
      </c>
      <c r="F95" s="100">
        <f>IF($A95="","",_xll.BDP($A95&amp;" Corp","MATURITY"))</f>
        <v/>
      </c>
      <c r="G95" s="75">
        <f>IF($A95="","",PROPER(_xll.BDP($A95&amp;" Corp","COUNTRY_FULL_NAME")))</f>
        <v/>
      </c>
      <c r="H95" s="75">
        <f>IF($A95="","",_xll.BDP($A95&amp;" Corp","INDUSTRY_SECTOR"))</f>
        <v/>
      </c>
      <c r="I95" s="101">
        <f>IF($A95="","",IFERROR(_xll.BDP($A95&amp;" Corp","MIN_PIECE")/1000,""))</f>
        <v/>
      </c>
      <c r="J95" s="31">
        <f>IF($A95="","",_xll.BDP($A95&amp;" Corp","PX_LAST"))</f>
        <v/>
      </c>
      <c r="K95" s="31">
        <f>IF($A95="","",_xll.BDP($A95&amp;" Corp","YAS_BOND_YLD","YAS_YLD_FLAG=15"))</f>
        <v/>
      </c>
      <c r="L95" s="31">
        <f>IF($A95="","",K95-_xll.BDP($A95&amp;" Corp","YAS_BOND_YLD","YAS_YLD_FLAG=15","SETTLE_DT",Company_desc!$A$1))</f>
        <v/>
      </c>
      <c r="M95" s="31">
        <f>IF($A95="","",K95-_xll.BDP($A95&amp;" Corp","YAS_BOND_YLD","YAS_YLD_FLAG=15","SETTLE_DT",Company_desc!$A$2))</f>
        <v/>
      </c>
      <c r="N95" s="79">
        <f>IF($A95="","",_xll.BDP($A95&amp;" Corp","YAS_OAS_SPRD"))</f>
        <v/>
      </c>
      <c r="O95" s="67">
        <f>IF($A95="","",_xll.BDP($A95&amp;" Corp","YAS_MOD_DUR"))</f>
        <v/>
      </c>
      <c r="P95" s="80">
        <f>IF($A95="","",IFERROR(INDEX(Sheet1!$P:$P,MATCH($A95,Sheet1!$A:$A,0)),""))</f>
        <v/>
      </c>
      <c r="Q95" s="75">
        <f>IF($A95="","",IFERROR(INDEX(Company_desc!$C:$C,MATCH($A95,Company_desc!$A:$A,0)),IFERROR(INDEX(Sheet1!$Q:$Q,MATCH($A95,Sheet1!$A:$A,0)),"")))</f>
        <v/>
      </c>
      <c r="R95" s="75">
        <f>IF($A95="","",_xll.BDP($A95&amp;" Corp","CRNCY"))</f>
        <v/>
      </c>
      <c r="S95" s="75">
        <f>IF($A95="","",IFERROR(INDEX(Sheet1!$S:$S,MATCH($A95,Sheet1!$A:$A,0)),""))</f>
        <v/>
      </c>
      <c r="T95" s="75">
        <f>IF($A95="","",IFERROR(INDEX(Sheet1!$T:$T,MATCH($A95,Sheet1!$A:$A,0)),_xll.BDP($A95&amp;" Corp","RTG_SP")))</f>
        <v/>
      </c>
      <c r="U95" s="75">
        <f>IF($A95="","",IFERROR(INDEX(Sheet1!$U:$U,MATCH($A95,Sheet1!$A:$A,0)),""))</f>
        <v/>
      </c>
      <c r="W95" s="81">
        <f>IF($A95="","",N95-_xll.BDP($A95&amp;" Corp","YAS_OAS_SPRD","SETTLE_DT",Company_desc!$A$1))</f>
        <v/>
      </c>
      <c r="X95" s="81">
        <f>IF($A95="","",N95-_xll.BDP($A95&amp;" Corp","YAS_OAS_SPRD","SETTLE_DT",Company_desc!$A$2))</f>
        <v/>
      </c>
      <c r="Y95" s="80">
        <f>IF($A95="","",N95-_xll.BDP($A95&amp;" Corp","YAS_OAS_SPRD","SETTLE_DT",Company_desc!$D$1))</f>
        <v/>
      </c>
      <c r="Z95" s="82">
        <f>IF($A95="","",K95-_xll.BDP($A95&amp;" Corp","YAS_BOND_YLD","YAS_YLD_FLAG=15","SETTLE_DT",Company_desc!$D$1))</f>
        <v/>
      </c>
      <c r="AA95" s="80">
        <f>IF($A95="","",_xll.BDP($A95&amp;" Corp","YAS_OAS_SPRD","SETTLE_DT",Company_desc!$D$1))</f>
        <v/>
      </c>
    </row>
    <row r="96">
      <c r="B96" s="75">
        <f>IF($A96="","",IFERROR(INDEX(Sheet1!$B:$B,MATCH($A96,Sheet1!$A:$A,0)),""))</f>
        <v/>
      </c>
      <c r="C96" s="75">
        <f>IF($A96="","",PROPER(_xll.BDP($A96&amp;" Corp","NAME")))</f>
        <v/>
      </c>
      <c r="D96" s="76">
        <f>IF($A96="","",_xll.BDP($A96&amp;" Corp","CPN"))</f>
        <v/>
      </c>
      <c r="E96" s="75">
        <f>IF($A96="","",_xll.BDP($A96&amp;" Corp","PAYMENT_RANK"))</f>
        <v/>
      </c>
      <c r="F96" s="100">
        <f>IF($A96="","",_xll.BDP($A96&amp;" Corp","MATURITY"))</f>
        <v/>
      </c>
      <c r="G96" s="75">
        <f>IF($A96="","",PROPER(_xll.BDP($A96&amp;" Corp","COUNTRY_FULL_NAME")))</f>
        <v/>
      </c>
      <c r="H96" s="75">
        <f>IF($A96="","",_xll.BDP($A96&amp;" Corp","INDUSTRY_SECTOR"))</f>
        <v/>
      </c>
      <c r="I96" s="101">
        <f>IF($A96="","",IFERROR(_xll.BDP($A96&amp;" Corp","MIN_PIECE")/1000,""))</f>
        <v/>
      </c>
      <c r="J96" s="31">
        <f>IF($A96="","",_xll.BDP($A96&amp;" Corp","PX_LAST"))</f>
        <v/>
      </c>
      <c r="K96" s="31">
        <f>IF($A96="","",_xll.BDP($A96&amp;" Corp","YAS_BOND_YLD","YAS_YLD_FLAG=15"))</f>
        <v/>
      </c>
      <c r="L96" s="31">
        <f>IF($A96="","",K96-_xll.BDP($A96&amp;" Corp","YAS_BOND_YLD","YAS_YLD_FLAG=15","SETTLE_DT",Company_desc!$A$1))</f>
        <v/>
      </c>
      <c r="M96" s="31">
        <f>IF($A96="","",K96-_xll.BDP($A96&amp;" Corp","YAS_BOND_YLD","YAS_YLD_FLAG=15","SETTLE_DT",Company_desc!$A$2))</f>
        <v/>
      </c>
      <c r="N96" s="79">
        <f>IF($A96="","",_xll.BDP($A96&amp;" Corp","YAS_OAS_SPRD"))</f>
        <v/>
      </c>
      <c r="O96" s="82">
        <f>IF($A96="","",_xll.BDP($A96&amp;" Corp","YAS_MOD_DUR"))</f>
        <v/>
      </c>
      <c r="P96" s="80">
        <f>IF($A96="","",IFERROR(INDEX(Sheet1!$P:$P,MATCH($A96,Sheet1!$A:$A,0)),""))</f>
        <v/>
      </c>
      <c r="Q96" s="75">
        <f>IF($A96="","",IFERROR(INDEX(Company_desc!$C:$C,MATCH($A96,Company_desc!$A:$A,0)),IFERROR(INDEX(Sheet1!$Q:$Q,MATCH($A96,Sheet1!$A:$A,0)),"")))</f>
        <v/>
      </c>
      <c r="R96" s="75">
        <f>IF($A96="","",_xll.BDP($A96&amp;" Corp","CRNCY"))</f>
        <v/>
      </c>
      <c r="S96" s="75">
        <f>IF($A96="","",IFERROR(INDEX(Sheet1!$S:$S,MATCH($A96,Sheet1!$A:$A,0)),""))</f>
        <v/>
      </c>
      <c r="T96" s="75">
        <f>IF($A96="","",IFERROR(INDEX(Sheet1!$T:$T,MATCH($A96,Sheet1!$A:$A,0)),_xll.BDP($A96&amp;" Corp","RTG_SP")))</f>
        <v/>
      </c>
      <c r="U96" s="75">
        <f>IF($A96="","",IFERROR(INDEX(Sheet1!$U:$U,MATCH($A96,Sheet1!$A:$A,0)),""))</f>
        <v/>
      </c>
      <c r="W96" s="81">
        <f>IF($A96="","",N96-_xll.BDP($A96&amp;" Corp","YAS_OAS_SPRD","SETTLE_DT",Company_desc!$A$1))</f>
        <v/>
      </c>
      <c r="X96" s="81">
        <f>IF($A96="","",N96-_xll.BDP($A96&amp;" Corp","YAS_OAS_SPRD","SETTLE_DT",Company_desc!$A$2))</f>
        <v/>
      </c>
      <c r="Y96" s="80">
        <f>IF($A96="","",N96-_xll.BDP($A96&amp;" Corp","YAS_OAS_SPRD","SETTLE_DT",Company_desc!$D$1))</f>
        <v/>
      </c>
      <c r="Z96" s="82">
        <f>IF($A96="","",K96-_xll.BDP($A96&amp;" Corp","YAS_BOND_YLD","YAS_YLD_FLAG=15","SETTLE_DT",Company_desc!$D$1))</f>
        <v/>
      </c>
      <c r="AA96" s="80">
        <f>IF($A96="","",_xll.BDP($A96&amp;" Corp","YAS_OAS_SPRD","SETTLE_DT",Company_desc!$D$1))</f>
        <v/>
      </c>
    </row>
    <row r="97">
      <c r="B97" s="75">
        <f>IF($A97="","",IFERROR(INDEX(Sheet1!$B:$B,MATCH($A97,Sheet1!$A:$A,0)),""))</f>
        <v/>
      </c>
      <c r="C97" s="75">
        <f>IF($A97="","",PROPER(_xll.BDP($A97&amp;" Corp","NAME")))</f>
        <v/>
      </c>
      <c r="D97" s="76">
        <f>IF($A97="","",_xll.BDP($A97&amp;" Corp","CPN"))</f>
        <v/>
      </c>
      <c r="E97" s="75">
        <f>IF($A97="","",_xll.BDP($A97&amp;" Corp","PAYMENT_RANK"))</f>
        <v/>
      </c>
      <c r="F97" s="100">
        <f>IF($A97="","",_xll.BDP($A97&amp;" Corp","MATURITY"))</f>
        <v/>
      </c>
      <c r="G97" s="75">
        <f>IF($A97="","",PROPER(_xll.BDP($A97&amp;" Corp","COUNTRY_FULL_NAME")))</f>
        <v/>
      </c>
      <c r="H97" s="75">
        <f>IF($A97="","",_xll.BDP($A97&amp;" Corp","INDUSTRY_SECTOR"))</f>
        <v/>
      </c>
      <c r="I97" s="101">
        <f>IF($A97="","",IFERROR(_xll.BDP($A97&amp;" Corp","MIN_PIECE")/1000,""))</f>
        <v/>
      </c>
      <c r="J97" s="31">
        <f>IF($A97="","",_xll.BDP($A97&amp;" Corp","PX_LAST"))</f>
        <v/>
      </c>
      <c r="K97" s="31">
        <f>IF($A97="","",_xll.BDP($A97&amp;" Corp","YAS_BOND_YLD","YAS_YLD_FLAG=15"))</f>
        <v/>
      </c>
      <c r="L97" s="31">
        <f>IF($A97="","",K97-_xll.BDP($A97&amp;" Corp","YAS_BOND_YLD","YAS_YLD_FLAG=15","SETTLE_DT",Company_desc!$A$1))</f>
        <v/>
      </c>
      <c r="M97" s="31">
        <f>IF($A97="","",K97-_xll.BDP($A97&amp;" Corp","YAS_BOND_YLD","YAS_YLD_FLAG=15","SETTLE_DT",Company_desc!$A$2))</f>
        <v/>
      </c>
      <c r="N97" s="79">
        <f>IF($A97="","",_xll.BDP($A97&amp;" Corp","YAS_OAS_SPRD"))</f>
        <v/>
      </c>
      <c r="O97" s="82">
        <f>IF($A97="","",_xll.BDP($A97&amp;" Corp","YAS_MOD_DUR"))</f>
        <v/>
      </c>
      <c r="P97" s="80">
        <f>IF($A97="","",IFERROR(INDEX(Sheet1!$P:$P,MATCH($A97,Sheet1!$A:$A,0)),""))</f>
        <v/>
      </c>
      <c r="Q97" s="75">
        <f>IF($A97="","",IFERROR(INDEX(Company_desc!$C:$C,MATCH($A97,Company_desc!$A:$A,0)),IFERROR(INDEX(Sheet1!$Q:$Q,MATCH($A97,Sheet1!$A:$A,0)),"")))</f>
        <v/>
      </c>
      <c r="R97" s="75">
        <f>IF($A97="","",_xll.BDP($A97&amp;" Corp","CRNCY"))</f>
        <v/>
      </c>
      <c r="S97" s="75">
        <f>IF($A97="","",IFERROR(INDEX(Sheet1!$S:$S,MATCH($A97,Sheet1!$A:$A,0)),""))</f>
        <v/>
      </c>
      <c r="T97" s="75">
        <f>IF($A97="","",IFERROR(INDEX(Sheet1!$T:$T,MATCH($A97,Sheet1!$A:$A,0)),_xll.BDP($A97&amp;" Corp","RTG_SP")))</f>
        <v/>
      </c>
      <c r="U97" s="75">
        <f>IF($A97="","",IFERROR(INDEX(Sheet1!$U:$U,MATCH($A97,Sheet1!$A:$A,0)),""))</f>
        <v/>
      </c>
      <c r="W97" s="81">
        <f>IF($A97="","",N97-_xll.BDP($A97&amp;" Corp","YAS_OAS_SPRD","SETTLE_DT",Company_desc!$A$1))</f>
        <v/>
      </c>
      <c r="X97" s="81">
        <f>IF($A97="","",N97-_xll.BDP($A97&amp;" Corp","YAS_OAS_SPRD","SETTLE_DT",Company_desc!$A$2))</f>
        <v/>
      </c>
      <c r="Y97" s="80">
        <f>IF($A97="","",N97-_xll.BDP($A97&amp;" Corp","YAS_OAS_SPRD","SETTLE_DT",Company_desc!$D$1))</f>
        <v/>
      </c>
      <c r="Z97" s="82">
        <f>IF($A97="","",K97-_xll.BDP($A97&amp;" Corp","YAS_BOND_YLD","YAS_YLD_FLAG=15","SETTLE_DT",Company_desc!$D$1))</f>
        <v/>
      </c>
      <c r="AA97" s="80">
        <f>IF($A97="","",_xll.BDP($A97&amp;" Corp","YAS_OAS_SPRD","SETTLE_DT",Company_desc!$D$1))</f>
        <v/>
      </c>
    </row>
    <row r="98">
      <c r="B98" s="75">
        <f>IF($A98="","",IFERROR(INDEX(Sheet1!$B:$B,MATCH($A98,Sheet1!$A:$A,0)),""))</f>
        <v/>
      </c>
      <c r="C98" s="75">
        <f>IF($A98="","",PROPER(_xll.BDP($A98&amp;" Corp","NAME")))</f>
        <v/>
      </c>
      <c r="D98" s="76">
        <f>IF($A98="","",_xll.BDP($A98&amp;" Corp","CPN"))</f>
        <v/>
      </c>
      <c r="E98" s="75">
        <f>IF($A98="","",_xll.BDP($A98&amp;" Corp","PAYMENT_RANK"))</f>
        <v/>
      </c>
      <c r="F98" s="100">
        <f>IF($A98="","",_xll.BDP($A98&amp;" Corp","MATURITY"))</f>
        <v/>
      </c>
      <c r="G98" s="75">
        <f>IF($A98="","",PROPER(_xll.BDP($A98&amp;" Corp","COUNTRY_FULL_NAME")))</f>
        <v/>
      </c>
      <c r="H98" s="75">
        <f>IF($A98="","",_xll.BDP($A98&amp;" Corp","INDUSTRY_SECTOR"))</f>
        <v/>
      </c>
      <c r="I98" s="101">
        <f>IF($A98="","",IFERROR(_xll.BDP($A98&amp;" Corp","MIN_PIECE")/1000,""))</f>
        <v/>
      </c>
      <c r="J98" s="31">
        <f>IF($A98="","",_xll.BDP($A98&amp;" Corp","PX_LAST"))</f>
        <v/>
      </c>
      <c r="K98" s="31">
        <f>IF($A98="","",_xll.BDP($A98&amp;" Corp","YAS_BOND_YLD","YAS_YLD_FLAG=15"))</f>
        <v/>
      </c>
      <c r="L98" s="31">
        <f>IF($A98="","",K98-_xll.BDP($A98&amp;" Corp","YAS_BOND_YLD","YAS_YLD_FLAG=15","SETTLE_DT",Company_desc!$A$1))</f>
        <v/>
      </c>
      <c r="M98" s="31">
        <f>IF($A98="","",K98-_xll.BDP($A98&amp;" Corp","YAS_BOND_YLD","YAS_YLD_FLAG=15","SETTLE_DT",Company_desc!$A$2))</f>
        <v/>
      </c>
      <c r="N98" s="79">
        <f>IF($A98="","",_xll.BDP($A98&amp;" Corp","YAS_OAS_SPRD"))</f>
        <v/>
      </c>
      <c r="O98" s="67">
        <f>IF($A98="","",_xll.BDP($A98&amp;" Corp","YAS_MOD_DUR"))</f>
        <v/>
      </c>
      <c r="P98" s="80">
        <f>IF($A98="","",IFERROR(INDEX(Sheet1!$P:$P,MATCH($A98,Sheet1!$A:$A,0)),""))</f>
        <v/>
      </c>
      <c r="Q98" s="75">
        <f>IF($A98="","",IFERROR(INDEX(Company_desc!$C:$C,MATCH($A98,Company_desc!$A:$A,0)),IFERROR(INDEX(Sheet1!$Q:$Q,MATCH($A98,Sheet1!$A:$A,0)),"")))</f>
        <v/>
      </c>
      <c r="R98" s="75">
        <f>IF($A98="","",_xll.BDP($A98&amp;" Corp","CRNCY"))</f>
        <v/>
      </c>
      <c r="S98" s="75">
        <f>IF($A98="","",IFERROR(INDEX(Sheet1!$S:$S,MATCH($A98,Sheet1!$A:$A,0)),""))</f>
        <v/>
      </c>
      <c r="T98" s="75">
        <f>IF($A98="","",IFERROR(INDEX(Sheet1!$T:$T,MATCH($A98,Sheet1!$A:$A,0)),_xll.BDP($A98&amp;" Corp","RTG_SP")))</f>
        <v/>
      </c>
      <c r="U98" s="75">
        <f>IF($A98="","",IFERROR(INDEX(Sheet1!$U:$U,MATCH($A98,Sheet1!$A:$A,0)),""))</f>
        <v/>
      </c>
      <c r="W98" s="81">
        <f>IF($A98="","",N98-_xll.BDP($A98&amp;" Corp","YAS_OAS_SPRD","SETTLE_DT",Company_desc!$A$1))</f>
        <v/>
      </c>
      <c r="X98" s="81">
        <f>IF($A98="","",N98-_xll.BDP($A98&amp;" Corp","YAS_OAS_SPRD","SETTLE_DT",Company_desc!$A$2))</f>
        <v/>
      </c>
      <c r="Y98" s="80">
        <f>IF($A98="","",N98-_xll.BDP($A98&amp;" Corp","YAS_OAS_SPRD","SETTLE_DT",Company_desc!$D$1))</f>
        <v/>
      </c>
      <c r="Z98" s="82">
        <f>IF($A98="","",K98-_xll.BDP($A98&amp;" Corp","YAS_BOND_YLD","YAS_YLD_FLAG=15","SETTLE_DT",Company_desc!$D$1))</f>
        <v/>
      </c>
      <c r="AA98" s="80">
        <f>IF($A98="","",_xll.BDP($A98&amp;" Corp","YAS_OAS_SPRD","SETTLE_DT",Company_desc!$D$1))</f>
        <v/>
      </c>
    </row>
    <row r="99">
      <c r="B99" s="75">
        <f>IF($A99="","",IFERROR(INDEX(Sheet1!$B:$B,MATCH($A99,Sheet1!$A:$A,0)),""))</f>
        <v/>
      </c>
      <c r="C99" s="75">
        <f>IF($A99="","",PROPER(_xll.BDP($A99&amp;" Corp","NAME")))</f>
        <v/>
      </c>
      <c r="D99" s="76">
        <f>IF($A99="","",_xll.BDP($A99&amp;" Corp","CPN"))</f>
        <v/>
      </c>
      <c r="E99" s="75">
        <f>IF($A99="","",_xll.BDP($A99&amp;" Corp","PAYMENT_RANK"))</f>
        <v/>
      </c>
      <c r="F99" s="100">
        <f>IF($A99="","",_xll.BDP($A99&amp;" Corp","MATURITY"))</f>
        <v/>
      </c>
      <c r="G99" s="75">
        <f>IF($A99="","",PROPER(_xll.BDP($A99&amp;" Corp","COUNTRY_FULL_NAME")))</f>
        <v/>
      </c>
      <c r="H99" s="75">
        <f>IF($A99="","",_xll.BDP($A99&amp;" Corp","INDUSTRY_SECTOR"))</f>
        <v/>
      </c>
      <c r="I99" s="101">
        <f>IF($A99="","",IFERROR(_xll.BDP($A99&amp;" Corp","MIN_PIECE")/1000,""))</f>
        <v/>
      </c>
      <c r="J99" s="31">
        <f>IF($A99="","",_xll.BDP($A99&amp;" Corp","PX_LAST"))</f>
        <v/>
      </c>
      <c r="K99" s="31">
        <f>IF($A99="","",_xll.BDP($A99&amp;" Corp","YAS_BOND_YLD","YAS_YLD_FLAG=15"))</f>
        <v/>
      </c>
      <c r="L99" s="31">
        <f>IF($A99="","",K99-_xll.BDP($A99&amp;" Corp","YAS_BOND_YLD","YAS_YLD_FLAG=15","SETTLE_DT",Company_desc!$A$1))</f>
        <v/>
      </c>
      <c r="M99" s="31">
        <f>IF($A99="","",K99-_xll.BDP($A99&amp;" Corp","YAS_BOND_YLD","YAS_YLD_FLAG=15","SETTLE_DT",Company_desc!$A$2))</f>
        <v/>
      </c>
      <c r="N99" s="79">
        <f>IF($A99="","",_xll.BDP($A99&amp;" Corp","YAS_OAS_SPRD"))</f>
        <v/>
      </c>
      <c r="O99" s="67">
        <f>IF($A99="","",_xll.BDP($A99&amp;" Corp","YAS_MOD_DUR"))</f>
        <v/>
      </c>
      <c r="P99" s="80">
        <f>IF($A99="","",IFERROR(INDEX(Sheet1!$P:$P,MATCH($A99,Sheet1!$A:$A,0)),""))</f>
        <v/>
      </c>
      <c r="Q99" s="75">
        <f>IF($A99="","",IFERROR(INDEX(Company_desc!$C:$C,MATCH($A99,Company_desc!$A:$A,0)),IFERROR(INDEX(Sheet1!$Q:$Q,MATCH($A99,Sheet1!$A:$A,0)),"")))</f>
        <v/>
      </c>
      <c r="R99" s="75">
        <f>IF($A99="","",_xll.BDP($A99&amp;" Corp","CRNCY"))</f>
        <v/>
      </c>
      <c r="S99" s="75">
        <f>IF($A99="","",IFERROR(INDEX(Sheet1!$S:$S,MATCH($A99,Sheet1!$A:$A,0)),""))</f>
        <v/>
      </c>
      <c r="T99" s="75">
        <f>IF($A99="","",IFERROR(INDEX(Sheet1!$T:$T,MATCH($A99,Sheet1!$A:$A,0)),_xll.BDP($A99&amp;" Corp","RTG_SP")))</f>
        <v/>
      </c>
      <c r="U99" s="75">
        <f>IF($A99="","",IFERROR(INDEX(Sheet1!$U:$U,MATCH($A99,Sheet1!$A:$A,0)),""))</f>
        <v/>
      </c>
      <c r="W99" s="81">
        <f>IF($A99="","",N99-_xll.BDP($A99&amp;" Corp","YAS_OAS_SPRD","SETTLE_DT",Company_desc!$A$1))</f>
        <v/>
      </c>
      <c r="X99" s="81">
        <f>IF($A99="","",N99-_xll.BDP($A99&amp;" Corp","YAS_OAS_SPRD","SETTLE_DT",Company_desc!$A$2))</f>
        <v/>
      </c>
      <c r="Y99" s="80">
        <f>IF($A99="","",N99-_xll.BDP($A99&amp;" Corp","YAS_OAS_SPRD","SETTLE_DT",Company_desc!$D$1))</f>
        <v/>
      </c>
      <c r="Z99" s="82">
        <f>IF($A99="","",K99-_xll.BDP($A99&amp;" Corp","YAS_BOND_YLD","YAS_YLD_FLAG=15","SETTLE_DT",Company_desc!$D$1))</f>
        <v/>
      </c>
      <c r="AA99" s="80">
        <f>IF($A99="","",_xll.BDP($A99&amp;" Corp","YAS_OAS_SPRD","SETTLE_DT",Company_desc!$D$1))</f>
        <v/>
      </c>
    </row>
    <row r="100">
      <c r="B100" s="75">
        <f>IF($A100="","",IFERROR(INDEX(Sheet1!$B:$B,MATCH($A100,Sheet1!$A:$A,0)),""))</f>
        <v/>
      </c>
      <c r="C100" s="75">
        <f>IF($A100="","",PROPER(_xll.BDP($A100&amp;" Corp","NAME")))</f>
        <v/>
      </c>
      <c r="D100" s="76">
        <f>IF($A100="","",_xll.BDP($A100&amp;" Corp","CPN"))</f>
        <v/>
      </c>
      <c r="E100" s="75">
        <f>IF($A100="","",_xll.BDP($A100&amp;" Corp","PAYMENT_RANK"))</f>
        <v/>
      </c>
      <c r="F100" s="100">
        <f>IF($A100="","",_xll.BDP($A100&amp;" Corp","MATURITY"))</f>
        <v/>
      </c>
      <c r="G100" s="75">
        <f>IF($A100="","",PROPER(_xll.BDP($A100&amp;" Corp","COUNTRY_FULL_NAME")))</f>
        <v/>
      </c>
      <c r="H100" s="75">
        <f>IF($A100="","",_xll.BDP($A100&amp;" Corp","INDUSTRY_SECTOR"))</f>
        <v/>
      </c>
      <c r="I100" s="101">
        <f>IF($A100="","",IFERROR(_xll.BDP($A100&amp;" Corp","MIN_PIECE")/1000,""))</f>
        <v/>
      </c>
      <c r="J100" s="31">
        <f>IF($A100="","",_xll.BDP($A100&amp;" Corp","PX_LAST"))</f>
        <v/>
      </c>
      <c r="K100" s="31">
        <f>IF($A100="","",_xll.BDP($A100&amp;" Corp","YAS_BOND_YLD","YAS_YLD_FLAG=15"))</f>
        <v/>
      </c>
      <c r="L100" s="31">
        <f>IF($A100="","",K100-_xll.BDP($A100&amp;" Corp","YAS_BOND_YLD","YAS_YLD_FLAG=15","SETTLE_DT",Company_desc!$A$1))</f>
        <v/>
      </c>
      <c r="M100" s="31">
        <f>IF($A100="","",K100-_xll.BDP($A100&amp;" Corp","YAS_BOND_YLD","YAS_YLD_FLAG=15","SETTLE_DT",Company_desc!$A$2))</f>
        <v/>
      </c>
      <c r="N100" s="79">
        <f>IF($A100="","",_xll.BDP($A100&amp;" Corp","YAS_OAS_SPRD"))</f>
        <v/>
      </c>
      <c r="O100" s="67">
        <f>IF($A100="","",_xll.BDP($A100&amp;" Corp","YAS_MOD_DUR"))</f>
        <v/>
      </c>
      <c r="P100" s="80">
        <f>IF($A100="","",IFERROR(INDEX(Sheet1!$P:$P,MATCH($A100,Sheet1!$A:$A,0)),""))</f>
        <v/>
      </c>
      <c r="Q100" s="75">
        <f>IF($A100="","",IFERROR(INDEX(Company_desc!$C:$C,MATCH($A100,Company_desc!$A:$A,0)),IFERROR(INDEX(Sheet1!$Q:$Q,MATCH($A100,Sheet1!$A:$A,0)),"")))</f>
        <v/>
      </c>
      <c r="R100" s="75">
        <f>IF($A100="","",_xll.BDP($A100&amp;" Corp","CRNCY"))</f>
        <v/>
      </c>
      <c r="S100" s="75">
        <f>IF($A100="","",IFERROR(INDEX(Sheet1!$S:$S,MATCH($A100,Sheet1!$A:$A,0)),""))</f>
        <v/>
      </c>
      <c r="T100" s="75">
        <f>IF($A100="","",IFERROR(INDEX(Sheet1!$T:$T,MATCH($A100,Sheet1!$A:$A,0)),_xll.BDP($A100&amp;" Corp","RTG_SP")))</f>
        <v/>
      </c>
      <c r="U100" s="75">
        <f>IF($A100="","",IFERROR(INDEX(Sheet1!$U:$U,MATCH($A100,Sheet1!$A:$A,0)),""))</f>
        <v/>
      </c>
      <c r="W100" s="81">
        <f>IF($A100="","",N100-_xll.BDP($A100&amp;" Corp","YAS_OAS_SPRD","SETTLE_DT",Company_desc!$A$1))</f>
        <v/>
      </c>
      <c r="X100" s="81">
        <f>IF($A100="","",N100-_xll.BDP($A100&amp;" Corp","YAS_OAS_SPRD","SETTLE_DT",Company_desc!$A$2))</f>
        <v/>
      </c>
      <c r="Y100" s="80">
        <f>IF($A100="","",N100-_xll.BDP($A100&amp;" Corp","YAS_OAS_SPRD","SETTLE_DT",Company_desc!$D$1))</f>
        <v/>
      </c>
      <c r="Z100" s="82">
        <f>IF($A100="","",K100-_xll.BDP($A100&amp;" Corp","YAS_BOND_YLD","YAS_YLD_FLAG=15","SETTLE_DT",Company_desc!$D$1))</f>
        <v/>
      </c>
      <c r="AA100" s="80">
        <f>IF($A100="","",_xll.BDP($A100&amp;" Corp","YAS_OAS_SPRD","SETTLE_DT",Company_desc!$D$1))</f>
        <v/>
      </c>
    </row>
    <row r="101">
      <c r="B101" s="75">
        <f>IF($A101="","",IFERROR(INDEX(Sheet1!$B:$B,MATCH($A101,Sheet1!$A:$A,0)),""))</f>
        <v/>
      </c>
      <c r="C101" s="75">
        <f>IF($A101="","",PROPER(_xll.BDP($A101&amp;" Corp","NAME")))</f>
        <v/>
      </c>
      <c r="D101" s="76">
        <f>IF($A101="","",_xll.BDP($A101&amp;" Corp","CPN"))</f>
        <v/>
      </c>
      <c r="E101" s="75">
        <f>IF($A101="","",_xll.BDP($A101&amp;" Corp","PAYMENT_RANK"))</f>
        <v/>
      </c>
      <c r="F101" s="100">
        <f>IF($A101="","",_xll.BDP($A101&amp;" Corp","MATURITY"))</f>
        <v/>
      </c>
      <c r="G101" s="75">
        <f>IF($A101="","",PROPER(_xll.BDP($A101&amp;" Corp","COUNTRY_FULL_NAME")))</f>
        <v/>
      </c>
      <c r="H101" s="75">
        <f>IF($A101="","",_xll.BDP($A101&amp;" Corp","INDUSTRY_SECTOR"))</f>
        <v/>
      </c>
      <c r="I101" s="101">
        <f>IF($A101="","",IFERROR(_xll.BDP($A101&amp;" Corp","MIN_PIECE")/1000,""))</f>
        <v/>
      </c>
      <c r="J101" s="31">
        <f>IF($A101="","",_xll.BDP($A101&amp;" Corp","PX_LAST"))</f>
        <v/>
      </c>
      <c r="K101" s="31">
        <f>IF($A101="","",_xll.BDP($A101&amp;" Corp","YAS_BOND_YLD","YAS_YLD_FLAG=15"))</f>
        <v/>
      </c>
      <c r="L101" s="31">
        <f>IF($A101="","",K101-_xll.BDP($A101&amp;" Corp","YAS_BOND_YLD","YAS_YLD_FLAG=15","SETTLE_DT",Company_desc!$A$1))</f>
        <v/>
      </c>
      <c r="M101" s="31">
        <f>IF($A101="","",K101-_xll.BDP($A101&amp;" Corp","YAS_BOND_YLD","YAS_YLD_FLAG=15","SETTLE_DT",Company_desc!$A$2))</f>
        <v/>
      </c>
      <c r="N101" s="79">
        <f>IF($A101="","",_xll.BDP($A101&amp;" Corp","YAS_OAS_SPRD"))</f>
        <v/>
      </c>
      <c r="O101" s="67">
        <f>IF($A101="","",_xll.BDP($A101&amp;" Corp","YAS_MOD_DUR"))</f>
        <v/>
      </c>
      <c r="P101" s="80">
        <f>IF($A101="","",IFERROR(INDEX(Sheet1!$P:$P,MATCH($A101,Sheet1!$A:$A,0)),""))</f>
        <v/>
      </c>
      <c r="Q101" s="75">
        <f>IF($A101="","",IFERROR(INDEX(Company_desc!$C:$C,MATCH($A101,Company_desc!$A:$A,0)),IFERROR(INDEX(Sheet1!$Q:$Q,MATCH($A101,Sheet1!$A:$A,0)),"")))</f>
        <v/>
      </c>
      <c r="R101" s="75">
        <f>IF($A101="","",_xll.BDP($A101&amp;" Corp","CRNCY"))</f>
        <v/>
      </c>
      <c r="S101" s="75">
        <f>IF($A101="","",IFERROR(INDEX(Sheet1!$S:$S,MATCH($A101,Sheet1!$A:$A,0)),""))</f>
        <v/>
      </c>
      <c r="T101" s="75">
        <f>IF($A101="","",IFERROR(INDEX(Sheet1!$T:$T,MATCH($A101,Sheet1!$A:$A,0)),_xll.BDP($A101&amp;" Corp","RTG_SP")))</f>
        <v/>
      </c>
      <c r="U101" s="75">
        <f>IF($A101="","",IFERROR(INDEX(Sheet1!$U:$U,MATCH($A101,Sheet1!$A:$A,0)),""))</f>
        <v/>
      </c>
      <c r="W101" s="81">
        <f>IF($A101="","",N101-_xll.BDP($A101&amp;" Corp","YAS_OAS_SPRD","SETTLE_DT",Company_desc!$A$1))</f>
        <v/>
      </c>
      <c r="X101" s="81">
        <f>IF($A101="","",N101-_xll.BDP($A101&amp;" Corp","YAS_OAS_SPRD","SETTLE_DT",Company_desc!$A$2))</f>
        <v/>
      </c>
      <c r="Y101" s="80">
        <f>IF($A101="","",N101-_xll.BDP($A101&amp;" Corp","YAS_OAS_SPRD","SETTLE_DT",Company_desc!$D$1))</f>
        <v/>
      </c>
      <c r="Z101" s="82">
        <f>IF($A101="","",K101-_xll.BDP($A101&amp;" Corp","YAS_BOND_YLD","YAS_YLD_FLAG=15","SETTLE_DT",Company_desc!$D$1))</f>
        <v/>
      </c>
      <c r="AA101" s="80">
        <f>IF($A101="","",_xll.BDP($A101&amp;" Corp","YAS_OAS_SPRD","SETTLE_DT",Company_desc!$D$1))</f>
        <v/>
      </c>
    </row>
    <row r="102">
      <c r="B102" s="75">
        <f>IF($A102="","",IFERROR(INDEX(Sheet1!$B:$B,MATCH($A102,Sheet1!$A:$A,0)),""))</f>
        <v/>
      </c>
      <c r="C102" s="75">
        <f>IF($A102="","",PROPER(_xll.BDP($A102&amp;" Corp","NAME")))</f>
        <v/>
      </c>
      <c r="D102" s="76">
        <f>IF($A102="","",_xll.BDP($A102&amp;" Corp","CPN"))</f>
        <v/>
      </c>
      <c r="E102" s="75">
        <f>IF($A102="","",_xll.BDP($A102&amp;" Corp","PAYMENT_RANK"))</f>
        <v/>
      </c>
      <c r="F102" s="100">
        <f>IF($A102="","",_xll.BDP($A102&amp;" Corp","MATURITY"))</f>
        <v/>
      </c>
      <c r="G102" s="75">
        <f>IF($A102="","",PROPER(_xll.BDP($A102&amp;" Corp","COUNTRY_FULL_NAME")))</f>
        <v/>
      </c>
      <c r="H102" s="75">
        <f>IF($A102="","",_xll.BDP($A102&amp;" Corp","INDUSTRY_SECTOR"))</f>
        <v/>
      </c>
      <c r="I102" s="101">
        <f>IF($A102="","",IFERROR(_xll.BDP($A102&amp;" Corp","MIN_PIECE")/1000,""))</f>
        <v/>
      </c>
      <c r="J102" s="31">
        <f>IF($A102="","",_xll.BDP($A102&amp;" Corp","PX_LAST"))</f>
        <v/>
      </c>
      <c r="K102" s="31">
        <f>IF($A102="","",_xll.BDP($A102&amp;" Corp","YAS_BOND_YLD","YAS_YLD_FLAG=15"))</f>
        <v/>
      </c>
      <c r="L102" s="31">
        <f>IF($A102="","",K102-_xll.BDP($A102&amp;" Corp","YAS_BOND_YLD","YAS_YLD_FLAG=15","SETTLE_DT",Company_desc!$A$1))</f>
        <v/>
      </c>
      <c r="M102" s="31">
        <f>IF($A102="","",K102-_xll.BDP($A102&amp;" Corp","YAS_BOND_YLD","YAS_YLD_FLAG=15","SETTLE_DT",Company_desc!$A$2))</f>
        <v/>
      </c>
      <c r="N102" s="79">
        <f>IF($A102="","",_xll.BDP($A102&amp;" Corp","YAS_OAS_SPRD"))</f>
        <v/>
      </c>
      <c r="O102" s="67">
        <f>IF($A102="","",_xll.BDP($A102&amp;" Corp","YAS_MOD_DUR"))</f>
        <v/>
      </c>
      <c r="P102" s="80">
        <f>IF($A102="","",IFERROR(INDEX(Sheet1!$P:$P,MATCH($A102,Sheet1!$A:$A,0)),""))</f>
        <v/>
      </c>
      <c r="Q102" s="75">
        <f>IF($A102="","",IFERROR(INDEX(Company_desc!$C:$C,MATCH($A102,Company_desc!$A:$A,0)),IFERROR(INDEX(Sheet1!$Q:$Q,MATCH($A102,Sheet1!$A:$A,0)),"")))</f>
        <v/>
      </c>
      <c r="R102" s="75">
        <f>IF($A102="","",_xll.BDP($A102&amp;" Corp","CRNCY"))</f>
        <v/>
      </c>
      <c r="S102" s="75">
        <f>IF($A102="","",IFERROR(INDEX(Sheet1!$S:$S,MATCH($A102,Sheet1!$A:$A,0)),""))</f>
        <v/>
      </c>
      <c r="T102" s="75">
        <f>IF($A102="","",IFERROR(INDEX(Sheet1!$T:$T,MATCH($A102,Sheet1!$A:$A,0)),_xll.BDP($A102&amp;" Corp","RTG_SP")))</f>
        <v/>
      </c>
      <c r="U102" s="75">
        <f>IF($A102="","",IFERROR(INDEX(Sheet1!$U:$U,MATCH($A102,Sheet1!$A:$A,0)),""))</f>
        <v/>
      </c>
      <c r="W102" s="81">
        <f>IF($A102="","",N102-_xll.BDP($A102&amp;" Corp","YAS_OAS_SPRD","SETTLE_DT",Company_desc!$A$1))</f>
        <v/>
      </c>
      <c r="X102" s="81">
        <f>IF($A102="","",N102-_xll.BDP($A102&amp;" Corp","YAS_OAS_SPRD","SETTLE_DT",Company_desc!$A$2))</f>
        <v/>
      </c>
      <c r="Y102" s="80">
        <f>IF($A102="","",N102-_xll.BDP($A102&amp;" Corp","YAS_OAS_SPRD","SETTLE_DT",Company_desc!$D$1))</f>
        <v/>
      </c>
      <c r="Z102" s="82">
        <f>IF($A102="","",K102-_xll.BDP($A102&amp;" Corp","YAS_BOND_YLD","YAS_YLD_FLAG=15","SETTLE_DT",Company_desc!$D$1))</f>
        <v/>
      </c>
      <c r="AA102" s="80">
        <f>IF($A102="","",_xll.BDP($A102&amp;" Corp","YAS_OAS_SPRD","SETTLE_DT",Company_desc!$D$1))</f>
        <v/>
      </c>
    </row>
    <row r="103">
      <c r="B103" s="75">
        <f>IF($A103="","",IFERROR(INDEX(Sheet1!$B:$B,MATCH($A103,Sheet1!$A:$A,0)),""))</f>
        <v/>
      </c>
      <c r="C103" s="75">
        <f>IF($A103="","",PROPER(_xll.BDP($A103&amp;" Corp","NAME")))</f>
        <v/>
      </c>
      <c r="D103" s="76">
        <f>IF($A103="","",_xll.BDP($A103&amp;" Corp","CPN"))</f>
        <v/>
      </c>
      <c r="E103" s="75">
        <f>IF($A103="","",_xll.BDP($A103&amp;" Corp","PAYMENT_RANK"))</f>
        <v/>
      </c>
      <c r="F103" s="100">
        <f>IF($A103="","",_xll.BDP($A103&amp;" Corp","MATURITY"))</f>
        <v/>
      </c>
      <c r="G103" s="75">
        <f>IF($A103="","",PROPER(_xll.BDP($A103&amp;" Corp","COUNTRY_FULL_NAME")))</f>
        <v/>
      </c>
      <c r="H103" s="75">
        <f>IF($A103="","",_xll.BDP($A103&amp;" Corp","INDUSTRY_SECTOR"))</f>
        <v/>
      </c>
      <c r="I103" s="101">
        <f>IF($A103="","",IFERROR(_xll.BDP($A103&amp;" Corp","MIN_PIECE")/1000,""))</f>
        <v/>
      </c>
      <c r="J103" s="31">
        <f>IF($A103="","",_xll.BDP($A103&amp;" Corp","PX_LAST"))</f>
        <v/>
      </c>
      <c r="K103" s="31">
        <f>IF($A103="","",_xll.BDP($A103&amp;" Corp","YAS_BOND_YLD","YAS_YLD_FLAG=15"))</f>
        <v/>
      </c>
      <c r="L103" s="31">
        <f>IF($A103="","",K103-_xll.BDP($A103&amp;" Corp","YAS_BOND_YLD","YAS_YLD_FLAG=15","SETTLE_DT",Company_desc!$A$1))</f>
        <v/>
      </c>
      <c r="M103" s="31">
        <f>IF($A103="","",K103-_xll.BDP($A103&amp;" Corp","YAS_BOND_YLD","YAS_YLD_FLAG=15","SETTLE_DT",Company_desc!$A$2))</f>
        <v/>
      </c>
      <c r="N103" s="79">
        <f>IF($A103="","",_xll.BDP($A103&amp;" Corp","YAS_OAS_SPRD"))</f>
        <v/>
      </c>
      <c r="O103" s="67">
        <f>IF($A103="","",_xll.BDP($A103&amp;" Corp","YAS_MOD_DUR"))</f>
        <v/>
      </c>
      <c r="P103" s="80">
        <f>IF($A103="","",IFERROR(INDEX(Sheet1!$P:$P,MATCH($A103,Sheet1!$A:$A,0)),""))</f>
        <v/>
      </c>
      <c r="Q103" s="75">
        <f>IF($A103="","",IFERROR(INDEX(Company_desc!$C:$C,MATCH($A103,Company_desc!$A:$A,0)),IFERROR(INDEX(Sheet1!$Q:$Q,MATCH($A103,Sheet1!$A:$A,0)),"")))</f>
        <v/>
      </c>
      <c r="R103" s="75">
        <f>IF($A103="","",_xll.BDP($A103&amp;" Corp","CRNCY"))</f>
        <v/>
      </c>
      <c r="S103" s="75">
        <f>IF($A103="","",IFERROR(INDEX(Sheet1!$S:$S,MATCH($A103,Sheet1!$A:$A,0)),""))</f>
        <v/>
      </c>
      <c r="T103" s="75">
        <f>IF($A103="","",IFERROR(INDEX(Sheet1!$T:$T,MATCH($A103,Sheet1!$A:$A,0)),_xll.BDP($A103&amp;" Corp","RTG_SP")))</f>
        <v/>
      </c>
      <c r="U103" s="75">
        <f>IF($A103="","",IFERROR(INDEX(Sheet1!$U:$U,MATCH($A103,Sheet1!$A:$A,0)),""))</f>
        <v/>
      </c>
      <c r="W103" s="81">
        <f>IF($A103="","",N103-_xll.BDP($A103&amp;" Corp","YAS_OAS_SPRD","SETTLE_DT",Company_desc!$A$1))</f>
        <v/>
      </c>
      <c r="X103" s="81">
        <f>IF($A103="","",N103-_xll.BDP($A103&amp;" Corp","YAS_OAS_SPRD","SETTLE_DT",Company_desc!$A$2))</f>
        <v/>
      </c>
      <c r="Y103" s="80">
        <f>IF($A103="","",N103-_xll.BDP($A103&amp;" Corp","YAS_OAS_SPRD","SETTLE_DT",Company_desc!$D$1))</f>
        <v/>
      </c>
      <c r="Z103" s="82">
        <f>IF($A103="","",K103-_xll.BDP($A103&amp;" Corp","YAS_BOND_YLD","YAS_YLD_FLAG=15","SETTLE_DT",Company_desc!$D$1))</f>
        <v/>
      </c>
      <c r="AA103" s="80">
        <f>IF($A103="","",_xll.BDP($A103&amp;" Corp","YAS_OAS_SPRD","SETTLE_DT",Company_desc!$D$1))</f>
        <v/>
      </c>
    </row>
    <row r="104">
      <c r="B104" s="75">
        <f>IF($A104="","",IFERROR(INDEX(Sheet1!$B:$B,MATCH($A104,Sheet1!$A:$A,0)),""))</f>
        <v/>
      </c>
      <c r="C104" s="75">
        <f>IF($A104="","",PROPER(_xll.BDP($A104&amp;" Corp","NAME")))</f>
        <v/>
      </c>
      <c r="D104" s="76">
        <f>IF($A104="","",_xll.BDP($A104&amp;" Corp","CPN"))</f>
        <v/>
      </c>
      <c r="E104" s="75">
        <f>IF($A104="","",_xll.BDP($A104&amp;" Corp","PAYMENT_RANK"))</f>
        <v/>
      </c>
      <c r="F104" s="100">
        <f>IF($A104="","",_xll.BDP($A104&amp;" Corp","MATURITY"))</f>
        <v/>
      </c>
      <c r="G104" s="75">
        <f>IF($A104="","",PROPER(_xll.BDP($A104&amp;" Corp","COUNTRY_FULL_NAME")))</f>
        <v/>
      </c>
      <c r="H104" s="75">
        <f>IF($A104="","",_xll.BDP($A104&amp;" Corp","INDUSTRY_SECTOR"))</f>
        <v/>
      </c>
      <c r="I104" s="101">
        <f>IF($A104="","",IFERROR(_xll.BDP($A104&amp;" Corp","MIN_PIECE")/1000,""))</f>
        <v/>
      </c>
      <c r="J104" s="31">
        <f>IF($A104="","",_xll.BDP($A104&amp;" Corp","PX_LAST"))</f>
        <v/>
      </c>
      <c r="K104" s="31">
        <f>IF($A104="","",_xll.BDP($A104&amp;" Corp","YAS_BOND_YLD","YAS_YLD_FLAG=15"))</f>
        <v/>
      </c>
      <c r="L104" s="31">
        <f>IF($A104="","",K104-_xll.BDP($A104&amp;" Corp","YAS_BOND_YLD","YAS_YLD_FLAG=15","SETTLE_DT",Company_desc!$A$1))</f>
        <v/>
      </c>
      <c r="M104" s="31">
        <f>IF($A104="","",K104-_xll.BDP($A104&amp;" Corp","YAS_BOND_YLD","YAS_YLD_FLAG=15","SETTLE_DT",Company_desc!$A$2))</f>
        <v/>
      </c>
      <c r="N104" s="79">
        <f>IF($A104="","",_xll.BDP($A104&amp;" Corp","YAS_OAS_SPRD"))</f>
        <v/>
      </c>
      <c r="O104" s="67">
        <f>IF($A104="","",_xll.BDP($A104&amp;" Corp","YAS_MOD_DUR"))</f>
        <v/>
      </c>
      <c r="P104" s="80">
        <f>IF($A104="","",IFERROR(INDEX(Sheet1!$P:$P,MATCH($A104,Sheet1!$A:$A,0)),""))</f>
        <v/>
      </c>
      <c r="Q104" s="75">
        <f>IF($A104="","",IFERROR(INDEX(Company_desc!$C:$C,MATCH($A104,Company_desc!$A:$A,0)),IFERROR(INDEX(Sheet1!$Q:$Q,MATCH($A104,Sheet1!$A:$A,0)),"")))</f>
        <v/>
      </c>
      <c r="R104" s="75">
        <f>IF($A104="","",_xll.BDP($A104&amp;" Corp","CRNCY"))</f>
        <v/>
      </c>
      <c r="S104" s="75">
        <f>IF($A104="","",IFERROR(INDEX(Sheet1!$S:$S,MATCH($A104,Sheet1!$A:$A,0)),""))</f>
        <v/>
      </c>
      <c r="T104" s="75">
        <f>IF($A104="","",IFERROR(INDEX(Sheet1!$T:$T,MATCH($A104,Sheet1!$A:$A,0)),_xll.BDP($A104&amp;" Corp","RTG_SP")))</f>
        <v/>
      </c>
      <c r="U104" s="75">
        <f>IF($A104="","",IFERROR(INDEX(Sheet1!$U:$U,MATCH($A104,Sheet1!$A:$A,0)),""))</f>
        <v/>
      </c>
      <c r="W104" s="81">
        <f>IF($A104="","",N104-_xll.BDP($A104&amp;" Corp","YAS_OAS_SPRD","SETTLE_DT",Company_desc!$A$1))</f>
        <v/>
      </c>
      <c r="X104" s="81">
        <f>IF($A104="","",N104-_xll.BDP($A104&amp;" Corp","YAS_OAS_SPRD","SETTLE_DT",Company_desc!$A$2))</f>
        <v/>
      </c>
      <c r="Y104" s="80">
        <f>IF($A104="","",N104-_xll.BDP($A104&amp;" Corp","YAS_OAS_SPRD","SETTLE_DT",Company_desc!$D$1))</f>
        <v/>
      </c>
      <c r="Z104" s="82">
        <f>IF($A104="","",K104-_xll.BDP($A104&amp;" Corp","YAS_BOND_YLD","YAS_YLD_FLAG=15","SETTLE_DT",Company_desc!$D$1))</f>
        <v/>
      </c>
      <c r="AA104" s="80">
        <f>IF($A104="","",_xll.BDP($A104&amp;" Corp","YAS_OAS_SPRD","SETTLE_DT",Company_desc!$D$1))</f>
        <v/>
      </c>
    </row>
    <row r="105">
      <c r="B105" s="75">
        <f>IF($A105="","",IFERROR(INDEX(Sheet1!$B:$B,MATCH($A105,Sheet1!$A:$A,0)),""))</f>
        <v/>
      </c>
      <c r="C105" s="75">
        <f>IF($A105="","",PROPER(_xll.BDP($A105&amp;" Corp","NAME")))</f>
        <v/>
      </c>
      <c r="D105" s="76">
        <f>IF($A105="","",_xll.BDP($A105&amp;" Corp","CPN"))</f>
        <v/>
      </c>
      <c r="E105" s="75">
        <f>IF($A105="","",_xll.BDP($A105&amp;" Corp","PAYMENT_RANK"))</f>
        <v/>
      </c>
      <c r="F105" s="100">
        <f>IF($A105="","",_xll.BDP($A105&amp;" Corp","MATURITY"))</f>
        <v/>
      </c>
      <c r="G105" s="75">
        <f>IF($A105="","",PROPER(_xll.BDP($A105&amp;" Corp","COUNTRY_FULL_NAME")))</f>
        <v/>
      </c>
      <c r="H105" s="75">
        <f>IF($A105="","",_xll.BDP($A105&amp;" Corp","INDUSTRY_SECTOR"))</f>
        <v/>
      </c>
      <c r="I105" s="101">
        <f>IF($A105="","",IFERROR(_xll.BDP($A105&amp;" Corp","MIN_PIECE")/1000,""))</f>
        <v/>
      </c>
      <c r="J105" s="31">
        <f>IF($A105="","",_xll.BDP($A105&amp;" Corp","PX_LAST"))</f>
        <v/>
      </c>
      <c r="K105" s="31">
        <f>IF($A105="","",_xll.BDP($A105&amp;" Corp","YAS_BOND_YLD","YAS_YLD_FLAG=15"))</f>
        <v/>
      </c>
      <c r="L105" s="31">
        <f>IF($A105="","",K105-_xll.BDP($A105&amp;" Corp","YAS_BOND_YLD","YAS_YLD_FLAG=15","SETTLE_DT",Company_desc!$A$1))</f>
        <v/>
      </c>
      <c r="M105" s="31">
        <f>IF($A105="","",K105-_xll.BDP($A105&amp;" Corp","YAS_BOND_YLD","YAS_YLD_FLAG=15","SETTLE_DT",Company_desc!$A$2))</f>
        <v/>
      </c>
      <c r="N105" s="79">
        <f>IF($A105="","",_xll.BDP($A105&amp;" Corp","YAS_OAS_SPRD"))</f>
        <v/>
      </c>
      <c r="O105" s="67">
        <f>IF($A105="","",_xll.BDP($A105&amp;" Corp","YAS_MOD_DUR"))</f>
        <v/>
      </c>
      <c r="P105" s="80">
        <f>IF($A105="","",IFERROR(INDEX(Sheet1!$P:$P,MATCH($A105,Sheet1!$A:$A,0)),""))</f>
        <v/>
      </c>
      <c r="Q105" s="75">
        <f>IF($A105="","",IFERROR(INDEX(Company_desc!$C:$C,MATCH($A105,Company_desc!$A:$A,0)),IFERROR(INDEX(Sheet1!$Q:$Q,MATCH($A105,Sheet1!$A:$A,0)),"")))</f>
        <v/>
      </c>
      <c r="R105" s="75">
        <f>IF($A105="","",_xll.BDP($A105&amp;" Corp","CRNCY"))</f>
        <v/>
      </c>
      <c r="S105" s="75">
        <f>IF($A105="","",IFERROR(INDEX(Sheet1!$S:$S,MATCH($A105,Sheet1!$A:$A,0)),""))</f>
        <v/>
      </c>
      <c r="T105" s="75">
        <f>IF($A105="","",IFERROR(INDEX(Sheet1!$T:$T,MATCH($A105,Sheet1!$A:$A,0)),_xll.BDP($A105&amp;" Corp","RTG_SP")))</f>
        <v/>
      </c>
      <c r="U105" s="75">
        <f>IF($A105="","",IFERROR(INDEX(Sheet1!$U:$U,MATCH($A105,Sheet1!$A:$A,0)),""))</f>
        <v/>
      </c>
      <c r="W105" s="81">
        <f>IF($A105="","",N105-_xll.BDP($A105&amp;" Corp","YAS_OAS_SPRD","SETTLE_DT",Company_desc!$A$1))</f>
        <v/>
      </c>
      <c r="X105" s="81">
        <f>IF($A105="","",N105-_xll.BDP($A105&amp;" Corp","YAS_OAS_SPRD","SETTLE_DT",Company_desc!$A$2))</f>
        <v/>
      </c>
      <c r="Y105" s="80">
        <f>IF($A105="","",N105-_xll.BDP($A105&amp;" Corp","YAS_OAS_SPRD","SETTLE_DT",Company_desc!$D$1))</f>
        <v/>
      </c>
      <c r="Z105" s="82">
        <f>IF($A105="","",K105-_xll.BDP($A105&amp;" Corp","YAS_BOND_YLD","YAS_YLD_FLAG=15","SETTLE_DT",Company_desc!$D$1))</f>
        <v/>
      </c>
      <c r="AA105" s="80">
        <f>IF($A105="","",_xll.BDP($A105&amp;" Corp","YAS_OAS_SPRD","SETTLE_DT",Company_desc!$D$1))</f>
        <v/>
      </c>
    </row>
    <row r="106">
      <c r="B106" s="75">
        <f>IF($A106="","",IFERROR(INDEX(Sheet1!$B:$B,MATCH($A106,Sheet1!$A:$A,0)),""))</f>
        <v/>
      </c>
      <c r="C106" s="75">
        <f>IF($A106="","",PROPER(_xll.BDP($A106&amp;" Corp","NAME")))</f>
        <v/>
      </c>
      <c r="D106" s="76">
        <f>IF($A106="","",_xll.BDP($A106&amp;" Corp","CPN"))</f>
        <v/>
      </c>
      <c r="E106" s="75">
        <f>IF($A106="","",_xll.BDP($A106&amp;" Corp","PAYMENT_RANK"))</f>
        <v/>
      </c>
      <c r="F106" s="100">
        <f>IF($A106="","",_xll.BDP($A106&amp;" Corp","MATURITY"))</f>
        <v/>
      </c>
      <c r="G106" s="75">
        <f>IF($A106="","",PROPER(_xll.BDP($A106&amp;" Corp","COUNTRY_FULL_NAME")))</f>
        <v/>
      </c>
      <c r="H106" s="75">
        <f>IF($A106="","",_xll.BDP($A106&amp;" Corp","INDUSTRY_SECTOR"))</f>
        <v/>
      </c>
      <c r="I106" s="101">
        <f>IF($A106="","",IFERROR(_xll.BDP($A106&amp;" Corp","MIN_PIECE")/1000,""))</f>
        <v/>
      </c>
      <c r="J106" s="31">
        <f>IF($A106="","",_xll.BDP($A106&amp;" Corp","PX_LAST"))</f>
        <v/>
      </c>
      <c r="K106" s="31">
        <f>IF($A106="","",_xll.BDP($A106&amp;" Corp","YAS_BOND_YLD","YAS_YLD_FLAG=15"))</f>
        <v/>
      </c>
      <c r="L106" s="31">
        <f>IF($A106="","",K106-_xll.BDP($A106&amp;" Corp","YAS_BOND_YLD","YAS_YLD_FLAG=15","SETTLE_DT",Company_desc!$A$1))</f>
        <v/>
      </c>
      <c r="M106" s="31">
        <f>IF($A106="","",K106-_xll.BDP($A106&amp;" Corp","YAS_BOND_YLD","YAS_YLD_FLAG=15","SETTLE_DT",Company_desc!$A$2))</f>
        <v/>
      </c>
      <c r="N106" s="79">
        <f>IF($A106="","",_xll.BDP($A106&amp;" Corp","YAS_OAS_SPRD"))</f>
        <v/>
      </c>
      <c r="O106" s="67">
        <f>IF($A106="","",_xll.BDP($A106&amp;" Corp","YAS_MOD_DUR"))</f>
        <v/>
      </c>
      <c r="P106" s="80">
        <f>IF($A106="","",IFERROR(INDEX(Sheet1!$P:$P,MATCH($A106,Sheet1!$A:$A,0)),""))</f>
        <v/>
      </c>
      <c r="Q106" s="75">
        <f>IF($A106="","",IFERROR(INDEX(Company_desc!$C:$C,MATCH($A106,Company_desc!$A:$A,0)),IFERROR(INDEX(Sheet1!$Q:$Q,MATCH($A106,Sheet1!$A:$A,0)),"")))</f>
        <v/>
      </c>
      <c r="R106" s="75">
        <f>IF($A106="","",_xll.BDP($A106&amp;" Corp","CRNCY"))</f>
        <v/>
      </c>
      <c r="S106" s="75">
        <f>IF($A106="","",IFERROR(INDEX(Sheet1!$S:$S,MATCH($A106,Sheet1!$A:$A,0)),""))</f>
        <v/>
      </c>
      <c r="T106" s="75">
        <f>IF($A106="","",IFERROR(INDEX(Sheet1!$T:$T,MATCH($A106,Sheet1!$A:$A,0)),_xll.BDP($A106&amp;" Corp","RTG_SP")))</f>
        <v/>
      </c>
      <c r="U106" s="75">
        <f>IF($A106="","",IFERROR(INDEX(Sheet1!$U:$U,MATCH($A106,Sheet1!$A:$A,0)),""))</f>
        <v/>
      </c>
      <c r="W106" s="81">
        <f>IF($A106="","",N106-_xll.BDP($A106&amp;" Corp","YAS_OAS_SPRD","SETTLE_DT",Company_desc!$A$1))</f>
        <v/>
      </c>
      <c r="X106" s="81">
        <f>IF($A106="","",N106-_xll.BDP($A106&amp;" Corp","YAS_OAS_SPRD","SETTLE_DT",Company_desc!$A$2))</f>
        <v/>
      </c>
      <c r="Y106" s="80">
        <f>IF($A106="","",N106-_xll.BDP($A106&amp;" Corp","YAS_OAS_SPRD","SETTLE_DT",Company_desc!$D$1))</f>
        <v/>
      </c>
      <c r="Z106" s="82">
        <f>IF($A106="","",K106-_xll.BDP($A106&amp;" Corp","YAS_BOND_YLD","YAS_YLD_FLAG=15","SETTLE_DT",Company_desc!$D$1))</f>
        <v/>
      </c>
      <c r="AA106" s="80">
        <f>IF($A106="","",_xll.BDP($A106&amp;" Corp","YAS_OAS_SPRD","SETTLE_DT",Company_desc!$D$1))</f>
        <v/>
      </c>
    </row>
    <row r="107">
      <c r="B107" s="75">
        <f>IF($A107="","",IFERROR(INDEX(Sheet1!$B:$B,MATCH($A107,Sheet1!$A:$A,0)),""))</f>
        <v/>
      </c>
      <c r="C107" s="75">
        <f>IF($A107="","",PROPER(_xll.BDP($A107&amp;" Corp","NAME")))</f>
        <v/>
      </c>
      <c r="D107" s="76">
        <f>IF($A107="","",_xll.BDP($A107&amp;" Corp","CPN"))</f>
        <v/>
      </c>
      <c r="E107" s="75">
        <f>IF($A107="","",_xll.BDP($A107&amp;" Corp","PAYMENT_RANK"))</f>
        <v/>
      </c>
      <c r="F107" s="100">
        <f>IF($A107="","",_xll.BDP($A107&amp;" Corp","MATURITY"))</f>
        <v/>
      </c>
      <c r="G107" s="75">
        <f>IF($A107="","",PROPER(_xll.BDP($A107&amp;" Corp","COUNTRY_FULL_NAME")))</f>
        <v/>
      </c>
      <c r="H107" s="75">
        <f>IF($A107="","",_xll.BDP($A107&amp;" Corp","INDUSTRY_SECTOR"))</f>
        <v/>
      </c>
      <c r="I107" s="101">
        <f>IF($A107="","",IFERROR(_xll.BDP($A107&amp;" Corp","MIN_PIECE")/1000,""))</f>
        <v/>
      </c>
      <c r="J107" s="31">
        <f>IF($A107="","",_xll.BDP($A107&amp;" Corp","PX_LAST"))</f>
        <v/>
      </c>
      <c r="K107" s="31">
        <f>IF($A107="","",_xll.BDP($A107&amp;" Corp","YAS_BOND_YLD","YAS_YLD_FLAG=15"))</f>
        <v/>
      </c>
      <c r="L107" s="31">
        <f>IF($A107="","",K107-_xll.BDP($A107&amp;" Corp","YAS_BOND_YLD","YAS_YLD_FLAG=15","SETTLE_DT",Company_desc!$A$1))</f>
        <v/>
      </c>
      <c r="M107" s="31">
        <f>IF($A107="","",K107-_xll.BDP($A107&amp;" Corp","YAS_BOND_YLD","YAS_YLD_FLAG=15","SETTLE_DT",Company_desc!$A$2))</f>
        <v/>
      </c>
      <c r="N107" s="79">
        <f>IF($A107="","",_xll.BDP($A107&amp;" Corp","YAS_OAS_SPRD"))</f>
        <v/>
      </c>
      <c r="O107" s="67">
        <f>IF($A107="","",_xll.BDP($A107&amp;" Corp","YAS_MOD_DUR"))</f>
        <v/>
      </c>
      <c r="P107" s="80">
        <f>IF($A107="","",IFERROR(INDEX(Sheet1!$P:$P,MATCH($A107,Sheet1!$A:$A,0)),""))</f>
        <v/>
      </c>
      <c r="Q107" s="75">
        <f>IF($A107="","",IFERROR(INDEX(Company_desc!$C:$C,MATCH($A107,Company_desc!$A:$A,0)),IFERROR(INDEX(Sheet1!$Q:$Q,MATCH($A107,Sheet1!$A:$A,0)),"")))</f>
        <v/>
      </c>
      <c r="R107" s="75">
        <f>IF($A107="","",_xll.BDP($A107&amp;" Corp","CRNCY"))</f>
        <v/>
      </c>
      <c r="S107" s="75">
        <f>IF($A107="","",IFERROR(INDEX(Sheet1!$S:$S,MATCH($A107,Sheet1!$A:$A,0)),""))</f>
        <v/>
      </c>
      <c r="T107" s="75">
        <f>IF($A107="","",IFERROR(INDEX(Sheet1!$T:$T,MATCH($A107,Sheet1!$A:$A,0)),_xll.BDP($A107&amp;" Corp","RTG_SP")))</f>
        <v/>
      </c>
      <c r="U107" s="75">
        <f>IF($A107="","",IFERROR(INDEX(Sheet1!$U:$U,MATCH($A107,Sheet1!$A:$A,0)),""))</f>
        <v/>
      </c>
      <c r="W107" s="81">
        <f>IF($A107="","",N107-_xll.BDP($A107&amp;" Corp","YAS_OAS_SPRD","SETTLE_DT",Company_desc!$A$1))</f>
        <v/>
      </c>
      <c r="X107" s="81">
        <f>IF($A107="","",N107-_xll.BDP($A107&amp;" Corp","YAS_OAS_SPRD","SETTLE_DT",Company_desc!$A$2))</f>
        <v/>
      </c>
      <c r="Y107" s="80">
        <f>IF($A107="","",N107-_xll.BDP($A107&amp;" Corp","YAS_OAS_SPRD","SETTLE_DT",Company_desc!$D$1))</f>
        <v/>
      </c>
      <c r="Z107" s="82">
        <f>IF($A107="","",K107-_xll.BDP($A107&amp;" Corp","YAS_BOND_YLD","YAS_YLD_FLAG=15","SETTLE_DT",Company_desc!$D$1))</f>
        <v/>
      </c>
      <c r="AA107" s="80">
        <f>IF($A107="","",_xll.BDP($A107&amp;" Corp","YAS_OAS_SPRD","SETTLE_DT",Company_desc!$D$1))</f>
        <v/>
      </c>
    </row>
    <row r="108">
      <c r="B108" s="75">
        <f>IF($A108="","",IFERROR(INDEX(Sheet1!$B:$B,MATCH($A108,Sheet1!$A:$A,0)),""))</f>
        <v/>
      </c>
      <c r="C108" s="75">
        <f>IF($A108="","",PROPER(_xll.BDP($A108&amp;" Corp","NAME")))</f>
        <v/>
      </c>
      <c r="D108" s="76">
        <f>IF($A108="","",_xll.BDP($A108&amp;" Corp","CPN"))</f>
        <v/>
      </c>
      <c r="E108" s="75">
        <f>IF($A108="","",_xll.BDP($A108&amp;" Corp","PAYMENT_RANK"))</f>
        <v/>
      </c>
      <c r="F108" s="100">
        <f>IF($A108="","",_xll.BDP($A108&amp;" Corp","MATURITY"))</f>
        <v/>
      </c>
      <c r="G108" s="75">
        <f>IF($A108="","",PROPER(_xll.BDP($A108&amp;" Corp","COUNTRY_FULL_NAME")))</f>
        <v/>
      </c>
      <c r="H108" s="75">
        <f>IF($A108="","",_xll.BDP($A108&amp;" Corp","INDUSTRY_SECTOR"))</f>
        <v/>
      </c>
      <c r="I108" s="101">
        <f>IF($A108="","",IFERROR(_xll.BDP($A108&amp;" Corp","MIN_PIECE")/1000,""))</f>
        <v/>
      </c>
      <c r="J108" s="31">
        <f>IF($A108="","",_xll.BDP($A108&amp;" Corp","PX_LAST"))</f>
        <v/>
      </c>
      <c r="K108" s="31">
        <f>IF($A108="","",_xll.BDP($A108&amp;" Corp","YAS_BOND_YLD","YAS_YLD_FLAG=15"))</f>
        <v/>
      </c>
      <c r="L108" s="31">
        <f>IF($A108="","",K108-_xll.BDP($A108&amp;" Corp","YAS_BOND_YLD","YAS_YLD_FLAG=15","SETTLE_DT",Company_desc!$A$1))</f>
        <v/>
      </c>
      <c r="M108" s="31">
        <f>IF($A108="","",K108-_xll.BDP($A108&amp;" Corp","YAS_BOND_YLD","YAS_YLD_FLAG=15","SETTLE_DT",Company_desc!$A$2))</f>
        <v/>
      </c>
      <c r="N108" s="79">
        <f>IF($A108="","",_xll.BDP($A108&amp;" Corp","YAS_OAS_SPRD"))</f>
        <v/>
      </c>
      <c r="O108" s="67">
        <f>IF($A108="","",_xll.BDP($A108&amp;" Corp","YAS_MOD_DUR"))</f>
        <v/>
      </c>
      <c r="P108" s="80">
        <f>IF($A108="","",IFERROR(INDEX(Sheet1!$P:$P,MATCH($A108,Sheet1!$A:$A,0)),""))</f>
        <v/>
      </c>
      <c r="Q108" s="75">
        <f>IF($A108="","",IFERROR(INDEX(Company_desc!$C:$C,MATCH($A108,Company_desc!$A:$A,0)),IFERROR(INDEX(Sheet1!$Q:$Q,MATCH($A108,Sheet1!$A:$A,0)),"")))</f>
        <v/>
      </c>
      <c r="R108" s="75">
        <f>IF($A108="","",_xll.BDP($A108&amp;" Corp","CRNCY"))</f>
        <v/>
      </c>
      <c r="S108" s="75">
        <f>IF($A108="","",IFERROR(INDEX(Sheet1!$S:$S,MATCH($A108,Sheet1!$A:$A,0)),""))</f>
        <v/>
      </c>
      <c r="T108" s="75">
        <f>IF($A108="","",IFERROR(INDEX(Sheet1!$T:$T,MATCH($A108,Sheet1!$A:$A,0)),_xll.BDP($A108&amp;" Corp","RTG_SP")))</f>
        <v/>
      </c>
      <c r="U108" s="75">
        <f>IF($A108="","",IFERROR(INDEX(Sheet1!$U:$U,MATCH($A108,Sheet1!$A:$A,0)),""))</f>
        <v/>
      </c>
      <c r="W108" s="81">
        <f>IF($A108="","",N108-_xll.BDP($A108&amp;" Corp","YAS_OAS_SPRD","SETTLE_DT",Company_desc!$A$1))</f>
        <v/>
      </c>
      <c r="X108" s="81">
        <f>IF($A108="","",N108-_xll.BDP($A108&amp;" Corp","YAS_OAS_SPRD","SETTLE_DT",Company_desc!$A$2))</f>
        <v/>
      </c>
      <c r="Y108" s="80">
        <f>IF($A108="","",N108-_xll.BDP($A108&amp;" Corp","YAS_OAS_SPRD","SETTLE_DT",Company_desc!$D$1))</f>
        <v/>
      </c>
      <c r="Z108" s="82">
        <f>IF($A108="","",K108-_xll.BDP($A108&amp;" Corp","YAS_BOND_YLD","YAS_YLD_FLAG=15","SETTLE_DT",Company_desc!$D$1))</f>
        <v/>
      </c>
      <c r="AA108" s="80">
        <f>IF($A108="","",_xll.BDP($A108&amp;" Corp","YAS_OAS_SPRD","SETTLE_DT",Company_desc!$D$1))</f>
        <v/>
      </c>
    </row>
    <row r="109">
      <c r="B109" s="75">
        <f>IF($A109="","",IFERROR(INDEX(Sheet1!$B:$B,MATCH($A109,Sheet1!$A:$A,0)),""))</f>
        <v/>
      </c>
      <c r="C109" s="75">
        <f>IF($A109="","",PROPER(_xll.BDP($A109&amp;" Corp","NAME")))</f>
        <v/>
      </c>
      <c r="D109" s="76">
        <f>IF($A109="","",_xll.BDP($A109&amp;" Corp","CPN"))</f>
        <v/>
      </c>
      <c r="E109" s="75">
        <f>IF($A109="","",_xll.BDP($A109&amp;" Corp","PAYMENT_RANK"))</f>
        <v/>
      </c>
      <c r="F109" s="100">
        <f>IF($A109="","",_xll.BDP($A109&amp;" Corp","MATURITY"))</f>
        <v/>
      </c>
      <c r="G109" s="75">
        <f>IF($A109="","",PROPER(_xll.BDP($A109&amp;" Corp","COUNTRY_FULL_NAME")))</f>
        <v/>
      </c>
      <c r="H109" s="75">
        <f>IF($A109="","",_xll.BDP($A109&amp;" Corp","INDUSTRY_SECTOR"))</f>
        <v/>
      </c>
      <c r="I109" s="101">
        <f>IF($A109="","",IFERROR(_xll.BDP($A109&amp;" Corp","MIN_PIECE")/1000,""))</f>
        <v/>
      </c>
      <c r="J109" s="31">
        <f>IF($A109="","",_xll.BDP($A109&amp;" Corp","PX_LAST"))</f>
        <v/>
      </c>
      <c r="K109" s="31">
        <f>IF($A109="","",_xll.BDP($A109&amp;" Corp","YAS_BOND_YLD","YAS_YLD_FLAG=15"))</f>
        <v/>
      </c>
      <c r="L109" s="31">
        <f>IF($A109="","",K109-_xll.BDP($A109&amp;" Corp","YAS_BOND_YLD","YAS_YLD_FLAG=15","SETTLE_DT",Company_desc!$A$1))</f>
        <v/>
      </c>
      <c r="M109" s="31">
        <f>IF($A109="","",K109-_xll.BDP($A109&amp;" Corp","YAS_BOND_YLD","YAS_YLD_FLAG=15","SETTLE_DT",Company_desc!$A$2))</f>
        <v/>
      </c>
      <c r="N109" s="79">
        <f>IF($A109="","",_xll.BDP($A109&amp;" Corp","YAS_OAS_SPRD"))</f>
        <v/>
      </c>
      <c r="O109" s="82">
        <f>IF($A109="","",_xll.BDP($A109&amp;" Corp","YAS_MOD_DUR"))</f>
        <v/>
      </c>
      <c r="P109" s="80">
        <f>IF($A109="","",IFERROR(INDEX(Sheet1!$P:$P,MATCH($A109,Sheet1!$A:$A,0)),""))</f>
        <v/>
      </c>
      <c r="Q109" s="75">
        <f>IF($A109="","",IFERROR(INDEX(Company_desc!$C:$C,MATCH($A109,Company_desc!$A:$A,0)),IFERROR(INDEX(Sheet1!$Q:$Q,MATCH($A109,Sheet1!$A:$A,0)),"")))</f>
        <v/>
      </c>
      <c r="R109" s="75">
        <f>IF($A109="","",_xll.BDP($A109&amp;" Corp","CRNCY"))</f>
        <v/>
      </c>
      <c r="S109" s="75">
        <f>IF($A109="","",IFERROR(INDEX(Sheet1!$S:$S,MATCH($A109,Sheet1!$A:$A,0)),""))</f>
        <v/>
      </c>
      <c r="T109" s="75">
        <f>IF($A109="","",IFERROR(INDEX(Sheet1!$T:$T,MATCH($A109,Sheet1!$A:$A,0)),_xll.BDP($A109&amp;" Corp","RTG_SP")))</f>
        <v/>
      </c>
      <c r="U109" s="75">
        <f>IF($A109="","",IFERROR(INDEX(Sheet1!$U:$U,MATCH($A109,Sheet1!$A:$A,0)),""))</f>
        <v/>
      </c>
      <c r="W109" s="81">
        <f>IF($A109="","",N109-_xll.BDP($A109&amp;" Corp","YAS_OAS_SPRD","SETTLE_DT",Company_desc!$A$1))</f>
        <v/>
      </c>
      <c r="X109" s="81">
        <f>IF($A109="","",N109-_xll.BDP($A109&amp;" Corp","YAS_OAS_SPRD","SETTLE_DT",Company_desc!$A$2))</f>
        <v/>
      </c>
      <c r="Y109" s="80">
        <f>IF($A109="","",N109-_xll.BDP($A109&amp;" Corp","YAS_OAS_SPRD","SETTLE_DT",Company_desc!$D$1))</f>
        <v/>
      </c>
      <c r="Z109" s="82">
        <f>IF($A109="","",K109-_xll.BDP($A109&amp;" Corp","YAS_BOND_YLD","YAS_YLD_FLAG=15","SETTLE_DT",Company_desc!$D$1))</f>
        <v/>
      </c>
      <c r="AA109" s="80">
        <f>IF($A109="","",_xll.BDP($A109&amp;" Corp","YAS_OAS_SPRD","SETTLE_DT",Company_desc!$D$1))</f>
        <v/>
      </c>
    </row>
    <row r="110">
      <c r="B110" s="75">
        <f>IF($A110="","",IFERROR(INDEX(Sheet1!$B:$B,MATCH($A110,Sheet1!$A:$A,0)),""))</f>
        <v/>
      </c>
      <c r="C110" s="75">
        <f>IF($A110="","",PROPER(_xll.BDP($A110&amp;" Corp","NAME")))</f>
        <v/>
      </c>
      <c r="D110" s="76">
        <f>IF($A110="","",_xll.BDP($A110&amp;" Corp","CPN"))</f>
        <v/>
      </c>
      <c r="E110" s="75">
        <f>IF($A110="","",_xll.BDP($A110&amp;" Corp","PAYMENT_RANK"))</f>
        <v/>
      </c>
      <c r="F110" s="100">
        <f>IF($A110="","",_xll.BDP($A110&amp;" Corp","MATURITY"))</f>
        <v/>
      </c>
      <c r="G110" s="75">
        <f>IF($A110="","",PROPER(_xll.BDP($A110&amp;" Corp","COUNTRY_FULL_NAME")))</f>
        <v/>
      </c>
      <c r="H110" s="75">
        <f>IF($A110="","",_xll.BDP($A110&amp;" Corp","INDUSTRY_SECTOR"))</f>
        <v/>
      </c>
      <c r="I110" s="101">
        <f>IF($A110="","",IFERROR(_xll.BDP($A110&amp;" Corp","MIN_PIECE")/1000,""))</f>
        <v/>
      </c>
      <c r="J110" s="31">
        <f>IF($A110="","",_xll.BDP($A110&amp;" Corp","PX_LAST"))</f>
        <v/>
      </c>
      <c r="K110" s="31">
        <f>IF($A110="","",_xll.BDP($A110&amp;" Corp","YAS_BOND_YLD","YAS_YLD_FLAG=15"))</f>
        <v/>
      </c>
      <c r="L110" s="31">
        <f>IF($A110="","",K110-_xll.BDP($A110&amp;" Corp","YAS_BOND_YLD","YAS_YLD_FLAG=15","SETTLE_DT",Company_desc!$A$1))</f>
        <v/>
      </c>
      <c r="M110" s="31">
        <f>IF($A110="","",K110-_xll.BDP($A110&amp;" Corp","YAS_BOND_YLD","YAS_YLD_FLAG=15","SETTLE_DT",Company_desc!$A$2))</f>
        <v/>
      </c>
      <c r="N110" s="79">
        <f>IF($A110="","",_xll.BDP($A110&amp;" Corp","YAS_OAS_SPRD"))</f>
        <v/>
      </c>
      <c r="O110" s="82">
        <f>IF($A110="","",_xll.BDP($A110&amp;" Corp","YAS_MOD_DUR"))</f>
        <v/>
      </c>
      <c r="P110" s="80">
        <f>IF($A110="","",IFERROR(INDEX(Sheet1!$P:$P,MATCH($A110,Sheet1!$A:$A,0)),""))</f>
        <v/>
      </c>
      <c r="Q110" s="75">
        <f>IF($A110="","",IFERROR(INDEX(Company_desc!$C:$C,MATCH($A110,Company_desc!$A:$A,0)),IFERROR(INDEX(Sheet1!$Q:$Q,MATCH($A110,Sheet1!$A:$A,0)),"")))</f>
        <v/>
      </c>
      <c r="R110" s="75">
        <f>IF($A110="","",_xll.BDP($A110&amp;" Corp","CRNCY"))</f>
        <v/>
      </c>
      <c r="S110" s="75">
        <f>IF($A110="","",IFERROR(INDEX(Sheet1!$S:$S,MATCH($A110,Sheet1!$A:$A,0)),""))</f>
        <v/>
      </c>
      <c r="T110" s="75">
        <f>IF($A110="","",IFERROR(INDEX(Sheet1!$T:$T,MATCH($A110,Sheet1!$A:$A,0)),_xll.BDP($A110&amp;" Corp","RTG_SP")))</f>
        <v/>
      </c>
      <c r="U110" s="75">
        <f>IF($A110="","",IFERROR(INDEX(Sheet1!$U:$U,MATCH($A110,Sheet1!$A:$A,0)),""))</f>
        <v/>
      </c>
      <c r="W110" s="81">
        <f>IF($A110="","",N110-_xll.BDP($A110&amp;" Corp","YAS_OAS_SPRD","SETTLE_DT",Company_desc!$A$1))</f>
        <v/>
      </c>
      <c r="X110" s="81">
        <f>IF($A110="","",N110-_xll.BDP($A110&amp;" Corp","YAS_OAS_SPRD","SETTLE_DT",Company_desc!$A$2))</f>
        <v/>
      </c>
      <c r="Y110" s="80">
        <f>IF($A110="","",N110-_xll.BDP($A110&amp;" Corp","YAS_OAS_SPRD","SETTLE_DT",Company_desc!$D$1))</f>
        <v/>
      </c>
      <c r="Z110" s="82">
        <f>IF($A110="","",K110-_xll.BDP($A110&amp;" Corp","YAS_BOND_YLD","YAS_YLD_FLAG=15","SETTLE_DT",Company_desc!$D$1))</f>
        <v/>
      </c>
      <c r="AA110" s="80">
        <f>IF($A110="","",_xll.BDP($A110&amp;" Corp","YAS_OAS_SPRD","SETTLE_DT",Company_desc!$D$1))</f>
        <v/>
      </c>
    </row>
    <row r="111">
      <c r="B111" s="75">
        <f>IF($A111="","",IFERROR(INDEX(Sheet1!$B:$B,MATCH($A111,Sheet1!$A:$A,0)),""))</f>
        <v/>
      </c>
      <c r="C111" s="75">
        <f>IF($A111="","",PROPER(_xll.BDP($A111&amp;" Corp","NAME")))</f>
        <v/>
      </c>
      <c r="D111" s="76">
        <f>IF($A111="","",_xll.BDP($A111&amp;" Corp","CPN"))</f>
        <v/>
      </c>
      <c r="E111" s="75">
        <f>IF($A111="","",_xll.BDP($A111&amp;" Corp","PAYMENT_RANK"))</f>
        <v/>
      </c>
      <c r="F111" s="100">
        <f>IF($A111="","",_xll.BDP($A111&amp;" Corp","MATURITY"))</f>
        <v/>
      </c>
      <c r="G111" s="75">
        <f>IF($A111="","",PROPER(_xll.BDP($A111&amp;" Corp","COUNTRY_FULL_NAME")))</f>
        <v/>
      </c>
      <c r="H111" s="75">
        <f>IF($A111="","",_xll.BDP($A111&amp;" Corp","INDUSTRY_SECTOR"))</f>
        <v/>
      </c>
      <c r="I111" s="101">
        <f>IF($A111="","",IFERROR(_xll.BDP($A111&amp;" Corp","MIN_PIECE")/1000,""))</f>
        <v/>
      </c>
      <c r="J111" s="31">
        <f>IF($A111="","",_xll.BDP($A111&amp;" Corp","PX_LAST"))</f>
        <v/>
      </c>
      <c r="K111" s="31">
        <f>IF($A111="","",_xll.BDP($A111&amp;" Corp","YAS_BOND_YLD","YAS_YLD_FLAG=15"))</f>
        <v/>
      </c>
      <c r="L111" s="31">
        <f>IF($A111="","",K111-_xll.BDP($A111&amp;" Corp","YAS_BOND_YLD","YAS_YLD_FLAG=15","SETTLE_DT",Company_desc!$A$1))</f>
        <v/>
      </c>
      <c r="M111" s="31">
        <f>IF($A111="","",K111-_xll.BDP($A111&amp;" Corp","YAS_BOND_YLD","YAS_YLD_FLAG=15","SETTLE_DT",Company_desc!$A$2))</f>
        <v/>
      </c>
      <c r="N111" s="79">
        <f>IF($A111="","",_xll.BDP($A111&amp;" Corp","YAS_OAS_SPRD"))</f>
        <v/>
      </c>
      <c r="O111" s="82">
        <f>IF($A111="","",_xll.BDP($A111&amp;" Corp","YAS_MOD_DUR"))</f>
        <v/>
      </c>
      <c r="P111" s="80">
        <f>IF($A111="","",IFERROR(INDEX(Sheet1!$P:$P,MATCH($A111,Sheet1!$A:$A,0)),""))</f>
        <v/>
      </c>
      <c r="Q111" s="75">
        <f>IF($A111="","",IFERROR(INDEX(Company_desc!$C:$C,MATCH($A111,Company_desc!$A:$A,0)),IFERROR(INDEX(Sheet1!$Q:$Q,MATCH($A111,Sheet1!$A:$A,0)),"")))</f>
        <v/>
      </c>
      <c r="R111" s="75">
        <f>IF($A111="","",_xll.BDP($A111&amp;" Corp","CRNCY"))</f>
        <v/>
      </c>
      <c r="S111" s="75">
        <f>IF($A111="","",IFERROR(INDEX(Sheet1!$S:$S,MATCH($A111,Sheet1!$A:$A,0)),""))</f>
        <v/>
      </c>
      <c r="T111" s="75">
        <f>IF($A111="","",IFERROR(INDEX(Sheet1!$T:$T,MATCH($A111,Sheet1!$A:$A,0)),_xll.BDP($A111&amp;" Corp","RTG_SP")))</f>
        <v/>
      </c>
      <c r="U111" s="75">
        <f>IF($A111="","",IFERROR(INDEX(Sheet1!$U:$U,MATCH($A111,Sheet1!$A:$A,0)),""))</f>
        <v/>
      </c>
      <c r="W111" s="81">
        <f>IF($A111="","",N111-_xll.BDP($A111&amp;" Corp","YAS_OAS_SPRD","SETTLE_DT",Company_desc!$A$1))</f>
        <v/>
      </c>
      <c r="X111" s="81">
        <f>IF($A111="","",N111-_xll.BDP($A111&amp;" Corp","YAS_OAS_SPRD","SETTLE_DT",Company_desc!$A$2))</f>
        <v/>
      </c>
      <c r="Y111" s="80">
        <f>IF($A111="","",N111-_xll.BDP($A111&amp;" Corp","YAS_OAS_SPRD","SETTLE_DT",Company_desc!$D$1))</f>
        <v/>
      </c>
      <c r="Z111" s="82">
        <f>IF($A111="","",K111-_xll.BDP($A111&amp;" Corp","YAS_BOND_YLD","YAS_YLD_FLAG=15","SETTLE_DT",Company_desc!$D$1))</f>
        <v/>
      </c>
      <c r="AA111" s="80">
        <f>IF($A111="","",_xll.BDP($A111&amp;" Corp","YAS_OAS_SPRD","SETTLE_DT",Company_desc!$D$1))</f>
        <v/>
      </c>
    </row>
    <row r="112">
      <c r="B112" s="75">
        <f>IF($A112="","",IFERROR(INDEX(Sheet1!$B:$B,MATCH($A112,Sheet1!$A:$A,0)),""))</f>
        <v/>
      </c>
      <c r="C112" s="75">
        <f>IF($A112="","",PROPER(_xll.BDP($A112&amp;" Corp","NAME")))</f>
        <v/>
      </c>
      <c r="D112" s="76">
        <f>IF($A112="","",_xll.BDP($A112&amp;" Corp","CPN"))</f>
        <v/>
      </c>
      <c r="E112" s="75">
        <f>IF($A112="","",_xll.BDP($A112&amp;" Corp","PAYMENT_RANK"))</f>
        <v/>
      </c>
      <c r="F112" s="100">
        <f>IF($A112="","",_xll.BDP($A112&amp;" Corp","MATURITY"))</f>
        <v/>
      </c>
      <c r="G112" s="75">
        <f>IF($A112="","",PROPER(_xll.BDP($A112&amp;" Corp","COUNTRY_FULL_NAME")))</f>
        <v/>
      </c>
      <c r="H112" s="75">
        <f>IF($A112="","",_xll.BDP($A112&amp;" Corp","INDUSTRY_SECTOR"))</f>
        <v/>
      </c>
      <c r="I112" s="101">
        <f>IF($A112="","",IFERROR(_xll.BDP($A112&amp;" Corp","MIN_PIECE")/1000,""))</f>
        <v/>
      </c>
      <c r="J112" s="31">
        <f>IF($A112="","",_xll.BDP($A112&amp;" Corp","PX_LAST"))</f>
        <v/>
      </c>
      <c r="K112" s="31">
        <f>IF($A112="","",_xll.BDP($A112&amp;" Corp","YAS_BOND_YLD","YAS_YLD_FLAG=15"))</f>
        <v/>
      </c>
      <c r="L112" s="31">
        <f>IF($A112="","",K112-_xll.BDP($A112&amp;" Corp","YAS_BOND_YLD","YAS_YLD_FLAG=15","SETTLE_DT",Company_desc!$A$1))</f>
        <v/>
      </c>
      <c r="M112" s="31">
        <f>IF($A112="","",K112-_xll.BDP($A112&amp;" Corp","YAS_BOND_YLD","YAS_YLD_FLAG=15","SETTLE_DT",Company_desc!$A$2))</f>
        <v/>
      </c>
      <c r="N112" s="79">
        <f>IF($A112="","",_xll.BDP($A112&amp;" Corp","YAS_OAS_SPRD"))</f>
        <v/>
      </c>
      <c r="O112" s="67">
        <f>IF($A112="","",_xll.BDP($A112&amp;" Corp","YAS_MOD_DUR"))</f>
        <v/>
      </c>
      <c r="P112" s="80">
        <f>IF($A112="","",IFERROR(INDEX(Sheet1!$P:$P,MATCH($A112,Sheet1!$A:$A,0)),""))</f>
        <v/>
      </c>
      <c r="Q112" s="75">
        <f>IF($A112="","",IFERROR(INDEX(Company_desc!$C:$C,MATCH($A112,Company_desc!$A:$A,0)),IFERROR(INDEX(Sheet1!$Q:$Q,MATCH($A112,Sheet1!$A:$A,0)),"")))</f>
        <v/>
      </c>
      <c r="R112" s="75">
        <f>IF($A112="","",_xll.BDP($A112&amp;" Corp","CRNCY"))</f>
        <v/>
      </c>
      <c r="S112" s="75">
        <f>IF($A112="","",IFERROR(INDEX(Sheet1!$S:$S,MATCH($A112,Sheet1!$A:$A,0)),""))</f>
        <v/>
      </c>
      <c r="T112" s="75">
        <f>IF($A112="","",IFERROR(INDEX(Sheet1!$T:$T,MATCH($A112,Sheet1!$A:$A,0)),_xll.BDP($A112&amp;" Corp","RTG_SP")))</f>
        <v/>
      </c>
      <c r="U112" s="75">
        <f>IF($A112="","",IFERROR(INDEX(Sheet1!$U:$U,MATCH($A112,Sheet1!$A:$A,0)),""))</f>
        <v/>
      </c>
      <c r="W112" s="81">
        <f>IF($A112="","",N112-_xll.BDP($A112&amp;" Corp","YAS_OAS_SPRD","SETTLE_DT",Company_desc!$A$1))</f>
        <v/>
      </c>
      <c r="X112" s="81">
        <f>IF($A112="","",N112-_xll.BDP($A112&amp;" Corp","YAS_OAS_SPRD","SETTLE_DT",Company_desc!$A$2))</f>
        <v/>
      </c>
      <c r="Y112" s="80">
        <f>IF($A112="","",N112-_xll.BDP($A112&amp;" Corp","YAS_OAS_SPRD","SETTLE_DT",Company_desc!$D$1))</f>
        <v/>
      </c>
      <c r="Z112" s="82">
        <f>IF($A112="","",K112-_xll.BDP($A112&amp;" Corp","YAS_BOND_YLD","YAS_YLD_FLAG=15","SETTLE_DT",Company_desc!$D$1))</f>
        <v/>
      </c>
      <c r="AA112" s="80">
        <f>IF($A112="","",_xll.BDP($A112&amp;" Corp","YAS_OAS_SPRD","SETTLE_DT",Company_desc!$D$1))</f>
        <v/>
      </c>
    </row>
    <row r="113">
      <c r="B113" s="75">
        <f>IF($A113="","",IFERROR(INDEX(Sheet1!$B:$B,MATCH($A113,Sheet1!$A:$A,0)),""))</f>
        <v/>
      </c>
      <c r="C113" s="75">
        <f>IF($A113="","",PROPER(_xll.BDP($A113&amp;" Corp","NAME")))</f>
        <v/>
      </c>
      <c r="D113" s="76">
        <f>IF($A113="","",_xll.BDP($A113&amp;" Corp","CPN"))</f>
        <v/>
      </c>
      <c r="E113" s="75">
        <f>IF($A113="","",_xll.BDP($A113&amp;" Corp","PAYMENT_RANK"))</f>
        <v/>
      </c>
      <c r="F113" s="100">
        <f>IF($A113="","",_xll.BDP($A113&amp;" Corp","MATURITY"))</f>
        <v/>
      </c>
      <c r="G113" s="75">
        <f>IF($A113="","",PROPER(_xll.BDP($A113&amp;" Corp","COUNTRY_FULL_NAME")))</f>
        <v/>
      </c>
      <c r="H113" s="75">
        <f>IF($A113="","",_xll.BDP($A113&amp;" Corp","INDUSTRY_SECTOR"))</f>
        <v/>
      </c>
      <c r="I113" s="101">
        <f>IF($A113="","",IFERROR(_xll.BDP($A113&amp;" Corp","MIN_PIECE")/1000,""))</f>
        <v/>
      </c>
      <c r="J113" s="31">
        <f>IF($A113="","",_xll.BDP($A113&amp;" Corp","PX_LAST"))</f>
        <v/>
      </c>
      <c r="K113" s="31">
        <f>IF($A113="","",_xll.BDP($A113&amp;" Corp","YAS_BOND_YLD","YAS_YLD_FLAG=15"))</f>
        <v/>
      </c>
      <c r="L113" s="31">
        <f>IF($A113="","",K113-_xll.BDP($A113&amp;" Corp","YAS_BOND_YLD","YAS_YLD_FLAG=15","SETTLE_DT",Company_desc!$A$1))</f>
        <v/>
      </c>
      <c r="M113" s="31">
        <f>IF($A113="","",K113-_xll.BDP($A113&amp;" Corp","YAS_BOND_YLD","YAS_YLD_FLAG=15","SETTLE_DT",Company_desc!$A$2))</f>
        <v/>
      </c>
      <c r="N113" s="79">
        <f>IF($A113="","",_xll.BDP($A113&amp;" Corp","YAS_OAS_SPRD"))</f>
        <v/>
      </c>
      <c r="O113" s="67">
        <f>IF($A113="","",_xll.BDP($A113&amp;" Corp","YAS_MOD_DUR"))</f>
        <v/>
      </c>
      <c r="P113" s="80">
        <f>IF($A113="","",IFERROR(INDEX(Sheet1!$P:$P,MATCH($A113,Sheet1!$A:$A,0)),""))</f>
        <v/>
      </c>
      <c r="Q113" s="75">
        <f>IF($A113="","",IFERROR(INDEX(Company_desc!$C:$C,MATCH($A113,Company_desc!$A:$A,0)),IFERROR(INDEX(Sheet1!$Q:$Q,MATCH($A113,Sheet1!$A:$A,0)),"")))</f>
        <v/>
      </c>
      <c r="R113" s="75">
        <f>IF($A113="","",_xll.BDP($A113&amp;" Corp","CRNCY"))</f>
        <v/>
      </c>
      <c r="S113" s="75">
        <f>IF($A113="","",IFERROR(INDEX(Sheet1!$S:$S,MATCH($A113,Sheet1!$A:$A,0)),""))</f>
        <v/>
      </c>
      <c r="T113" s="75">
        <f>IF($A113="","",IFERROR(INDEX(Sheet1!$T:$T,MATCH($A113,Sheet1!$A:$A,0)),_xll.BDP($A113&amp;" Corp","RTG_SP")))</f>
        <v/>
      </c>
      <c r="U113" s="75">
        <f>IF($A113="","",IFERROR(INDEX(Sheet1!$U:$U,MATCH($A113,Sheet1!$A:$A,0)),""))</f>
        <v/>
      </c>
      <c r="W113" s="81">
        <f>IF($A113="","",N113-_xll.BDP($A113&amp;" Corp","YAS_OAS_SPRD","SETTLE_DT",Company_desc!$A$1))</f>
        <v/>
      </c>
      <c r="X113" s="81">
        <f>IF($A113="","",N113-_xll.BDP($A113&amp;" Corp","YAS_OAS_SPRD","SETTLE_DT",Company_desc!$A$2))</f>
        <v/>
      </c>
      <c r="Y113" s="80">
        <f>IF($A113="","",N113-_xll.BDP($A113&amp;" Corp","YAS_OAS_SPRD","SETTLE_DT",Company_desc!$D$1))</f>
        <v/>
      </c>
      <c r="Z113" s="82">
        <f>IF($A113="","",K113-_xll.BDP($A113&amp;" Corp","YAS_BOND_YLD","YAS_YLD_FLAG=15","SETTLE_DT",Company_desc!$D$1))</f>
        <v/>
      </c>
      <c r="AA113" s="80">
        <f>IF($A113="","",_xll.BDP($A113&amp;" Corp","YAS_OAS_SPRD","SETTLE_DT",Company_desc!$D$1))</f>
        <v/>
      </c>
    </row>
    <row r="114">
      <c r="B114" s="75">
        <f>IF($A114="","",IFERROR(INDEX(Sheet1!$B:$B,MATCH($A114,Sheet1!$A:$A,0)),""))</f>
        <v/>
      </c>
      <c r="C114" s="75">
        <f>IF($A114="","",PROPER(_xll.BDP($A114&amp;" Corp","NAME")))</f>
        <v/>
      </c>
      <c r="D114" s="76">
        <f>IF($A114="","",_xll.BDP($A114&amp;" Corp","CPN"))</f>
        <v/>
      </c>
      <c r="E114" s="75">
        <f>IF($A114="","",_xll.BDP($A114&amp;" Corp","PAYMENT_RANK"))</f>
        <v/>
      </c>
      <c r="F114" s="100">
        <f>IF($A114="","",_xll.BDP($A114&amp;" Corp","MATURITY"))</f>
        <v/>
      </c>
      <c r="G114" s="75">
        <f>IF($A114="","",PROPER(_xll.BDP($A114&amp;" Corp","COUNTRY_FULL_NAME")))</f>
        <v/>
      </c>
      <c r="H114" s="75">
        <f>IF($A114="","",_xll.BDP($A114&amp;" Corp","INDUSTRY_SECTOR"))</f>
        <v/>
      </c>
      <c r="I114" s="101">
        <f>IF($A114="","",IFERROR(_xll.BDP($A114&amp;" Corp","MIN_PIECE")/1000,""))</f>
        <v/>
      </c>
      <c r="J114" s="31">
        <f>IF($A114="","",_xll.BDP($A114&amp;" Corp","PX_LAST"))</f>
        <v/>
      </c>
      <c r="K114" s="31">
        <f>IF($A114="","",_xll.BDP($A114&amp;" Corp","YAS_BOND_YLD","YAS_YLD_FLAG=15"))</f>
        <v/>
      </c>
      <c r="L114" s="31">
        <f>IF($A114="","",K114-_xll.BDP($A114&amp;" Corp","YAS_BOND_YLD","YAS_YLD_FLAG=15","SETTLE_DT",Company_desc!$A$1))</f>
        <v/>
      </c>
      <c r="M114" s="31">
        <f>IF($A114="","",K114-_xll.BDP($A114&amp;" Corp","YAS_BOND_YLD","YAS_YLD_FLAG=15","SETTLE_DT",Company_desc!$A$2))</f>
        <v/>
      </c>
      <c r="N114" s="79">
        <f>IF($A114="","",_xll.BDP($A114&amp;" Corp","YAS_OAS_SPRD"))</f>
        <v/>
      </c>
      <c r="O114" s="67">
        <f>IF($A114="","",_xll.BDP($A114&amp;" Corp","YAS_MOD_DUR"))</f>
        <v/>
      </c>
      <c r="P114" s="80">
        <f>IF($A114="","",IFERROR(INDEX(Sheet1!$P:$P,MATCH($A114,Sheet1!$A:$A,0)),""))</f>
        <v/>
      </c>
      <c r="Q114" s="75">
        <f>IF($A114="","",IFERROR(INDEX(Company_desc!$C:$C,MATCH($A114,Company_desc!$A:$A,0)),IFERROR(INDEX(Sheet1!$Q:$Q,MATCH($A114,Sheet1!$A:$A,0)),"")))</f>
        <v/>
      </c>
      <c r="R114" s="75">
        <f>IF($A114="","",_xll.BDP($A114&amp;" Corp","CRNCY"))</f>
        <v/>
      </c>
      <c r="S114" s="75">
        <f>IF($A114="","",IFERROR(INDEX(Sheet1!$S:$S,MATCH($A114,Sheet1!$A:$A,0)),""))</f>
        <v/>
      </c>
      <c r="T114" s="75">
        <f>IF($A114="","",IFERROR(INDEX(Sheet1!$T:$T,MATCH($A114,Sheet1!$A:$A,0)),_xll.BDP($A114&amp;" Corp","RTG_SP")))</f>
        <v/>
      </c>
      <c r="U114" s="75">
        <f>IF($A114="","",IFERROR(INDEX(Sheet1!$U:$U,MATCH($A114,Sheet1!$A:$A,0)),""))</f>
        <v/>
      </c>
      <c r="W114" s="81">
        <f>IF($A114="","",N114-_xll.BDP($A114&amp;" Corp","YAS_OAS_SPRD","SETTLE_DT",Company_desc!$A$1))</f>
        <v/>
      </c>
      <c r="X114" s="81">
        <f>IF($A114="","",N114-_xll.BDP($A114&amp;" Corp","YAS_OAS_SPRD","SETTLE_DT",Company_desc!$A$2))</f>
        <v/>
      </c>
      <c r="Y114" s="80">
        <f>IF($A114="","",N114-_xll.BDP($A114&amp;" Corp","YAS_OAS_SPRD","SETTLE_DT",Company_desc!$D$1))</f>
        <v/>
      </c>
      <c r="Z114" s="82">
        <f>IF($A114="","",K114-_xll.BDP($A114&amp;" Corp","YAS_BOND_YLD","YAS_YLD_FLAG=15","SETTLE_DT",Company_desc!$D$1))</f>
        <v/>
      </c>
      <c r="AA114" s="80">
        <f>IF($A114="","",_xll.BDP($A114&amp;" Corp","YAS_OAS_SPRD","SETTLE_DT",Company_desc!$D$1))</f>
        <v/>
      </c>
    </row>
    <row r="115">
      <c r="B115" s="75">
        <f>IF($A115="","",IFERROR(INDEX(Sheet1!$B:$B,MATCH($A115,Sheet1!$A:$A,0)),""))</f>
        <v/>
      </c>
      <c r="C115" s="75">
        <f>IF($A115="","",PROPER(_xll.BDP($A115&amp;" Corp","NAME")))</f>
        <v/>
      </c>
      <c r="D115" s="76">
        <f>IF($A115="","",_xll.BDP($A115&amp;" Corp","CPN"))</f>
        <v/>
      </c>
      <c r="E115" s="75">
        <f>IF($A115="","",_xll.BDP($A115&amp;" Corp","PAYMENT_RANK"))</f>
        <v/>
      </c>
      <c r="F115" s="100">
        <f>IF($A115="","",_xll.BDP($A115&amp;" Corp","MATURITY"))</f>
        <v/>
      </c>
      <c r="G115" s="75">
        <f>IF($A115="","",PROPER(_xll.BDP($A115&amp;" Corp","COUNTRY_FULL_NAME")))</f>
        <v/>
      </c>
      <c r="H115" s="75">
        <f>IF($A115="","",_xll.BDP($A115&amp;" Corp","INDUSTRY_SECTOR"))</f>
        <v/>
      </c>
      <c r="I115" s="101">
        <f>IF($A115="","",IFERROR(_xll.BDP($A115&amp;" Corp","MIN_PIECE")/1000,""))</f>
        <v/>
      </c>
      <c r="J115" s="31">
        <f>IF($A115="","",_xll.BDP($A115&amp;" Corp","PX_LAST"))</f>
        <v/>
      </c>
      <c r="K115" s="31">
        <f>IF($A115="","",_xll.BDP($A115&amp;" Corp","YAS_BOND_YLD","YAS_YLD_FLAG=15"))</f>
        <v/>
      </c>
      <c r="L115" s="31">
        <f>IF($A115="","",K115-_xll.BDP($A115&amp;" Corp","YAS_BOND_YLD","YAS_YLD_FLAG=15","SETTLE_DT",Company_desc!$A$1))</f>
        <v/>
      </c>
      <c r="M115" s="31">
        <f>IF($A115="","",K115-_xll.BDP($A115&amp;" Corp","YAS_BOND_YLD","YAS_YLD_FLAG=15","SETTLE_DT",Company_desc!$A$2))</f>
        <v/>
      </c>
      <c r="N115" s="79">
        <f>IF($A115="","",_xll.BDP($A115&amp;" Corp","YAS_OAS_SPRD"))</f>
        <v/>
      </c>
      <c r="O115" s="67">
        <f>IF($A115="","",_xll.BDP($A115&amp;" Corp","YAS_MOD_DUR"))</f>
        <v/>
      </c>
      <c r="P115" s="80">
        <f>IF($A115="","",IFERROR(INDEX(Sheet1!$P:$P,MATCH($A115,Sheet1!$A:$A,0)),""))</f>
        <v/>
      </c>
      <c r="Q115" s="75">
        <f>IF($A115="","",IFERROR(INDEX(Company_desc!$C:$C,MATCH($A115,Company_desc!$A:$A,0)),IFERROR(INDEX(Sheet1!$Q:$Q,MATCH($A115,Sheet1!$A:$A,0)),"")))</f>
        <v/>
      </c>
      <c r="R115" s="75">
        <f>IF($A115="","",_xll.BDP($A115&amp;" Corp","CRNCY"))</f>
        <v/>
      </c>
      <c r="S115" s="75">
        <f>IF($A115="","",IFERROR(INDEX(Sheet1!$S:$S,MATCH($A115,Sheet1!$A:$A,0)),""))</f>
        <v/>
      </c>
      <c r="T115" s="75">
        <f>IF($A115="","",IFERROR(INDEX(Sheet1!$T:$T,MATCH($A115,Sheet1!$A:$A,0)),_xll.BDP($A115&amp;" Corp","RTG_SP")))</f>
        <v/>
      </c>
      <c r="U115" s="75">
        <f>IF($A115="","",IFERROR(INDEX(Sheet1!$U:$U,MATCH($A115,Sheet1!$A:$A,0)),""))</f>
        <v/>
      </c>
      <c r="W115" s="81">
        <f>IF($A115="","",N115-_xll.BDP($A115&amp;" Corp","YAS_OAS_SPRD","SETTLE_DT",Company_desc!$A$1))</f>
        <v/>
      </c>
      <c r="X115" s="81">
        <f>IF($A115="","",N115-_xll.BDP($A115&amp;" Corp","YAS_OAS_SPRD","SETTLE_DT",Company_desc!$A$2))</f>
        <v/>
      </c>
      <c r="Y115" s="80">
        <f>IF($A115="","",N115-_xll.BDP($A115&amp;" Corp","YAS_OAS_SPRD","SETTLE_DT",Company_desc!$D$1))</f>
        <v/>
      </c>
      <c r="Z115" s="82">
        <f>IF($A115="","",K115-_xll.BDP($A115&amp;" Corp","YAS_BOND_YLD","YAS_YLD_FLAG=15","SETTLE_DT",Company_desc!$D$1))</f>
        <v/>
      </c>
      <c r="AA115" s="80">
        <f>IF($A115="","",_xll.BDP($A115&amp;" Corp","YAS_OAS_SPRD","SETTLE_DT",Company_desc!$D$1))</f>
        <v/>
      </c>
    </row>
    <row r="116">
      <c r="B116" s="75">
        <f>IF($A116="","",IFERROR(INDEX(Sheet1!$B:$B,MATCH($A116,Sheet1!$A:$A,0)),""))</f>
        <v/>
      </c>
      <c r="C116" s="75">
        <f>IF($A116="","",PROPER(_xll.BDP($A116&amp;" Corp","NAME")))</f>
        <v/>
      </c>
      <c r="D116" s="76">
        <f>IF($A116="","",_xll.BDP($A116&amp;" Corp","CPN"))</f>
        <v/>
      </c>
      <c r="E116" s="75">
        <f>IF($A116="","",_xll.BDP($A116&amp;" Corp","PAYMENT_RANK"))</f>
        <v/>
      </c>
      <c r="F116" s="100">
        <f>IF($A116="","",_xll.BDP($A116&amp;" Corp","MATURITY"))</f>
        <v/>
      </c>
      <c r="G116" s="75">
        <f>IF($A116="","",PROPER(_xll.BDP($A116&amp;" Corp","COUNTRY_FULL_NAME")))</f>
        <v/>
      </c>
      <c r="H116" s="75">
        <f>IF($A116="","",_xll.BDP($A116&amp;" Corp","INDUSTRY_SECTOR"))</f>
        <v/>
      </c>
      <c r="I116" s="101">
        <f>IF($A116="","",IFERROR(_xll.BDP($A116&amp;" Corp","MIN_PIECE")/1000,""))</f>
        <v/>
      </c>
      <c r="J116" s="31">
        <f>IF($A116="","",_xll.BDP($A116&amp;" Corp","PX_LAST"))</f>
        <v/>
      </c>
      <c r="K116" s="31">
        <f>IF($A116="","",_xll.BDP($A116&amp;" Corp","YAS_BOND_YLD","YAS_YLD_FLAG=15"))</f>
        <v/>
      </c>
      <c r="L116" s="31">
        <f>IF($A116="","",K116-_xll.BDP($A116&amp;" Corp","YAS_BOND_YLD","YAS_YLD_FLAG=15","SETTLE_DT",Company_desc!$A$1))</f>
        <v/>
      </c>
      <c r="M116" s="31">
        <f>IF($A116="","",K116-_xll.BDP($A116&amp;" Corp","YAS_BOND_YLD","YAS_YLD_FLAG=15","SETTLE_DT",Company_desc!$A$2))</f>
        <v/>
      </c>
      <c r="N116" s="79">
        <f>IF($A116="","",_xll.BDP($A116&amp;" Corp","YAS_OAS_SPRD"))</f>
        <v/>
      </c>
      <c r="O116" s="67">
        <f>IF($A116="","",_xll.BDP($A116&amp;" Corp","YAS_MOD_DUR"))</f>
        <v/>
      </c>
      <c r="P116" s="80">
        <f>IF($A116="","",IFERROR(INDEX(Sheet1!$P:$P,MATCH($A116,Sheet1!$A:$A,0)),""))</f>
        <v/>
      </c>
      <c r="Q116" s="75">
        <f>IF($A116="","",IFERROR(INDEX(Company_desc!$C:$C,MATCH($A116,Company_desc!$A:$A,0)),IFERROR(INDEX(Sheet1!$Q:$Q,MATCH($A116,Sheet1!$A:$A,0)),"")))</f>
        <v/>
      </c>
      <c r="R116" s="75">
        <f>IF($A116="","",_xll.BDP($A116&amp;" Corp","CRNCY"))</f>
        <v/>
      </c>
      <c r="S116" s="75">
        <f>IF($A116="","",IFERROR(INDEX(Sheet1!$S:$S,MATCH($A116,Sheet1!$A:$A,0)),""))</f>
        <v/>
      </c>
      <c r="T116" s="75">
        <f>IF($A116="","",IFERROR(INDEX(Sheet1!$T:$T,MATCH($A116,Sheet1!$A:$A,0)),_xll.BDP($A116&amp;" Corp","RTG_SP")))</f>
        <v/>
      </c>
      <c r="U116" s="75">
        <f>IF($A116="","",IFERROR(INDEX(Sheet1!$U:$U,MATCH($A116,Sheet1!$A:$A,0)),""))</f>
        <v/>
      </c>
      <c r="W116" s="81">
        <f>IF($A116="","",N116-_xll.BDP($A116&amp;" Corp","YAS_OAS_SPRD","SETTLE_DT",Company_desc!$A$1))</f>
        <v/>
      </c>
      <c r="X116" s="81">
        <f>IF($A116="","",N116-_xll.BDP($A116&amp;" Corp","YAS_OAS_SPRD","SETTLE_DT",Company_desc!$A$2))</f>
        <v/>
      </c>
      <c r="Y116" s="80">
        <f>IF($A116="","",N116-_xll.BDP($A116&amp;" Corp","YAS_OAS_SPRD","SETTLE_DT",Company_desc!$D$1))</f>
        <v/>
      </c>
      <c r="Z116" s="82">
        <f>IF($A116="","",K116-_xll.BDP($A116&amp;" Corp","YAS_BOND_YLD","YAS_YLD_FLAG=15","SETTLE_DT",Company_desc!$D$1))</f>
        <v/>
      </c>
      <c r="AA116" s="80">
        <f>IF($A116="","",_xll.BDP($A116&amp;" Corp","YAS_OAS_SPRD","SETTLE_DT",Company_desc!$D$1))</f>
        <v/>
      </c>
    </row>
    <row r="117">
      <c r="B117" s="75">
        <f>IF($A117="","",IFERROR(INDEX(Sheet1!$B:$B,MATCH($A117,Sheet1!$A:$A,0)),""))</f>
        <v/>
      </c>
      <c r="C117" s="75">
        <f>IF($A117="","",PROPER(_xll.BDP($A117&amp;" Corp","NAME")))</f>
        <v/>
      </c>
      <c r="D117" s="76">
        <f>IF($A117="","",_xll.BDP($A117&amp;" Corp","CPN"))</f>
        <v/>
      </c>
      <c r="E117" s="75">
        <f>IF($A117="","",_xll.BDP($A117&amp;" Corp","PAYMENT_RANK"))</f>
        <v/>
      </c>
      <c r="F117" s="100">
        <f>IF($A117="","",_xll.BDP($A117&amp;" Corp","MATURITY"))</f>
        <v/>
      </c>
      <c r="G117" s="75">
        <f>IF($A117="","",PROPER(_xll.BDP($A117&amp;" Corp","COUNTRY_FULL_NAME")))</f>
        <v/>
      </c>
      <c r="H117" s="75">
        <f>IF($A117="","",_xll.BDP($A117&amp;" Corp","INDUSTRY_SECTOR"))</f>
        <v/>
      </c>
      <c r="I117" s="101">
        <f>IF($A117="","",IFERROR(_xll.BDP($A117&amp;" Corp","MIN_PIECE")/1000,""))</f>
        <v/>
      </c>
      <c r="J117" s="31">
        <f>IF($A117="","",_xll.BDP($A117&amp;" Corp","PX_LAST"))</f>
        <v/>
      </c>
      <c r="K117" s="31">
        <f>IF($A117="","",_xll.BDP($A117&amp;" Corp","YAS_BOND_YLD","YAS_YLD_FLAG=15"))</f>
        <v/>
      </c>
      <c r="L117" s="31">
        <f>IF($A117="","",K117-_xll.BDP($A117&amp;" Corp","YAS_BOND_YLD","YAS_YLD_FLAG=15","SETTLE_DT",Company_desc!$A$1))</f>
        <v/>
      </c>
      <c r="M117" s="31">
        <f>IF($A117="","",K117-_xll.BDP($A117&amp;" Corp","YAS_BOND_YLD","YAS_YLD_FLAG=15","SETTLE_DT",Company_desc!$A$2))</f>
        <v/>
      </c>
      <c r="N117" s="79">
        <f>IF($A117="","",_xll.BDP($A117&amp;" Corp","YAS_OAS_SPRD"))</f>
        <v/>
      </c>
      <c r="O117" s="67">
        <f>IF($A117="","",_xll.BDP($A117&amp;" Corp","YAS_MOD_DUR"))</f>
        <v/>
      </c>
      <c r="P117" s="80">
        <f>IF($A117="","",IFERROR(INDEX(Sheet1!$P:$P,MATCH($A117,Sheet1!$A:$A,0)),""))</f>
        <v/>
      </c>
      <c r="Q117" s="75">
        <f>IF($A117="","",IFERROR(INDEX(Company_desc!$C:$C,MATCH($A117,Company_desc!$A:$A,0)),IFERROR(INDEX(Sheet1!$Q:$Q,MATCH($A117,Sheet1!$A:$A,0)),"")))</f>
        <v/>
      </c>
      <c r="R117" s="75">
        <f>IF($A117="","",_xll.BDP($A117&amp;" Corp","CRNCY"))</f>
        <v/>
      </c>
      <c r="S117" s="75">
        <f>IF($A117="","",IFERROR(INDEX(Sheet1!$S:$S,MATCH($A117,Sheet1!$A:$A,0)),""))</f>
        <v/>
      </c>
      <c r="T117" s="75">
        <f>IF($A117="","",IFERROR(INDEX(Sheet1!$T:$T,MATCH($A117,Sheet1!$A:$A,0)),_xll.BDP($A117&amp;" Corp","RTG_SP")))</f>
        <v/>
      </c>
      <c r="U117" s="75">
        <f>IF($A117="","",IFERROR(INDEX(Sheet1!$U:$U,MATCH($A117,Sheet1!$A:$A,0)),""))</f>
        <v/>
      </c>
      <c r="W117" s="81">
        <f>IF($A117="","",N117-_xll.BDP($A117&amp;" Corp","YAS_OAS_SPRD","SETTLE_DT",Company_desc!$A$1))</f>
        <v/>
      </c>
      <c r="X117" s="81">
        <f>IF($A117="","",N117-_xll.BDP($A117&amp;" Corp","YAS_OAS_SPRD","SETTLE_DT",Company_desc!$A$2))</f>
        <v/>
      </c>
      <c r="Y117" s="80">
        <f>IF($A117="","",N117-_xll.BDP($A117&amp;" Corp","YAS_OAS_SPRD","SETTLE_DT",Company_desc!$D$1))</f>
        <v/>
      </c>
      <c r="Z117" s="82">
        <f>IF($A117="","",K117-_xll.BDP($A117&amp;" Corp","YAS_BOND_YLD","YAS_YLD_FLAG=15","SETTLE_DT",Company_desc!$D$1))</f>
        <v/>
      </c>
      <c r="AA117" s="80">
        <f>IF($A117="","",_xll.BDP($A117&amp;" Corp","YAS_OAS_SPRD","SETTLE_DT",Company_desc!$D$1))</f>
        <v/>
      </c>
    </row>
    <row r="118">
      <c r="B118" s="75">
        <f>IF($A118="","",IFERROR(INDEX(Sheet1!$B:$B,MATCH($A118,Sheet1!$A:$A,0)),""))</f>
        <v/>
      </c>
      <c r="C118" s="75">
        <f>IF($A118="","",PROPER(_xll.BDP($A118&amp;" Corp","NAME")))</f>
        <v/>
      </c>
      <c r="D118" s="76">
        <f>IF($A118="","",_xll.BDP($A118&amp;" Corp","CPN"))</f>
        <v/>
      </c>
      <c r="E118" s="75">
        <f>IF($A118="","",_xll.BDP($A118&amp;" Corp","PAYMENT_RANK"))</f>
        <v/>
      </c>
      <c r="F118" s="100">
        <f>IF($A118="","",_xll.BDP($A118&amp;" Corp","MATURITY"))</f>
        <v/>
      </c>
      <c r="G118" s="75">
        <f>IF($A118="","",PROPER(_xll.BDP($A118&amp;" Corp","COUNTRY_FULL_NAME")))</f>
        <v/>
      </c>
      <c r="H118" s="75">
        <f>IF($A118="","",_xll.BDP($A118&amp;" Corp","INDUSTRY_SECTOR"))</f>
        <v/>
      </c>
      <c r="I118" s="101">
        <f>IF($A118="","",IFERROR(_xll.BDP($A118&amp;" Corp","MIN_PIECE")/1000,""))</f>
        <v/>
      </c>
      <c r="J118" s="31">
        <f>IF($A118="","",_xll.BDP($A118&amp;" Corp","PX_LAST"))</f>
        <v/>
      </c>
      <c r="K118" s="31">
        <f>IF($A118="","",_xll.BDP($A118&amp;" Corp","YAS_BOND_YLD","YAS_YLD_FLAG=15"))</f>
        <v/>
      </c>
      <c r="L118" s="31">
        <f>IF($A118="","",K118-_xll.BDP($A118&amp;" Corp","YAS_BOND_YLD","YAS_YLD_FLAG=15","SETTLE_DT",Company_desc!$A$1))</f>
        <v/>
      </c>
      <c r="M118" s="31">
        <f>IF($A118="","",K118-_xll.BDP($A118&amp;" Corp","YAS_BOND_YLD","YAS_YLD_FLAG=15","SETTLE_DT",Company_desc!$A$2))</f>
        <v/>
      </c>
      <c r="N118" s="79">
        <f>IF($A118="","",_xll.BDP($A118&amp;" Corp","YAS_OAS_SPRD"))</f>
        <v/>
      </c>
      <c r="O118" s="67">
        <f>IF($A118="","",_xll.BDP($A118&amp;" Corp","YAS_MOD_DUR"))</f>
        <v/>
      </c>
      <c r="P118" s="80">
        <f>IF($A118="","",IFERROR(INDEX(Sheet1!$P:$P,MATCH($A118,Sheet1!$A:$A,0)),""))</f>
        <v/>
      </c>
      <c r="Q118" s="75">
        <f>IF($A118="","",IFERROR(INDEX(Company_desc!$C:$C,MATCH($A118,Company_desc!$A:$A,0)),IFERROR(INDEX(Sheet1!$Q:$Q,MATCH($A118,Sheet1!$A:$A,0)),"")))</f>
        <v/>
      </c>
      <c r="R118" s="75">
        <f>IF($A118="","",_xll.BDP($A118&amp;" Corp","CRNCY"))</f>
        <v/>
      </c>
      <c r="S118" s="75">
        <f>IF($A118="","",IFERROR(INDEX(Sheet1!$S:$S,MATCH($A118,Sheet1!$A:$A,0)),""))</f>
        <v/>
      </c>
      <c r="T118" s="75">
        <f>IF($A118="","",IFERROR(INDEX(Sheet1!$T:$T,MATCH($A118,Sheet1!$A:$A,0)),_xll.BDP($A118&amp;" Corp","RTG_SP")))</f>
        <v/>
      </c>
      <c r="U118" s="75">
        <f>IF($A118="","",IFERROR(INDEX(Sheet1!$U:$U,MATCH($A118,Sheet1!$A:$A,0)),""))</f>
        <v/>
      </c>
      <c r="W118" s="81">
        <f>IF($A118="","",N118-_xll.BDP($A118&amp;" Corp","YAS_OAS_SPRD","SETTLE_DT",Company_desc!$A$1))</f>
        <v/>
      </c>
      <c r="X118" s="81">
        <f>IF($A118="","",N118-_xll.BDP($A118&amp;" Corp","YAS_OAS_SPRD","SETTLE_DT",Company_desc!$A$2))</f>
        <v/>
      </c>
      <c r="Y118" s="80">
        <f>IF($A118="","",N118-_xll.BDP($A118&amp;" Corp","YAS_OAS_SPRD","SETTLE_DT",Company_desc!$D$1))</f>
        <v/>
      </c>
      <c r="Z118" s="82">
        <f>IF($A118="","",K118-_xll.BDP($A118&amp;" Corp","YAS_BOND_YLD","YAS_YLD_FLAG=15","SETTLE_DT",Company_desc!$D$1))</f>
        <v/>
      </c>
      <c r="AA118" s="80">
        <f>IF($A118="","",_xll.BDP($A118&amp;" Corp","YAS_OAS_SPRD","SETTLE_DT",Company_desc!$D$1))</f>
        <v/>
      </c>
    </row>
    <row r="119">
      <c r="B119" s="75">
        <f>IF($A119="","",IFERROR(INDEX(Sheet1!$B:$B,MATCH($A119,Sheet1!$A:$A,0)),""))</f>
        <v/>
      </c>
      <c r="C119" s="75">
        <f>IF($A119="","",PROPER(_xll.BDP($A119&amp;" Corp","NAME")))</f>
        <v/>
      </c>
      <c r="D119" s="76">
        <f>IF($A119="","",_xll.BDP($A119&amp;" Corp","CPN"))</f>
        <v/>
      </c>
      <c r="E119" s="75">
        <f>IF($A119="","",_xll.BDP($A119&amp;" Corp","PAYMENT_RANK"))</f>
        <v/>
      </c>
      <c r="F119" s="100">
        <f>IF($A119="","",_xll.BDP($A119&amp;" Corp","MATURITY"))</f>
        <v/>
      </c>
      <c r="G119" s="75">
        <f>IF($A119="","",PROPER(_xll.BDP($A119&amp;" Corp","COUNTRY_FULL_NAME")))</f>
        <v/>
      </c>
      <c r="H119" s="75">
        <f>IF($A119="","",_xll.BDP($A119&amp;" Corp","INDUSTRY_SECTOR"))</f>
        <v/>
      </c>
      <c r="I119" s="101">
        <f>IF($A119="","",IFERROR(_xll.BDP($A119&amp;" Corp","MIN_PIECE")/1000,""))</f>
        <v/>
      </c>
      <c r="J119" s="31">
        <f>IF($A119="","",_xll.BDP($A119&amp;" Corp","PX_LAST"))</f>
        <v/>
      </c>
      <c r="K119" s="31">
        <f>IF($A119="","",_xll.BDP($A119&amp;" Corp","YAS_BOND_YLD","YAS_YLD_FLAG=15"))</f>
        <v/>
      </c>
      <c r="L119" s="31">
        <f>IF($A119="","",K119-_xll.BDP($A119&amp;" Corp","YAS_BOND_YLD","YAS_YLD_FLAG=15","SETTLE_DT",Company_desc!$A$1))</f>
        <v/>
      </c>
      <c r="M119" s="31">
        <f>IF($A119="","",K119-_xll.BDP($A119&amp;" Corp","YAS_BOND_YLD","YAS_YLD_FLAG=15","SETTLE_DT",Company_desc!$A$2))</f>
        <v/>
      </c>
      <c r="N119" s="79">
        <f>IF($A119="","",_xll.BDP($A119&amp;" Corp","YAS_OAS_SPRD"))</f>
        <v/>
      </c>
      <c r="O119" s="67">
        <f>IF($A119="","",_xll.BDP($A119&amp;" Corp","YAS_MOD_DUR"))</f>
        <v/>
      </c>
      <c r="P119" s="80">
        <f>IF($A119="","",IFERROR(INDEX(Sheet1!$P:$P,MATCH($A119,Sheet1!$A:$A,0)),""))</f>
        <v/>
      </c>
      <c r="Q119" s="75">
        <f>IF($A119="","",IFERROR(INDEX(Company_desc!$C:$C,MATCH($A119,Company_desc!$A:$A,0)),IFERROR(INDEX(Sheet1!$Q:$Q,MATCH($A119,Sheet1!$A:$A,0)),"")))</f>
        <v/>
      </c>
      <c r="R119" s="75">
        <f>IF($A119="","",_xll.BDP($A119&amp;" Corp","CRNCY"))</f>
        <v/>
      </c>
      <c r="S119" s="75">
        <f>IF($A119="","",IFERROR(INDEX(Sheet1!$S:$S,MATCH($A119,Sheet1!$A:$A,0)),""))</f>
        <v/>
      </c>
      <c r="T119" s="75">
        <f>IF($A119="","",IFERROR(INDEX(Sheet1!$T:$T,MATCH($A119,Sheet1!$A:$A,0)),_xll.BDP($A119&amp;" Corp","RTG_SP")))</f>
        <v/>
      </c>
      <c r="U119" s="75">
        <f>IF($A119="","",IFERROR(INDEX(Sheet1!$U:$U,MATCH($A119,Sheet1!$A:$A,0)),""))</f>
        <v/>
      </c>
      <c r="W119" s="81">
        <f>IF($A119="","",N119-_xll.BDP($A119&amp;" Corp","YAS_OAS_SPRD","SETTLE_DT",Company_desc!$A$1))</f>
        <v/>
      </c>
      <c r="X119" s="81">
        <f>IF($A119="","",N119-_xll.BDP($A119&amp;" Corp","YAS_OAS_SPRD","SETTLE_DT",Company_desc!$A$2))</f>
        <v/>
      </c>
      <c r="Y119" s="80">
        <f>IF($A119="","",N119-_xll.BDP($A119&amp;" Corp","YAS_OAS_SPRD","SETTLE_DT",Company_desc!$D$1))</f>
        <v/>
      </c>
      <c r="Z119" s="82">
        <f>IF($A119="","",K119-_xll.BDP($A119&amp;" Corp","YAS_BOND_YLD","YAS_YLD_FLAG=15","SETTLE_DT",Company_desc!$D$1))</f>
        <v/>
      </c>
      <c r="AA119" s="80">
        <f>IF($A119="","",_xll.BDP($A119&amp;" Corp","YAS_OAS_SPRD","SETTLE_DT",Company_desc!$D$1))</f>
        <v/>
      </c>
    </row>
    <row r="120">
      <c r="B120" s="75">
        <f>IF($A120="","",IFERROR(INDEX(Sheet1!$B:$B,MATCH($A120,Sheet1!$A:$A,0)),""))</f>
        <v/>
      </c>
      <c r="C120" s="75">
        <f>IF($A120="","",PROPER(_xll.BDP($A120&amp;" Corp","NAME")))</f>
        <v/>
      </c>
      <c r="D120" s="76">
        <f>IF($A120="","",_xll.BDP($A120&amp;" Corp","CPN"))</f>
        <v/>
      </c>
      <c r="E120" s="75">
        <f>IF($A120="","",_xll.BDP($A120&amp;" Corp","PAYMENT_RANK"))</f>
        <v/>
      </c>
      <c r="F120" s="100">
        <f>IF($A120="","",_xll.BDP($A120&amp;" Corp","MATURITY"))</f>
        <v/>
      </c>
      <c r="G120" s="75">
        <f>IF($A120="","",PROPER(_xll.BDP($A120&amp;" Corp","COUNTRY_FULL_NAME")))</f>
        <v/>
      </c>
      <c r="H120" s="75">
        <f>IF($A120="","",_xll.BDP($A120&amp;" Corp","INDUSTRY_SECTOR"))</f>
        <v/>
      </c>
      <c r="I120" s="101">
        <f>IF($A120="","",IFERROR(_xll.BDP($A120&amp;" Corp","MIN_PIECE")/1000,""))</f>
        <v/>
      </c>
      <c r="J120" s="31">
        <f>IF($A120="","",_xll.BDP($A120&amp;" Corp","PX_LAST"))</f>
        <v/>
      </c>
      <c r="K120" s="31">
        <f>IF($A120="","",_xll.BDP($A120&amp;" Corp","YAS_BOND_YLD","YAS_YLD_FLAG=15"))</f>
        <v/>
      </c>
      <c r="L120" s="31">
        <f>IF($A120="","",K120-_xll.BDP($A120&amp;" Corp","YAS_BOND_YLD","YAS_YLD_FLAG=15","SETTLE_DT",Company_desc!$A$1))</f>
        <v/>
      </c>
      <c r="M120" s="31">
        <f>IF($A120="","",K120-_xll.BDP($A120&amp;" Corp","YAS_BOND_YLD","YAS_YLD_FLAG=15","SETTLE_DT",Company_desc!$A$2))</f>
        <v/>
      </c>
      <c r="N120" s="79">
        <f>IF($A120="","",_xll.BDP($A120&amp;" Corp","YAS_OAS_SPRD"))</f>
        <v/>
      </c>
      <c r="O120" s="67">
        <f>IF($A120="","",_xll.BDP($A120&amp;" Corp","YAS_MOD_DUR"))</f>
        <v/>
      </c>
      <c r="P120" s="80">
        <f>IF($A120="","",IFERROR(INDEX(Sheet1!$P:$P,MATCH($A120,Sheet1!$A:$A,0)),""))</f>
        <v/>
      </c>
      <c r="Q120" s="75">
        <f>IF($A120="","",IFERROR(INDEX(Company_desc!$C:$C,MATCH($A120,Company_desc!$A:$A,0)),IFERROR(INDEX(Sheet1!$Q:$Q,MATCH($A120,Sheet1!$A:$A,0)),"")))</f>
        <v/>
      </c>
      <c r="R120" s="75">
        <f>IF($A120="","",_xll.BDP($A120&amp;" Corp","CRNCY"))</f>
        <v/>
      </c>
      <c r="S120" s="75">
        <f>IF($A120="","",IFERROR(INDEX(Sheet1!$S:$S,MATCH($A120,Sheet1!$A:$A,0)),""))</f>
        <v/>
      </c>
      <c r="T120" s="75">
        <f>IF($A120="","",IFERROR(INDEX(Sheet1!$T:$T,MATCH($A120,Sheet1!$A:$A,0)),_xll.BDP($A120&amp;" Corp","RTG_SP")))</f>
        <v/>
      </c>
      <c r="U120" s="75">
        <f>IF($A120="","",IFERROR(INDEX(Sheet1!$U:$U,MATCH($A120,Sheet1!$A:$A,0)),""))</f>
        <v/>
      </c>
      <c r="W120" s="81">
        <f>IF($A120="","",N120-_xll.BDP($A120&amp;" Corp","YAS_OAS_SPRD","SETTLE_DT",Company_desc!$A$1))</f>
        <v/>
      </c>
      <c r="X120" s="81">
        <f>IF($A120="","",N120-_xll.BDP($A120&amp;" Corp","YAS_OAS_SPRD","SETTLE_DT",Company_desc!$A$2))</f>
        <v/>
      </c>
      <c r="Y120" s="80">
        <f>IF($A120="","",N120-_xll.BDP($A120&amp;" Corp","YAS_OAS_SPRD","SETTLE_DT",Company_desc!$D$1))</f>
        <v/>
      </c>
      <c r="Z120" s="82">
        <f>IF($A120="","",K120-_xll.BDP($A120&amp;" Corp","YAS_BOND_YLD","YAS_YLD_FLAG=15","SETTLE_DT",Company_desc!$D$1))</f>
        <v/>
      </c>
      <c r="AA120" s="80">
        <f>IF($A120="","",_xll.BDP($A120&amp;" Corp","YAS_OAS_SPRD","SETTLE_DT",Company_desc!$D$1))</f>
        <v/>
      </c>
    </row>
    <row r="121">
      <c r="B121" s="75">
        <f>IF($A121="","",IFERROR(INDEX(Sheet1!$B:$B,MATCH($A121,Sheet1!$A:$A,0)),""))</f>
        <v/>
      </c>
      <c r="C121" s="75">
        <f>IF($A121="","",PROPER(_xll.BDP($A121&amp;" Corp","NAME")))</f>
        <v/>
      </c>
      <c r="D121" s="76">
        <f>IF($A121="","",_xll.BDP($A121&amp;" Corp","CPN"))</f>
        <v/>
      </c>
      <c r="E121" s="75">
        <f>IF($A121="","",_xll.BDP($A121&amp;" Corp","PAYMENT_RANK"))</f>
        <v/>
      </c>
      <c r="F121" s="100">
        <f>IF($A121="","",_xll.BDP($A121&amp;" Corp","MATURITY"))</f>
        <v/>
      </c>
      <c r="G121" s="75">
        <f>IF($A121="","",PROPER(_xll.BDP($A121&amp;" Corp","COUNTRY_FULL_NAME")))</f>
        <v/>
      </c>
      <c r="H121" s="75">
        <f>IF($A121="","",_xll.BDP($A121&amp;" Corp","INDUSTRY_SECTOR"))</f>
        <v/>
      </c>
      <c r="I121" s="101">
        <f>IF($A121="","",IFERROR(_xll.BDP($A121&amp;" Corp","MIN_PIECE")/1000,""))</f>
        <v/>
      </c>
      <c r="J121" s="31">
        <f>IF($A121="","",_xll.BDP($A121&amp;" Corp","PX_LAST"))</f>
        <v/>
      </c>
      <c r="K121" s="31">
        <f>IF($A121="","",_xll.BDP($A121&amp;" Corp","YAS_BOND_YLD","YAS_YLD_FLAG=15"))</f>
        <v/>
      </c>
      <c r="L121" s="31">
        <f>IF($A121="","",K121-_xll.BDP($A121&amp;" Corp","YAS_BOND_YLD","YAS_YLD_FLAG=15","SETTLE_DT",Company_desc!$A$1))</f>
        <v/>
      </c>
      <c r="M121" s="31">
        <f>IF($A121="","",K121-_xll.BDP($A121&amp;" Corp","YAS_BOND_YLD","YAS_YLD_FLAG=15","SETTLE_DT",Company_desc!$A$2))</f>
        <v/>
      </c>
      <c r="N121" s="79">
        <f>IF($A121="","",_xll.BDP($A121&amp;" Corp","YAS_OAS_SPRD"))</f>
        <v/>
      </c>
      <c r="O121" s="67">
        <f>IF($A121="","",_xll.BDP($A121&amp;" Corp","YAS_MOD_DUR"))</f>
        <v/>
      </c>
      <c r="P121" s="80">
        <f>IF($A121="","",IFERROR(INDEX(Sheet1!$P:$P,MATCH($A121,Sheet1!$A:$A,0)),""))</f>
        <v/>
      </c>
      <c r="Q121" s="75">
        <f>IF($A121="","",IFERROR(INDEX(Company_desc!$C:$C,MATCH($A121,Company_desc!$A:$A,0)),IFERROR(INDEX(Sheet1!$Q:$Q,MATCH($A121,Sheet1!$A:$A,0)),"")))</f>
        <v/>
      </c>
      <c r="R121" s="75">
        <f>IF($A121="","",_xll.BDP($A121&amp;" Corp","CRNCY"))</f>
        <v/>
      </c>
      <c r="S121" s="75">
        <f>IF($A121="","",IFERROR(INDEX(Sheet1!$S:$S,MATCH($A121,Sheet1!$A:$A,0)),""))</f>
        <v/>
      </c>
      <c r="T121" s="75">
        <f>IF($A121="","",IFERROR(INDEX(Sheet1!$T:$T,MATCH($A121,Sheet1!$A:$A,0)),_xll.BDP($A121&amp;" Corp","RTG_SP")))</f>
        <v/>
      </c>
      <c r="U121" s="75">
        <f>IF($A121="","",IFERROR(INDEX(Sheet1!$U:$U,MATCH($A121,Sheet1!$A:$A,0)),""))</f>
        <v/>
      </c>
      <c r="W121" s="81">
        <f>IF($A121="","",N121-_xll.BDP($A121&amp;" Corp","YAS_OAS_SPRD","SETTLE_DT",Company_desc!$A$1))</f>
        <v/>
      </c>
      <c r="X121" s="81">
        <f>IF($A121="","",N121-_xll.BDP($A121&amp;" Corp","YAS_OAS_SPRD","SETTLE_DT",Company_desc!$A$2))</f>
        <v/>
      </c>
      <c r="Y121" s="80">
        <f>IF($A121="","",N121-_xll.BDP($A121&amp;" Corp","YAS_OAS_SPRD","SETTLE_DT",Company_desc!$D$1))</f>
        <v/>
      </c>
      <c r="Z121" s="82">
        <f>IF($A121="","",K121-_xll.BDP($A121&amp;" Corp","YAS_BOND_YLD","YAS_YLD_FLAG=15","SETTLE_DT",Company_desc!$D$1))</f>
        <v/>
      </c>
      <c r="AA121" s="80">
        <f>IF($A121="","",_xll.BDP($A121&amp;" Corp","YAS_OAS_SPRD","SETTLE_DT",Company_desc!$D$1))</f>
        <v/>
      </c>
    </row>
    <row r="122">
      <c r="B122" s="75">
        <f>IF($A122="","",IFERROR(INDEX(Sheet1!$B:$B,MATCH($A122,Sheet1!$A:$A,0)),""))</f>
        <v/>
      </c>
      <c r="C122" s="75">
        <f>IF($A122="","",PROPER(_xll.BDP($A122&amp;" Corp","NAME")))</f>
        <v/>
      </c>
      <c r="D122" s="76">
        <f>IF($A122="","",_xll.BDP($A122&amp;" Corp","CPN"))</f>
        <v/>
      </c>
      <c r="E122" s="75">
        <f>IF($A122="","",_xll.BDP($A122&amp;" Corp","PAYMENT_RANK"))</f>
        <v/>
      </c>
      <c r="F122" s="100">
        <f>IF($A122="","",_xll.BDP($A122&amp;" Corp","MATURITY"))</f>
        <v/>
      </c>
      <c r="G122" s="75">
        <f>IF($A122="","",PROPER(_xll.BDP($A122&amp;" Corp","COUNTRY_FULL_NAME")))</f>
        <v/>
      </c>
      <c r="H122" s="75">
        <f>IF($A122="","",_xll.BDP($A122&amp;" Corp","INDUSTRY_SECTOR"))</f>
        <v/>
      </c>
      <c r="I122" s="101">
        <f>IF($A122="","",IFERROR(_xll.BDP($A122&amp;" Corp","MIN_PIECE")/1000,""))</f>
        <v/>
      </c>
      <c r="J122" s="31">
        <f>IF($A122="","",_xll.BDP($A122&amp;" Corp","PX_LAST"))</f>
        <v/>
      </c>
      <c r="K122" s="31">
        <f>IF($A122="","",_xll.BDP($A122&amp;" Corp","YAS_BOND_YLD","YAS_YLD_FLAG=15"))</f>
        <v/>
      </c>
      <c r="L122" s="31">
        <f>IF($A122="","",K122-_xll.BDP($A122&amp;" Corp","YAS_BOND_YLD","YAS_YLD_FLAG=15","SETTLE_DT",Company_desc!$A$1))</f>
        <v/>
      </c>
      <c r="M122" s="31">
        <f>IF($A122="","",K122-_xll.BDP($A122&amp;" Corp","YAS_BOND_YLD","YAS_YLD_FLAG=15","SETTLE_DT",Company_desc!$A$2))</f>
        <v/>
      </c>
      <c r="N122" s="79">
        <f>IF($A122="","",_xll.BDP($A122&amp;" Corp","YAS_OAS_SPRD"))</f>
        <v/>
      </c>
      <c r="O122" s="67">
        <f>IF($A122="","",_xll.BDP($A122&amp;" Corp","YAS_MOD_DUR"))</f>
        <v/>
      </c>
      <c r="P122" s="80">
        <f>IF($A122="","",IFERROR(INDEX(Sheet1!$P:$P,MATCH($A122,Sheet1!$A:$A,0)),""))</f>
        <v/>
      </c>
      <c r="Q122" s="75">
        <f>IF($A122="","",IFERROR(INDEX(Company_desc!$C:$C,MATCH($A122,Company_desc!$A:$A,0)),IFERROR(INDEX(Sheet1!$Q:$Q,MATCH($A122,Sheet1!$A:$A,0)),"")))</f>
        <v/>
      </c>
      <c r="R122" s="75">
        <f>IF($A122="","",_xll.BDP($A122&amp;" Corp","CRNCY"))</f>
        <v/>
      </c>
      <c r="S122" s="75">
        <f>IF($A122="","",IFERROR(INDEX(Sheet1!$S:$S,MATCH($A122,Sheet1!$A:$A,0)),""))</f>
        <v/>
      </c>
      <c r="T122" s="75">
        <f>IF($A122="","",IFERROR(INDEX(Sheet1!$T:$T,MATCH($A122,Sheet1!$A:$A,0)),_xll.BDP($A122&amp;" Corp","RTG_SP")))</f>
        <v/>
      </c>
      <c r="U122" s="75">
        <f>IF($A122="","",IFERROR(INDEX(Sheet1!$U:$U,MATCH($A122,Sheet1!$A:$A,0)),""))</f>
        <v/>
      </c>
      <c r="W122" s="81">
        <f>IF($A122="","",N122-_xll.BDP($A122&amp;" Corp","YAS_OAS_SPRD","SETTLE_DT",Company_desc!$A$1))</f>
        <v/>
      </c>
      <c r="X122" s="81">
        <f>IF($A122="","",N122-_xll.BDP($A122&amp;" Corp","YAS_OAS_SPRD","SETTLE_DT",Company_desc!$A$2))</f>
        <v/>
      </c>
      <c r="Y122" s="80">
        <f>IF($A122="","",N122-_xll.BDP($A122&amp;" Corp","YAS_OAS_SPRD","SETTLE_DT",Company_desc!$D$1))</f>
        <v/>
      </c>
      <c r="Z122" s="82">
        <f>IF($A122="","",K122-_xll.BDP($A122&amp;" Corp","YAS_BOND_YLD","YAS_YLD_FLAG=15","SETTLE_DT",Company_desc!$D$1))</f>
        <v/>
      </c>
      <c r="AA122" s="80">
        <f>IF($A122="","",_xll.BDP($A122&amp;" Corp","YAS_OAS_SPRD","SETTLE_DT",Company_desc!$D$1))</f>
        <v/>
      </c>
    </row>
    <row r="123">
      <c r="B123" s="75">
        <f>IF($A123="","",IFERROR(INDEX(Sheet1!$B:$B,MATCH($A123,Sheet1!$A:$A,0)),""))</f>
        <v/>
      </c>
      <c r="C123" s="75">
        <f>IF($A123="","",PROPER(_xll.BDP($A123&amp;" Corp","NAME")))</f>
        <v/>
      </c>
      <c r="D123" s="76">
        <f>IF($A123="","",_xll.BDP($A123&amp;" Corp","CPN"))</f>
        <v/>
      </c>
      <c r="E123" s="75">
        <f>IF($A123="","",_xll.BDP($A123&amp;" Corp","PAYMENT_RANK"))</f>
        <v/>
      </c>
      <c r="F123" s="100">
        <f>IF($A123="","",_xll.BDP($A123&amp;" Corp","MATURITY"))</f>
        <v/>
      </c>
      <c r="G123" s="75">
        <f>IF($A123="","",PROPER(_xll.BDP($A123&amp;" Corp","COUNTRY_FULL_NAME")))</f>
        <v/>
      </c>
      <c r="H123" s="75">
        <f>IF($A123="","",_xll.BDP($A123&amp;" Corp","INDUSTRY_SECTOR"))</f>
        <v/>
      </c>
      <c r="I123" s="101">
        <f>IF($A123="","",IFERROR(_xll.BDP($A123&amp;" Corp","MIN_PIECE")/1000,""))</f>
        <v/>
      </c>
      <c r="J123" s="31">
        <f>IF($A123="","",_xll.BDP($A123&amp;" Corp","PX_LAST"))</f>
        <v/>
      </c>
      <c r="K123" s="31">
        <f>IF($A123="","",_xll.BDP($A123&amp;" Corp","YAS_BOND_YLD","YAS_YLD_FLAG=15"))</f>
        <v/>
      </c>
      <c r="L123" s="31">
        <f>IF($A123="","",K123-_xll.BDP($A123&amp;" Corp","YAS_BOND_YLD","YAS_YLD_FLAG=15","SETTLE_DT",Company_desc!$A$1))</f>
        <v/>
      </c>
      <c r="M123" s="31">
        <f>IF($A123="","",K123-_xll.BDP($A123&amp;" Corp","YAS_BOND_YLD","YAS_YLD_FLAG=15","SETTLE_DT",Company_desc!$A$2))</f>
        <v/>
      </c>
      <c r="N123" s="79">
        <f>IF($A123="","",_xll.BDP($A123&amp;" Corp","YAS_OAS_SPRD"))</f>
        <v/>
      </c>
      <c r="O123" s="67">
        <f>IF($A123="","",_xll.BDP($A123&amp;" Corp","YAS_MOD_DUR"))</f>
        <v/>
      </c>
      <c r="P123" s="80">
        <f>IF($A123="","",IFERROR(INDEX(Sheet1!$P:$P,MATCH($A123,Sheet1!$A:$A,0)),""))</f>
        <v/>
      </c>
      <c r="Q123" s="75">
        <f>IF($A123="","",IFERROR(INDEX(Company_desc!$C:$C,MATCH($A123,Company_desc!$A:$A,0)),IFERROR(INDEX(Sheet1!$Q:$Q,MATCH($A123,Sheet1!$A:$A,0)),"")))</f>
        <v/>
      </c>
      <c r="R123" s="75">
        <f>IF($A123="","",_xll.BDP($A123&amp;" Corp","CRNCY"))</f>
        <v/>
      </c>
      <c r="S123" s="75">
        <f>IF($A123="","",IFERROR(INDEX(Sheet1!$S:$S,MATCH($A123,Sheet1!$A:$A,0)),""))</f>
        <v/>
      </c>
      <c r="T123" s="75">
        <f>IF($A123="","",IFERROR(INDEX(Sheet1!$T:$T,MATCH($A123,Sheet1!$A:$A,0)),_xll.BDP($A123&amp;" Corp","RTG_SP")))</f>
        <v/>
      </c>
      <c r="U123" s="75">
        <f>IF($A123="","",IFERROR(INDEX(Sheet1!$U:$U,MATCH($A123,Sheet1!$A:$A,0)),""))</f>
        <v/>
      </c>
      <c r="W123" s="81">
        <f>IF($A123="","",N123-_xll.BDP($A123&amp;" Corp","YAS_OAS_SPRD","SETTLE_DT",Company_desc!$A$1))</f>
        <v/>
      </c>
      <c r="X123" s="81">
        <f>IF($A123="","",N123-_xll.BDP($A123&amp;" Corp","YAS_OAS_SPRD","SETTLE_DT",Company_desc!$A$2))</f>
        <v/>
      </c>
      <c r="Y123" s="80">
        <f>IF($A123="","",N123-_xll.BDP($A123&amp;" Corp","YAS_OAS_SPRD","SETTLE_DT",Company_desc!$D$1))</f>
        <v/>
      </c>
      <c r="Z123" s="82">
        <f>IF($A123="","",K123-_xll.BDP($A123&amp;" Corp","YAS_BOND_YLD","YAS_YLD_FLAG=15","SETTLE_DT",Company_desc!$D$1))</f>
        <v/>
      </c>
      <c r="AA123" s="80">
        <f>IF($A123="","",_xll.BDP($A123&amp;" Corp","YAS_OAS_SPRD","SETTLE_DT",Company_desc!$D$1))</f>
        <v/>
      </c>
    </row>
    <row r="124">
      <c r="B124" s="75">
        <f>IF($A124="","",IFERROR(INDEX(Sheet1!$B:$B,MATCH($A124,Sheet1!$A:$A,0)),""))</f>
        <v/>
      </c>
      <c r="C124" s="75">
        <f>IF($A124="","",PROPER(_xll.BDP($A124&amp;" Corp","NAME")))</f>
        <v/>
      </c>
      <c r="D124" s="76">
        <f>IF($A124="","",_xll.BDP($A124&amp;" Corp","CPN"))</f>
        <v/>
      </c>
      <c r="E124" s="75">
        <f>IF($A124="","",_xll.BDP($A124&amp;" Corp","PAYMENT_RANK"))</f>
        <v/>
      </c>
      <c r="F124" s="100">
        <f>IF($A124="","",_xll.BDP($A124&amp;" Corp","MATURITY"))</f>
        <v/>
      </c>
      <c r="G124" s="75">
        <f>IF($A124="","",PROPER(_xll.BDP($A124&amp;" Corp","COUNTRY_FULL_NAME")))</f>
        <v/>
      </c>
      <c r="H124" s="75">
        <f>IF($A124="","",_xll.BDP($A124&amp;" Corp","INDUSTRY_SECTOR"))</f>
        <v/>
      </c>
      <c r="I124" s="101">
        <f>IF($A124="","",IFERROR(_xll.BDP($A124&amp;" Corp","MIN_PIECE")/1000,""))</f>
        <v/>
      </c>
      <c r="J124" s="31">
        <f>IF($A124="","",_xll.BDP($A124&amp;" Corp","PX_LAST"))</f>
        <v/>
      </c>
      <c r="K124" s="31">
        <f>IF($A124="","",_xll.BDP($A124&amp;" Corp","YAS_BOND_YLD","YAS_YLD_FLAG=15"))</f>
        <v/>
      </c>
      <c r="L124" s="31">
        <f>IF($A124="","",K124-_xll.BDP($A124&amp;" Corp","YAS_BOND_YLD","YAS_YLD_FLAG=15","SETTLE_DT",Company_desc!$A$1))</f>
        <v/>
      </c>
      <c r="M124" s="31">
        <f>IF($A124="","",K124-_xll.BDP($A124&amp;" Corp","YAS_BOND_YLD","YAS_YLD_FLAG=15","SETTLE_DT",Company_desc!$A$2))</f>
        <v/>
      </c>
      <c r="N124" s="79">
        <f>IF($A124="","",_xll.BDP($A124&amp;" Corp","YAS_OAS_SPRD"))</f>
        <v/>
      </c>
      <c r="O124" s="67">
        <f>IF($A124="","",_xll.BDP($A124&amp;" Corp","YAS_MOD_DUR"))</f>
        <v/>
      </c>
      <c r="P124" s="80">
        <f>IF($A124="","",IFERROR(INDEX(Sheet1!$P:$P,MATCH($A124,Sheet1!$A:$A,0)),""))</f>
        <v/>
      </c>
      <c r="Q124" s="75">
        <f>IF($A124="","",IFERROR(INDEX(Company_desc!$C:$C,MATCH($A124,Company_desc!$A:$A,0)),IFERROR(INDEX(Sheet1!$Q:$Q,MATCH($A124,Sheet1!$A:$A,0)),"")))</f>
        <v/>
      </c>
      <c r="R124" s="75">
        <f>IF($A124="","",_xll.BDP($A124&amp;" Corp","CRNCY"))</f>
        <v/>
      </c>
      <c r="S124" s="75">
        <f>IF($A124="","",IFERROR(INDEX(Sheet1!$S:$S,MATCH($A124,Sheet1!$A:$A,0)),""))</f>
        <v/>
      </c>
      <c r="T124" s="75">
        <f>IF($A124="","",IFERROR(INDEX(Sheet1!$T:$T,MATCH($A124,Sheet1!$A:$A,0)),_xll.BDP($A124&amp;" Corp","RTG_SP")))</f>
        <v/>
      </c>
      <c r="U124" s="75">
        <f>IF($A124="","",IFERROR(INDEX(Sheet1!$U:$U,MATCH($A124,Sheet1!$A:$A,0)),""))</f>
        <v/>
      </c>
      <c r="W124" s="81">
        <f>IF($A124="","",N124-_xll.BDP($A124&amp;" Corp","YAS_OAS_SPRD","SETTLE_DT",Company_desc!$A$1))</f>
        <v/>
      </c>
      <c r="X124" s="81">
        <f>IF($A124="","",N124-_xll.BDP($A124&amp;" Corp","YAS_OAS_SPRD","SETTLE_DT",Company_desc!$A$2))</f>
        <v/>
      </c>
      <c r="Y124" s="80">
        <f>IF($A124="","",N124-_xll.BDP($A124&amp;" Corp","YAS_OAS_SPRD","SETTLE_DT",Company_desc!$D$1))</f>
        <v/>
      </c>
      <c r="Z124" s="82">
        <f>IF($A124="","",K124-_xll.BDP($A124&amp;" Corp","YAS_BOND_YLD","YAS_YLD_FLAG=15","SETTLE_DT",Company_desc!$D$1))</f>
        <v/>
      </c>
      <c r="AA124" s="80">
        <f>IF($A124="","",_xll.BDP($A124&amp;" Corp","YAS_OAS_SPRD","SETTLE_DT",Company_desc!$D$1))</f>
        <v/>
      </c>
    </row>
    <row r="125">
      <c r="B125" s="75">
        <f>IF($A125="","",IFERROR(INDEX(Sheet1!$B:$B,MATCH($A125,Sheet1!$A:$A,0)),""))</f>
        <v/>
      </c>
      <c r="C125" s="75">
        <f>IF($A125="","",PROPER(_xll.BDP($A125&amp;" Corp","NAME")))</f>
        <v/>
      </c>
      <c r="D125" s="76">
        <f>IF($A125="","",_xll.BDP($A125&amp;" Corp","CPN"))</f>
        <v/>
      </c>
      <c r="E125" s="75">
        <f>IF($A125="","",_xll.BDP($A125&amp;" Corp","PAYMENT_RANK"))</f>
        <v/>
      </c>
      <c r="F125" s="100">
        <f>IF($A125="","",_xll.BDP($A125&amp;" Corp","MATURITY"))</f>
        <v/>
      </c>
      <c r="G125" s="75">
        <f>IF($A125="","",PROPER(_xll.BDP($A125&amp;" Corp","COUNTRY_FULL_NAME")))</f>
        <v/>
      </c>
      <c r="H125" s="75">
        <f>IF($A125="","",_xll.BDP($A125&amp;" Corp","INDUSTRY_SECTOR"))</f>
        <v/>
      </c>
      <c r="I125" s="101">
        <f>IF($A125="","",IFERROR(_xll.BDP($A125&amp;" Corp","MIN_PIECE")/1000,""))</f>
        <v/>
      </c>
      <c r="J125" s="31">
        <f>IF($A125="","",_xll.BDP($A125&amp;" Corp","PX_LAST"))</f>
        <v/>
      </c>
      <c r="K125" s="31">
        <f>IF($A125="","",_xll.BDP($A125&amp;" Corp","YAS_BOND_YLD","YAS_YLD_FLAG=15"))</f>
        <v/>
      </c>
      <c r="L125" s="31">
        <f>IF($A125="","",K125-_xll.BDP($A125&amp;" Corp","YAS_BOND_YLD","YAS_YLD_FLAG=15","SETTLE_DT",Company_desc!$A$1))</f>
        <v/>
      </c>
      <c r="M125" s="31">
        <f>IF($A125="","",K125-_xll.BDP($A125&amp;" Corp","YAS_BOND_YLD","YAS_YLD_FLAG=15","SETTLE_DT",Company_desc!$A$2))</f>
        <v/>
      </c>
      <c r="N125" s="79">
        <f>IF($A125="","",_xll.BDP($A125&amp;" Corp","YAS_OAS_SPRD"))</f>
        <v/>
      </c>
      <c r="O125" s="67">
        <f>IF($A125="","",_xll.BDP($A125&amp;" Corp","YAS_MOD_DUR"))</f>
        <v/>
      </c>
      <c r="P125" s="80">
        <f>IF($A125="","",IFERROR(INDEX(Sheet1!$P:$P,MATCH($A125,Sheet1!$A:$A,0)),""))</f>
        <v/>
      </c>
      <c r="Q125" s="75">
        <f>IF($A125="","",IFERROR(INDEX(Company_desc!$C:$C,MATCH($A125,Company_desc!$A:$A,0)),IFERROR(INDEX(Sheet1!$Q:$Q,MATCH($A125,Sheet1!$A:$A,0)),"")))</f>
        <v/>
      </c>
      <c r="R125" s="75">
        <f>IF($A125="","",_xll.BDP($A125&amp;" Corp","CRNCY"))</f>
        <v/>
      </c>
      <c r="S125" s="75">
        <f>IF($A125="","",IFERROR(INDEX(Sheet1!$S:$S,MATCH($A125,Sheet1!$A:$A,0)),""))</f>
        <v/>
      </c>
      <c r="T125" s="75">
        <f>IF($A125="","",IFERROR(INDEX(Sheet1!$T:$T,MATCH($A125,Sheet1!$A:$A,0)),_xll.BDP($A125&amp;" Corp","RTG_SP")))</f>
        <v/>
      </c>
      <c r="U125" s="75">
        <f>IF($A125="","",IFERROR(INDEX(Sheet1!$U:$U,MATCH($A125,Sheet1!$A:$A,0)),""))</f>
        <v/>
      </c>
      <c r="W125" s="81">
        <f>IF($A125="","",N125-_xll.BDP($A125&amp;" Corp","YAS_OAS_SPRD","SETTLE_DT",Company_desc!$A$1))</f>
        <v/>
      </c>
      <c r="X125" s="81">
        <f>IF($A125="","",N125-_xll.BDP($A125&amp;" Corp","YAS_OAS_SPRD","SETTLE_DT",Company_desc!$A$2))</f>
        <v/>
      </c>
      <c r="Y125" s="80">
        <f>IF($A125="","",N125-_xll.BDP($A125&amp;" Corp","YAS_OAS_SPRD","SETTLE_DT",Company_desc!$D$1))</f>
        <v/>
      </c>
      <c r="Z125" s="82">
        <f>IF($A125="","",K125-_xll.BDP($A125&amp;" Corp","YAS_BOND_YLD","YAS_YLD_FLAG=15","SETTLE_DT",Company_desc!$D$1))</f>
        <v/>
      </c>
      <c r="AA125" s="80">
        <f>IF($A125="","",_xll.BDP($A125&amp;" Corp","YAS_OAS_SPRD","SETTLE_DT",Company_desc!$D$1))</f>
        <v/>
      </c>
    </row>
    <row r="126">
      <c r="B126" s="75">
        <f>IF($A126="","",IFERROR(INDEX(Sheet1!$B:$B,MATCH($A126,Sheet1!$A:$A,0)),""))</f>
        <v/>
      </c>
      <c r="C126" s="75">
        <f>IF($A126="","",PROPER(_xll.BDP($A126&amp;" Corp","NAME")))</f>
        <v/>
      </c>
      <c r="D126" s="76">
        <f>IF($A126="","",_xll.BDP($A126&amp;" Corp","CPN"))</f>
        <v/>
      </c>
      <c r="E126" s="75">
        <f>IF($A126="","",_xll.BDP($A126&amp;" Corp","PAYMENT_RANK"))</f>
        <v/>
      </c>
      <c r="F126" s="100">
        <f>IF($A126="","",_xll.BDP($A126&amp;" Corp","MATURITY"))</f>
        <v/>
      </c>
      <c r="G126" s="75">
        <f>IF($A126="","",PROPER(_xll.BDP($A126&amp;" Corp","COUNTRY_FULL_NAME")))</f>
        <v/>
      </c>
      <c r="H126" s="75">
        <f>IF($A126="","",_xll.BDP($A126&amp;" Corp","INDUSTRY_SECTOR"))</f>
        <v/>
      </c>
      <c r="I126" s="101">
        <f>IF($A126="","",IFERROR(_xll.BDP($A126&amp;" Corp","MIN_PIECE")/1000,""))</f>
        <v/>
      </c>
      <c r="J126" s="31">
        <f>IF($A126="","",_xll.BDP($A126&amp;" Corp","PX_LAST"))</f>
        <v/>
      </c>
      <c r="K126" s="31">
        <f>IF($A126="","",_xll.BDP($A126&amp;" Corp","YAS_BOND_YLD","YAS_YLD_FLAG=15"))</f>
        <v/>
      </c>
      <c r="L126" s="31">
        <f>IF($A126="","",K126-_xll.BDP($A126&amp;" Corp","YAS_BOND_YLD","YAS_YLD_FLAG=15","SETTLE_DT",Company_desc!$A$1))</f>
        <v/>
      </c>
      <c r="M126" s="31">
        <f>IF($A126="","",K126-_xll.BDP($A126&amp;" Corp","YAS_BOND_YLD","YAS_YLD_FLAG=15","SETTLE_DT",Company_desc!$A$2))</f>
        <v/>
      </c>
      <c r="N126" s="79">
        <f>IF($A126="","",_xll.BDP($A126&amp;" Corp","YAS_OAS_SPRD"))</f>
        <v/>
      </c>
      <c r="O126" s="67">
        <f>IF($A126="","",_xll.BDP($A126&amp;" Corp","YAS_MOD_DUR"))</f>
        <v/>
      </c>
      <c r="P126" s="80">
        <f>IF($A126="","",IFERROR(INDEX(Sheet1!$P:$P,MATCH($A126,Sheet1!$A:$A,0)),""))</f>
        <v/>
      </c>
      <c r="Q126" s="75">
        <f>IF($A126="","",IFERROR(INDEX(Company_desc!$C:$C,MATCH($A126,Company_desc!$A:$A,0)),IFERROR(INDEX(Sheet1!$Q:$Q,MATCH($A126,Sheet1!$A:$A,0)),"")))</f>
        <v/>
      </c>
      <c r="R126" s="75">
        <f>IF($A126="","",_xll.BDP($A126&amp;" Corp","CRNCY"))</f>
        <v/>
      </c>
      <c r="S126" s="75">
        <f>IF($A126="","",IFERROR(INDEX(Sheet1!$S:$S,MATCH($A126,Sheet1!$A:$A,0)),""))</f>
        <v/>
      </c>
      <c r="T126" s="75">
        <f>IF($A126="","",IFERROR(INDEX(Sheet1!$T:$T,MATCH($A126,Sheet1!$A:$A,0)),_xll.BDP($A126&amp;" Corp","RTG_SP")))</f>
        <v/>
      </c>
      <c r="U126" s="75">
        <f>IF($A126="","",IFERROR(INDEX(Sheet1!$U:$U,MATCH($A126,Sheet1!$A:$A,0)),""))</f>
        <v/>
      </c>
      <c r="W126" s="81">
        <f>IF($A126="","",N126-_xll.BDP($A126&amp;" Corp","YAS_OAS_SPRD","SETTLE_DT",Company_desc!$A$1))</f>
        <v/>
      </c>
      <c r="X126" s="81">
        <f>IF($A126="","",N126-_xll.BDP($A126&amp;" Corp","YAS_OAS_SPRD","SETTLE_DT",Company_desc!$A$2))</f>
        <v/>
      </c>
      <c r="Y126" s="80">
        <f>IF($A126="","",N126-_xll.BDP($A126&amp;" Corp","YAS_OAS_SPRD","SETTLE_DT",Company_desc!$D$1))</f>
        <v/>
      </c>
      <c r="Z126" s="82">
        <f>IF($A126="","",K126-_xll.BDP($A126&amp;" Corp","YAS_BOND_YLD","YAS_YLD_FLAG=15","SETTLE_DT",Company_desc!$D$1))</f>
        <v/>
      </c>
      <c r="AA126" s="80">
        <f>IF($A126="","",_xll.BDP($A126&amp;" Corp","YAS_OAS_SPRD","SETTLE_DT",Company_desc!$D$1))</f>
        <v/>
      </c>
    </row>
    <row r="127">
      <c r="B127" s="75">
        <f>IF($A127="","",IFERROR(INDEX(Sheet1!$B:$B,MATCH($A127,Sheet1!$A:$A,0)),""))</f>
        <v/>
      </c>
      <c r="C127" s="75">
        <f>IF($A127="","",PROPER(_xll.BDP($A127&amp;" Corp","NAME")))</f>
        <v/>
      </c>
      <c r="D127" s="76">
        <f>IF($A127="","",_xll.BDP($A127&amp;" Corp","CPN"))</f>
        <v/>
      </c>
      <c r="E127" s="75">
        <f>IF($A127="","",_xll.BDP($A127&amp;" Corp","PAYMENT_RANK"))</f>
        <v/>
      </c>
      <c r="F127" s="100">
        <f>IF($A127="","",_xll.BDP($A127&amp;" Corp","MATURITY"))</f>
        <v/>
      </c>
      <c r="G127" s="75">
        <f>IF($A127="","",PROPER(_xll.BDP($A127&amp;" Corp","COUNTRY_FULL_NAME")))</f>
        <v/>
      </c>
      <c r="H127" s="75">
        <f>IF($A127="","",_xll.BDP($A127&amp;" Corp","INDUSTRY_SECTOR"))</f>
        <v/>
      </c>
      <c r="I127" s="101">
        <f>IF($A127="","",IFERROR(_xll.BDP($A127&amp;" Corp","MIN_PIECE")/1000,""))</f>
        <v/>
      </c>
      <c r="J127" s="31">
        <f>IF($A127="","",_xll.BDP($A127&amp;" Corp","PX_LAST"))</f>
        <v/>
      </c>
      <c r="K127" s="31">
        <f>IF($A127="","",_xll.BDP($A127&amp;" Corp","YAS_BOND_YLD","YAS_YLD_FLAG=15"))</f>
        <v/>
      </c>
      <c r="L127" s="31">
        <f>IF($A127="","",K127-_xll.BDP($A127&amp;" Corp","YAS_BOND_YLD","YAS_YLD_FLAG=15","SETTLE_DT",Company_desc!$A$1))</f>
        <v/>
      </c>
      <c r="M127" s="31">
        <f>IF($A127="","",K127-_xll.BDP($A127&amp;" Corp","YAS_BOND_YLD","YAS_YLD_FLAG=15","SETTLE_DT",Company_desc!$A$2))</f>
        <v/>
      </c>
      <c r="N127" s="79">
        <f>IF($A127="","",_xll.BDP($A127&amp;" Corp","YAS_OAS_SPRD"))</f>
        <v/>
      </c>
      <c r="O127" s="67">
        <f>IF($A127="","",_xll.BDP($A127&amp;" Corp","YAS_MOD_DUR"))</f>
        <v/>
      </c>
      <c r="P127" s="80">
        <f>IF($A127="","",IFERROR(INDEX(Sheet1!$P:$P,MATCH($A127,Sheet1!$A:$A,0)),""))</f>
        <v/>
      </c>
      <c r="Q127" s="75">
        <f>IF($A127="","",IFERROR(INDEX(Company_desc!$C:$C,MATCH($A127,Company_desc!$A:$A,0)),IFERROR(INDEX(Sheet1!$Q:$Q,MATCH($A127,Sheet1!$A:$A,0)),"")))</f>
        <v/>
      </c>
      <c r="R127" s="75">
        <f>IF($A127="","",_xll.BDP($A127&amp;" Corp","CRNCY"))</f>
        <v/>
      </c>
      <c r="S127" s="75">
        <f>IF($A127="","",IFERROR(INDEX(Sheet1!$S:$S,MATCH($A127,Sheet1!$A:$A,0)),""))</f>
        <v/>
      </c>
      <c r="T127" s="75">
        <f>IF($A127="","",IFERROR(INDEX(Sheet1!$T:$T,MATCH($A127,Sheet1!$A:$A,0)),_xll.BDP($A127&amp;" Corp","RTG_SP")))</f>
        <v/>
      </c>
      <c r="U127" s="75">
        <f>IF($A127="","",IFERROR(INDEX(Sheet1!$U:$U,MATCH($A127,Sheet1!$A:$A,0)),""))</f>
        <v/>
      </c>
      <c r="W127" s="81">
        <f>IF($A127="","",N127-_xll.BDP($A127&amp;" Corp","YAS_OAS_SPRD","SETTLE_DT",Company_desc!$A$1))</f>
        <v/>
      </c>
      <c r="X127" s="81">
        <f>IF($A127="","",N127-_xll.BDP($A127&amp;" Corp","YAS_OAS_SPRD","SETTLE_DT",Company_desc!$A$2))</f>
        <v/>
      </c>
      <c r="Y127" s="80">
        <f>IF($A127="","",N127-_xll.BDP($A127&amp;" Corp","YAS_OAS_SPRD","SETTLE_DT",Company_desc!$D$1))</f>
        <v/>
      </c>
      <c r="Z127" s="82">
        <f>IF($A127="","",K127-_xll.BDP($A127&amp;" Corp","YAS_BOND_YLD","YAS_YLD_FLAG=15","SETTLE_DT",Company_desc!$D$1))</f>
        <v/>
      </c>
      <c r="AA127" s="80">
        <f>IF($A127="","",_xll.BDP($A127&amp;" Corp","YAS_OAS_SPRD","SETTLE_DT",Company_desc!$D$1))</f>
        <v/>
      </c>
    </row>
    <row r="128">
      <c r="B128" s="75">
        <f>IF($A128="","",IFERROR(INDEX(Sheet1!$B:$B,MATCH($A128,Sheet1!$A:$A,0)),""))</f>
        <v/>
      </c>
      <c r="C128" s="75">
        <f>IF($A128="","",PROPER(_xll.BDP($A128&amp;" Corp","NAME")))</f>
        <v/>
      </c>
      <c r="D128" s="76">
        <f>IF($A128="","",_xll.BDP($A128&amp;" Corp","CPN"))</f>
        <v/>
      </c>
      <c r="E128" s="75">
        <f>IF($A128="","",_xll.BDP($A128&amp;" Corp","PAYMENT_RANK"))</f>
        <v/>
      </c>
      <c r="F128" s="100">
        <f>IF($A128="","",_xll.BDP($A128&amp;" Corp","MATURITY"))</f>
        <v/>
      </c>
      <c r="G128" s="75">
        <f>IF($A128="","",PROPER(_xll.BDP($A128&amp;" Corp","COUNTRY_FULL_NAME")))</f>
        <v/>
      </c>
      <c r="H128" s="75">
        <f>IF($A128="","",_xll.BDP($A128&amp;" Corp","INDUSTRY_SECTOR"))</f>
        <v/>
      </c>
      <c r="I128" s="101">
        <f>IF($A128="","",IFERROR(_xll.BDP($A128&amp;" Corp","MIN_PIECE")/1000,""))</f>
        <v/>
      </c>
      <c r="J128" s="31">
        <f>IF($A128="","",_xll.BDP($A128&amp;" Corp","PX_LAST"))</f>
        <v/>
      </c>
      <c r="K128" s="31">
        <f>IF($A128="","",_xll.BDP($A128&amp;" Corp","YAS_BOND_YLD","YAS_YLD_FLAG=15"))</f>
        <v/>
      </c>
      <c r="L128" s="31">
        <f>IF($A128="","",K128-_xll.BDP($A128&amp;" Corp","YAS_BOND_YLD","YAS_YLD_FLAG=15","SETTLE_DT",Company_desc!$A$1))</f>
        <v/>
      </c>
      <c r="M128" s="31">
        <f>IF($A128="","",K128-_xll.BDP($A128&amp;" Corp","YAS_BOND_YLD","YAS_YLD_FLAG=15","SETTLE_DT",Company_desc!$A$2))</f>
        <v/>
      </c>
      <c r="N128" s="79">
        <f>IF($A128="","",_xll.BDP($A128&amp;" Corp","YAS_OAS_SPRD"))</f>
        <v/>
      </c>
      <c r="O128" s="67">
        <f>IF($A128="","",_xll.BDP($A128&amp;" Corp","YAS_MOD_DUR"))</f>
        <v/>
      </c>
      <c r="P128" s="80">
        <f>IF($A128="","",IFERROR(INDEX(Sheet1!$P:$P,MATCH($A128,Sheet1!$A:$A,0)),""))</f>
        <v/>
      </c>
      <c r="Q128" s="75">
        <f>IF($A128="","",IFERROR(INDEX(Company_desc!$C:$C,MATCH($A128,Company_desc!$A:$A,0)),IFERROR(INDEX(Sheet1!$Q:$Q,MATCH($A128,Sheet1!$A:$A,0)),"")))</f>
        <v/>
      </c>
      <c r="R128" s="75">
        <f>IF($A128="","",_xll.BDP($A128&amp;" Corp","CRNCY"))</f>
        <v/>
      </c>
      <c r="S128" s="75">
        <f>IF($A128="","",IFERROR(INDEX(Sheet1!$S:$S,MATCH($A128,Sheet1!$A:$A,0)),""))</f>
        <v/>
      </c>
      <c r="T128" s="75">
        <f>IF($A128="","",IFERROR(INDEX(Sheet1!$T:$T,MATCH($A128,Sheet1!$A:$A,0)),_xll.BDP($A128&amp;" Corp","RTG_SP")))</f>
        <v/>
      </c>
      <c r="U128" s="75">
        <f>IF($A128="","",IFERROR(INDEX(Sheet1!$U:$U,MATCH($A128,Sheet1!$A:$A,0)),""))</f>
        <v/>
      </c>
      <c r="W128" s="81">
        <f>IF($A128="","",N128-_xll.BDP($A128&amp;" Corp","YAS_OAS_SPRD","SETTLE_DT",Company_desc!$A$1))</f>
        <v/>
      </c>
      <c r="X128" s="81">
        <f>IF($A128="","",N128-_xll.BDP($A128&amp;" Corp","YAS_OAS_SPRD","SETTLE_DT",Company_desc!$A$2))</f>
        <v/>
      </c>
      <c r="Y128" s="80">
        <f>IF($A128="","",N128-_xll.BDP($A128&amp;" Corp","YAS_OAS_SPRD","SETTLE_DT",Company_desc!$D$1))</f>
        <v/>
      </c>
      <c r="Z128" s="82">
        <f>IF($A128="","",K128-_xll.BDP($A128&amp;" Corp","YAS_BOND_YLD","YAS_YLD_FLAG=15","SETTLE_DT",Company_desc!$D$1))</f>
        <v/>
      </c>
      <c r="AA128" s="80">
        <f>IF($A128="","",_xll.BDP($A128&amp;" Corp","YAS_OAS_SPRD","SETTLE_DT",Company_desc!$D$1))</f>
        <v/>
      </c>
    </row>
    <row r="129">
      <c r="B129" s="75">
        <f>IF($A129="","",IFERROR(INDEX(Sheet1!$B:$B,MATCH($A129,Sheet1!$A:$A,0)),""))</f>
        <v/>
      </c>
      <c r="C129" s="75">
        <f>IF($A129="","",PROPER(_xll.BDP($A129&amp;" Corp","NAME")))</f>
        <v/>
      </c>
      <c r="D129" s="76">
        <f>IF($A129="","",_xll.BDP($A129&amp;" Corp","CPN"))</f>
        <v/>
      </c>
      <c r="E129" s="75">
        <f>IF($A129="","",_xll.BDP($A129&amp;" Corp","PAYMENT_RANK"))</f>
        <v/>
      </c>
      <c r="F129" s="100">
        <f>IF($A129="","",_xll.BDP($A129&amp;" Corp","MATURITY"))</f>
        <v/>
      </c>
      <c r="G129" s="75">
        <f>IF($A129="","",PROPER(_xll.BDP($A129&amp;" Corp","COUNTRY_FULL_NAME")))</f>
        <v/>
      </c>
      <c r="H129" s="75">
        <f>IF($A129="","",_xll.BDP($A129&amp;" Corp","INDUSTRY_SECTOR"))</f>
        <v/>
      </c>
      <c r="I129" s="101">
        <f>IF($A129="","",IFERROR(_xll.BDP($A129&amp;" Corp","MIN_PIECE")/1000,""))</f>
        <v/>
      </c>
      <c r="J129" s="31">
        <f>IF($A129="","",_xll.BDP($A129&amp;" Corp","PX_LAST"))</f>
        <v/>
      </c>
      <c r="K129" s="31">
        <f>IF($A129="","",_xll.BDP($A129&amp;" Corp","YAS_BOND_YLD","YAS_YLD_FLAG=15"))</f>
        <v/>
      </c>
      <c r="L129" s="31">
        <f>IF($A129="","",K129-_xll.BDP($A129&amp;" Corp","YAS_BOND_YLD","YAS_YLD_FLAG=15","SETTLE_DT",Company_desc!$A$1))</f>
        <v/>
      </c>
      <c r="M129" s="31">
        <f>IF($A129="","",K129-_xll.BDP($A129&amp;" Corp","YAS_BOND_YLD","YAS_YLD_FLAG=15","SETTLE_DT",Company_desc!$A$2))</f>
        <v/>
      </c>
      <c r="N129" s="79">
        <f>IF($A129="","",_xll.BDP($A129&amp;" Corp","YAS_OAS_SPRD"))</f>
        <v/>
      </c>
      <c r="O129" s="67">
        <f>IF($A129="","",_xll.BDP($A129&amp;" Corp","YAS_MOD_DUR"))</f>
        <v/>
      </c>
      <c r="P129" s="80">
        <f>IF($A129="","",IFERROR(INDEX(Sheet1!$P:$P,MATCH($A129,Sheet1!$A:$A,0)),""))</f>
        <v/>
      </c>
      <c r="Q129" s="75">
        <f>IF($A129="","",IFERROR(INDEX(Company_desc!$C:$C,MATCH($A129,Company_desc!$A:$A,0)),IFERROR(INDEX(Sheet1!$Q:$Q,MATCH($A129,Sheet1!$A:$A,0)),"")))</f>
        <v/>
      </c>
      <c r="R129" s="75">
        <f>IF($A129="","",_xll.BDP($A129&amp;" Corp","CRNCY"))</f>
        <v/>
      </c>
      <c r="S129" s="75">
        <f>IF($A129="","",IFERROR(INDEX(Sheet1!$S:$S,MATCH($A129,Sheet1!$A:$A,0)),""))</f>
        <v/>
      </c>
      <c r="T129" s="75">
        <f>IF($A129="","",IFERROR(INDEX(Sheet1!$T:$T,MATCH($A129,Sheet1!$A:$A,0)),_xll.BDP($A129&amp;" Corp","RTG_SP")))</f>
        <v/>
      </c>
      <c r="U129" s="83">
        <f>IF($A129="","",IFERROR(INDEX(Sheet1!$U:$U,MATCH($A129,Sheet1!$A:$A,0)),""))</f>
        <v/>
      </c>
      <c r="W129" s="81">
        <f>IF($A129="","",N129-_xll.BDP($A129&amp;" Corp","YAS_OAS_SPRD","SETTLE_DT",Company_desc!$A$1))</f>
        <v/>
      </c>
      <c r="X129" s="81">
        <f>IF($A129="","",N129-_xll.BDP($A129&amp;" Corp","YAS_OAS_SPRD","SETTLE_DT",Company_desc!$A$2))</f>
        <v/>
      </c>
      <c r="Y129" s="80">
        <f>IF($A129="","",N129-_xll.BDP($A129&amp;" Corp","YAS_OAS_SPRD","SETTLE_DT",Company_desc!$D$1))</f>
        <v/>
      </c>
      <c r="Z129" s="82">
        <f>IF($A129="","",K129-_xll.BDP($A129&amp;" Corp","YAS_BOND_YLD","YAS_YLD_FLAG=15","SETTLE_DT",Company_desc!$D$1))</f>
        <v/>
      </c>
      <c r="AA129" s="80">
        <f>IF($A129="","",_xll.BDP($A129&amp;" Corp","YAS_OAS_SPRD","SETTLE_DT",Company_desc!$D$1))</f>
        <v/>
      </c>
    </row>
    <row r="130">
      <c r="B130" s="75">
        <f>IF($A130="","",IFERROR(INDEX(Sheet1!$B:$B,MATCH($A130,Sheet1!$A:$A,0)),""))</f>
        <v/>
      </c>
      <c r="C130" s="75">
        <f>IF($A130="","",PROPER(_xll.BDP($A130&amp;" Corp","NAME")))</f>
        <v/>
      </c>
      <c r="D130" s="76">
        <f>IF($A130="","",_xll.BDP($A130&amp;" Corp","CPN"))</f>
        <v/>
      </c>
      <c r="E130" s="75">
        <f>IF($A130="","",_xll.BDP($A130&amp;" Corp","PAYMENT_RANK"))</f>
        <v/>
      </c>
      <c r="F130" s="100">
        <f>IF($A130="","",_xll.BDP($A130&amp;" Corp","MATURITY"))</f>
        <v/>
      </c>
      <c r="G130" s="75">
        <f>IF($A130="","",PROPER(_xll.BDP($A130&amp;" Corp","COUNTRY_FULL_NAME")))</f>
        <v/>
      </c>
      <c r="H130" s="75">
        <f>IF($A130="","",_xll.BDP($A130&amp;" Corp","INDUSTRY_SECTOR"))</f>
        <v/>
      </c>
      <c r="I130" s="101">
        <f>IF($A130="","",IFERROR(_xll.BDP($A130&amp;" Corp","MIN_PIECE")/1000,""))</f>
        <v/>
      </c>
      <c r="J130" s="31">
        <f>IF($A130="","",_xll.BDP($A130&amp;" Corp","PX_LAST"))</f>
        <v/>
      </c>
      <c r="K130" s="31">
        <f>IF($A130="","",_xll.BDP($A130&amp;" Corp","YAS_BOND_YLD","YAS_YLD_FLAG=15"))</f>
        <v/>
      </c>
      <c r="L130" s="31">
        <f>IF($A130="","",K130-_xll.BDP($A130&amp;" Corp","YAS_BOND_YLD","YAS_YLD_FLAG=15","SETTLE_DT",Company_desc!$A$1))</f>
        <v/>
      </c>
      <c r="M130" s="31">
        <f>IF($A130="","",K130-_xll.BDP($A130&amp;" Corp","YAS_BOND_YLD","YAS_YLD_FLAG=15","SETTLE_DT",Company_desc!$A$2))</f>
        <v/>
      </c>
      <c r="N130" s="79">
        <f>IF($A130="","",_xll.BDP($A130&amp;" Corp","YAS_OAS_SPRD"))</f>
        <v/>
      </c>
      <c r="O130" s="67">
        <f>IF($A130="","",_xll.BDP($A130&amp;" Corp","YAS_MOD_DUR"))</f>
        <v/>
      </c>
      <c r="P130" s="80">
        <f>IF($A130="","",IFERROR(INDEX(Sheet1!$P:$P,MATCH($A130,Sheet1!$A:$A,0)),""))</f>
        <v/>
      </c>
      <c r="Q130" s="75">
        <f>IF($A130="","",IFERROR(INDEX(Company_desc!$C:$C,MATCH($A130,Company_desc!$A:$A,0)),IFERROR(INDEX(Sheet1!$Q:$Q,MATCH($A130,Sheet1!$A:$A,0)),"")))</f>
        <v/>
      </c>
      <c r="R130" s="75">
        <f>IF($A130="","",_xll.BDP($A130&amp;" Corp","CRNCY"))</f>
        <v/>
      </c>
      <c r="S130" s="75">
        <f>IF($A130="","",IFERROR(INDEX(Sheet1!$S:$S,MATCH($A130,Sheet1!$A:$A,0)),""))</f>
        <v/>
      </c>
      <c r="T130" s="75">
        <f>IF($A130="","",IFERROR(INDEX(Sheet1!$T:$T,MATCH($A130,Sheet1!$A:$A,0)),_xll.BDP($A130&amp;" Corp","RTG_SP")))</f>
        <v/>
      </c>
      <c r="U130" s="83">
        <f>IF($A130="","",IFERROR(INDEX(Sheet1!$U:$U,MATCH($A130,Sheet1!$A:$A,0)),""))</f>
        <v/>
      </c>
      <c r="W130" s="81">
        <f>IF($A130="","",N130-_xll.BDP($A130&amp;" Corp","YAS_OAS_SPRD","SETTLE_DT",Company_desc!$A$1))</f>
        <v/>
      </c>
      <c r="X130" s="81">
        <f>IF($A130="","",N130-_xll.BDP($A130&amp;" Corp","YAS_OAS_SPRD","SETTLE_DT",Company_desc!$A$2))</f>
        <v/>
      </c>
      <c r="Y130" s="80">
        <f>IF($A130="","",N130-_xll.BDP($A130&amp;" Corp","YAS_OAS_SPRD","SETTLE_DT",Company_desc!$D$1))</f>
        <v/>
      </c>
      <c r="Z130" s="82">
        <f>IF($A130="","",K130-_xll.BDP($A130&amp;" Corp","YAS_BOND_YLD","YAS_YLD_FLAG=15","SETTLE_DT",Company_desc!$D$1))</f>
        <v/>
      </c>
      <c r="AA130" s="80">
        <f>IF($A130="","",_xll.BDP($A130&amp;" Corp","YAS_OAS_SPRD","SETTLE_DT",Company_desc!$D$1))</f>
        <v/>
      </c>
    </row>
    <row r="131">
      <c r="B131" s="75">
        <f>IF($A131="","",IFERROR(INDEX(Sheet1!$B:$B,MATCH($A131,Sheet1!$A:$A,0)),""))</f>
        <v/>
      </c>
      <c r="C131" s="75">
        <f>IF($A131="","",PROPER(_xll.BDP($A131&amp;" Corp","NAME")))</f>
        <v/>
      </c>
      <c r="D131" s="76">
        <f>IF($A131="","",_xll.BDP($A131&amp;" Corp","CPN"))</f>
        <v/>
      </c>
      <c r="E131" s="75">
        <f>IF($A131="","",_xll.BDP($A131&amp;" Corp","PAYMENT_RANK"))</f>
        <v/>
      </c>
      <c r="F131" s="100">
        <f>IF($A131="","",_xll.BDP($A131&amp;" Corp","MATURITY"))</f>
        <v/>
      </c>
      <c r="G131" s="75">
        <f>IF($A131="","",PROPER(_xll.BDP($A131&amp;" Corp","COUNTRY_FULL_NAME")))</f>
        <v/>
      </c>
      <c r="H131" s="75">
        <f>IF($A131="","",_xll.BDP($A131&amp;" Corp","INDUSTRY_SECTOR"))</f>
        <v/>
      </c>
      <c r="I131" s="101">
        <f>IF($A131="","",IFERROR(_xll.BDP($A131&amp;" Corp","MIN_PIECE")/1000,""))</f>
        <v/>
      </c>
      <c r="J131" s="31">
        <f>IF($A131="","",_xll.BDP($A131&amp;" Corp","PX_LAST"))</f>
        <v/>
      </c>
      <c r="K131" s="31">
        <f>IF($A131="","",_xll.BDP($A131&amp;" Corp","YAS_BOND_YLD","YAS_YLD_FLAG=15"))</f>
        <v/>
      </c>
      <c r="L131" s="31">
        <f>IF($A131="","",K131-_xll.BDP($A131&amp;" Corp","YAS_BOND_YLD","YAS_YLD_FLAG=15","SETTLE_DT",Company_desc!$A$1))</f>
        <v/>
      </c>
      <c r="M131" s="31">
        <f>IF($A131="","",K131-_xll.BDP($A131&amp;" Corp","YAS_BOND_YLD","YAS_YLD_FLAG=15","SETTLE_DT",Company_desc!$A$2))</f>
        <v/>
      </c>
      <c r="N131" s="79">
        <f>IF($A131="","",_xll.BDP($A131&amp;" Corp","YAS_OAS_SPRD"))</f>
        <v/>
      </c>
      <c r="O131" s="67">
        <f>IF($A131="","",_xll.BDP($A131&amp;" Corp","YAS_MOD_DUR"))</f>
        <v/>
      </c>
      <c r="P131" s="80">
        <f>IF($A131="","",IFERROR(INDEX(Sheet1!$P:$P,MATCH($A131,Sheet1!$A:$A,0)),""))</f>
        <v/>
      </c>
      <c r="Q131" s="75">
        <f>IF($A131="","",IFERROR(INDEX(Company_desc!$C:$C,MATCH($A131,Company_desc!$A:$A,0)),IFERROR(INDEX(Sheet1!$Q:$Q,MATCH($A131,Sheet1!$A:$A,0)),"")))</f>
        <v/>
      </c>
      <c r="R131" s="75">
        <f>IF($A131="","",_xll.BDP($A131&amp;" Corp","CRNCY"))</f>
        <v/>
      </c>
      <c r="S131" s="75">
        <f>IF($A131="","",IFERROR(INDEX(Sheet1!$S:$S,MATCH($A131,Sheet1!$A:$A,0)),""))</f>
        <v/>
      </c>
      <c r="T131" s="75">
        <f>IF($A131="","",IFERROR(INDEX(Sheet1!$T:$T,MATCH($A131,Sheet1!$A:$A,0)),_xll.BDP($A131&amp;" Corp","RTG_SP")))</f>
        <v/>
      </c>
      <c r="U131" s="75">
        <f>IF($A131="","",IFERROR(INDEX(Sheet1!$U:$U,MATCH($A131,Sheet1!$A:$A,0)),""))</f>
        <v/>
      </c>
      <c r="W131" s="81">
        <f>IF($A131="","",N131-_xll.BDP($A131&amp;" Corp","YAS_OAS_SPRD","SETTLE_DT",Company_desc!$A$1))</f>
        <v/>
      </c>
      <c r="X131" s="81">
        <f>IF($A131="","",N131-_xll.BDP($A131&amp;" Corp","YAS_OAS_SPRD","SETTLE_DT",Company_desc!$A$2))</f>
        <v/>
      </c>
      <c r="Y131" s="80">
        <f>IF($A131="","",N131-_xll.BDP($A131&amp;" Corp","YAS_OAS_SPRD","SETTLE_DT",Company_desc!$D$1))</f>
        <v/>
      </c>
      <c r="Z131" s="82">
        <f>IF($A131="","",K131-_xll.BDP($A131&amp;" Corp","YAS_BOND_YLD","YAS_YLD_FLAG=15","SETTLE_DT",Company_desc!$D$1))</f>
        <v/>
      </c>
      <c r="AA131" s="80">
        <f>IF($A131="","",_xll.BDP($A131&amp;" Corp","YAS_OAS_SPRD","SETTLE_DT",Company_desc!$D$1))</f>
        <v/>
      </c>
    </row>
    <row r="132">
      <c r="B132" s="75">
        <f>IF($A132="","",IFERROR(INDEX(Sheet1!$B:$B,MATCH($A132,Sheet1!$A:$A,0)),""))</f>
        <v/>
      </c>
      <c r="C132" s="75">
        <f>IF($A132="","",PROPER(_xll.BDP($A132&amp;" Corp","NAME")))</f>
        <v/>
      </c>
      <c r="D132" s="76">
        <f>IF($A132="","",_xll.BDP($A132&amp;" Corp","CPN"))</f>
        <v/>
      </c>
      <c r="E132" s="75">
        <f>IF($A132="","",_xll.BDP($A132&amp;" Corp","PAYMENT_RANK"))</f>
        <v/>
      </c>
      <c r="F132" s="100">
        <f>IF($A132="","",_xll.BDP($A132&amp;" Corp","MATURITY"))</f>
        <v/>
      </c>
      <c r="G132" s="75">
        <f>IF($A132="","",PROPER(_xll.BDP($A132&amp;" Corp","COUNTRY_FULL_NAME")))</f>
        <v/>
      </c>
      <c r="H132" s="75">
        <f>IF($A132="","",_xll.BDP($A132&amp;" Corp","INDUSTRY_SECTOR"))</f>
        <v/>
      </c>
      <c r="I132" s="101">
        <f>IF($A132="","",IFERROR(_xll.BDP($A132&amp;" Corp","MIN_PIECE")/1000,""))</f>
        <v/>
      </c>
      <c r="J132" s="31">
        <f>IF($A132="","",_xll.BDP($A132&amp;" Corp","PX_LAST"))</f>
        <v/>
      </c>
      <c r="K132" s="31">
        <f>IF($A132="","",_xll.BDP($A132&amp;" Corp","YAS_BOND_YLD","YAS_YLD_FLAG=15"))</f>
        <v/>
      </c>
      <c r="L132" s="31">
        <f>IF($A132="","",K132-_xll.BDP($A132&amp;" Corp","YAS_BOND_YLD","YAS_YLD_FLAG=15","SETTLE_DT",Company_desc!$A$1))</f>
        <v/>
      </c>
      <c r="M132" s="31">
        <f>IF($A132="","",K132-_xll.BDP($A132&amp;" Corp","YAS_BOND_YLD","YAS_YLD_FLAG=15","SETTLE_DT",Company_desc!$A$2))</f>
        <v/>
      </c>
      <c r="N132" s="79">
        <f>IF($A132="","",_xll.BDP($A132&amp;" Corp","YAS_OAS_SPRD"))</f>
        <v/>
      </c>
      <c r="O132" s="67">
        <f>IF($A132="","",_xll.BDP($A132&amp;" Corp","YAS_MOD_DUR"))</f>
        <v/>
      </c>
      <c r="P132" s="80">
        <f>IF($A132="","",IFERROR(INDEX(Sheet1!$P:$P,MATCH($A132,Sheet1!$A:$A,0)),""))</f>
        <v/>
      </c>
      <c r="Q132" s="75">
        <f>IF($A132="","",IFERROR(INDEX(Company_desc!$C:$C,MATCH($A132,Company_desc!$A:$A,0)),IFERROR(INDEX(Sheet1!$Q:$Q,MATCH($A132,Sheet1!$A:$A,0)),"")))</f>
        <v/>
      </c>
      <c r="R132" s="75">
        <f>IF($A132="","",_xll.BDP($A132&amp;" Corp","CRNCY"))</f>
        <v/>
      </c>
      <c r="S132" s="75">
        <f>IF($A132="","",IFERROR(INDEX(Sheet1!$S:$S,MATCH($A132,Sheet1!$A:$A,0)),""))</f>
        <v/>
      </c>
      <c r="T132" s="75">
        <f>IF($A132="","",IFERROR(INDEX(Sheet1!$T:$T,MATCH($A132,Sheet1!$A:$A,0)),_xll.BDP($A132&amp;" Corp","RTG_SP")))</f>
        <v/>
      </c>
      <c r="U132" s="75">
        <f>IF($A132="","",IFERROR(INDEX(Sheet1!$U:$U,MATCH($A132,Sheet1!$A:$A,0)),""))</f>
        <v/>
      </c>
      <c r="W132" s="81">
        <f>IF($A132="","",N132-_xll.BDP($A132&amp;" Corp","YAS_OAS_SPRD","SETTLE_DT",Company_desc!$A$1))</f>
        <v/>
      </c>
      <c r="X132" s="81">
        <f>IF($A132="","",N132-_xll.BDP($A132&amp;" Corp","YAS_OAS_SPRD","SETTLE_DT",Company_desc!$A$2))</f>
        <v/>
      </c>
      <c r="Y132" s="80">
        <f>IF($A132="","",N132-_xll.BDP($A132&amp;" Corp","YAS_OAS_SPRD","SETTLE_DT",Company_desc!$D$1))</f>
        <v/>
      </c>
      <c r="Z132" s="82">
        <f>IF($A132="","",K132-_xll.BDP($A132&amp;" Corp","YAS_BOND_YLD","YAS_YLD_FLAG=15","SETTLE_DT",Company_desc!$D$1))</f>
        <v/>
      </c>
      <c r="AA132" s="80">
        <f>IF($A132="","",_xll.BDP($A132&amp;" Corp","YAS_OAS_SPRD","SETTLE_DT",Company_desc!$D$1))</f>
        <v/>
      </c>
    </row>
    <row r="133">
      <c r="B133" s="75">
        <f>IF($A133="","",IFERROR(INDEX(Sheet1!$B:$B,MATCH($A133,Sheet1!$A:$A,0)),""))</f>
        <v/>
      </c>
      <c r="C133" s="75">
        <f>IF($A133="","",PROPER(_xll.BDP($A133&amp;" Corp","NAME")))</f>
        <v/>
      </c>
      <c r="D133" s="76">
        <f>IF($A133="","",_xll.BDP($A133&amp;" Corp","CPN"))</f>
        <v/>
      </c>
      <c r="E133" s="75">
        <f>IF($A133="","",_xll.BDP($A133&amp;" Corp","PAYMENT_RANK"))</f>
        <v/>
      </c>
      <c r="F133" s="100">
        <f>IF($A133="","",_xll.BDP($A133&amp;" Corp","MATURITY"))</f>
        <v/>
      </c>
      <c r="G133" s="75">
        <f>IF($A133="","",PROPER(_xll.BDP($A133&amp;" Corp","COUNTRY_FULL_NAME")))</f>
        <v/>
      </c>
      <c r="H133" s="75">
        <f>IF($A133="","",_xll.BDP($A133&amp;" Corp","INDUSTRY_SECTOR"))</f>
        <v/>
      </c>
      <c r="I133" s="101">
        <f>IF($A133="","",IFERROR(_xll.BDP($A133&amp;" Corp","MIN_PIECE")/1000,""))</f>
        <v/>
      </c>
      <c r="J133" s="31">
        <f>IF($A133="","",_xll.BDP($A133&amp;" Corp","PX_LAST"))</f>
        <v/>
      </c>
      <c r="K133" s="31">
        <f>IF($A133="","",_xll.BDP($A133&amp;" Corp","YAS_BOND_YLD","YAS_YLD_FLAG=15"))</f>
        <v/>
      </c>
      <c r="L133" s="31">
        <f>IF($A133="","",K133-_xll.BDP($A133&amp;" Corp","YAS_BOND_YLD","YAS_YLD_FLAG=15","SETTLE_DT",Company_desc!$A$1))</f>
        <v/>
      </c>
      <c r="M133" s="31">
        <f>IF($A133="","",K133-_xll.BDP($A133&amp;" Corp","YAS_BOND_YLD","YAS_YLD_FLAG=15","SETTLE_DT",Company_desc!$A$2))</f>
        <v/>
      </c>
      <c r="N133" s="79">
        <f>IF($A133="","",_xll.BDP($A133&amp;" Corp","YAS_OAS_SPRD"))</f>
        <v/>
      </c>
      <c r="O133" s="82">
        <f>IF($A133="","",_xll.BDP($A133&amp;" Corp","YAS_MOD_DUR"))</f>
        <v/>
      </c>
      <c r="P133" s="80">
        <f>IF($A133="","",IFERROR(INDEX(Sheet1!$P:$P,MATCH($A133,Sheet1!$A:$A,0)),""))</f>
        <v/>
      </c>
      <c r="Q133" s="75">
        <f>IF($A133="","",IFERROR(INDEX(Company_desc!$C:$C,MATCH($A133,Company_desc!$A:$A,0)),IFERROR(INDEX(Sheet1!$Q:$Q,MATCH($A133,Sheet1!$A:$A,0)),"")))</f>
        <v/>
      </c>
      <c r="R133" s="75">
        <f>IF($A133="","",_xll.BDP($A133&amp;" Corp","CRNCY"))</f>
        <v/>
      </c>
      <c r="S133" s="75">
        <f>IF($A133="","",IFERROR(INDEX(Sheet1!$S:$S,MATCH($A133,Sheet1!$A:$A,0)),""))</f>
        <v/>
      </c>
      <c r="T133" s="75">
        <f>IF($A133="","",IFERROR(INDEX(Sheet1!$T:$T,MATCH($A133,Sheet1!$A:$A,0)),_xll.BDP($A133&amp;" Corp","RTG_SP")))</f>
        <v/>
      </c>
      <c r="U133" s="75">
        <f>IF($A133="","",IFERROR(INDEX(Sheet1!$U:$U,MATCH($A133,Sheet1!$A:$A,0)),""))</f>
        <v/>
      </c>
      <c r="W133" s="81">
        <f>IF($A133="","",N133-_xll.BDP($A133&amp;" Corp","YAS_OAS_SPRD","SETTLE_DT",Company_desc!$A$1))</f>
        <v/>
      </c>
      <c r="X133" s="81">
        <f>IF($A133="","",N133-_xll.BDP($A133&amp;" Corp","YAS_OAS_SPRD","SETTLE_DT",Company_desc!$A$2))</f>
        <v/>
      </c>
      <c r="Y133" s="80">
        <f>IF($A133="","",N133-_xll.BDP($A133&amp;" Corp","YAS_OAS_SPRD","SETTLE_DT",Company_desc!$D$1))</f>
        <v/>
      </c>
      <c r="Z133" s="82">
        <f>IF($A133="","",K133-_xll.BDP($A133&amp;" Corp","YAS_BOND_YLD","YAS_YLD_FLAG=15","SETTLE_DT",Company_desc!$D$1))</f>
        <v/>
      </c>
      <c r="AA133" s="80">
        <f>IF($A133="","",_xll.BDP($A133&amp;" Corp","YAS_OAS_SPRD","SETTLE_DT",Company_desc!$D$1))</f>
        <v/>
      </c>
    </row>
    <row r="134">
      <c r="B134" s="75">
        <f>IF($A134="","",IFERROR(INDEX(Sheet1!$B:$B,MATCH($A134,Sheet1!$A:$A,0)),""))</f>
        <v/>
      </c>
      <c r="C134" s="75">
        <f>IF($A134="","",PROPER(_xll.BDP($A134&amp;" Corp","NAME")))</f>
        <v/>
      </c>
      <c r="D134" s="76">
        <f>IF($A134="","",_xll.BDP($A134&amp;" Corp","CPN"))</f>
        <v/>
      </c>
      <c r="E134" s="75">
        <f>IF($A134="","",_xll.BDP($A134&amp;" Corp","PAYMENT_RANK"))</f>
        <v/>
      </c>
      <c r="F134" s="100">
        <f>IF($A134="","",_xll.BDP($A134&amp;" Corp","MATURITY"))</f>
        <v/>
      </c>
      <c r="G134" s="75">
        <f>IF($A134="","",PROPER(_xll.BDP($A134&amp;" Corp","COUNTRY_FULL_NAME")))</f>
        <v/>
      </c>
      <c r="H134" s="75">
        <f>IF($A134="","",_xll.BDP($A134&amp;" Corp","INDUSTRY_SECTOR"))</f>
        <v/>
      </c>
      <c r="I134" s="101">
        <f>IF($A134="","",IFERROR(_xll.BDP($A134&amp;" Corp","MIN_PIECE")/1000,""))</f>
        <v/>
      </c>
      <c r="J134" s="31">
        <f>IF($A134="","",_xll.BDP($A134&amp;" Corp","PX_LAST"))</f>
        <v/>
      </c>
      <c r="K134" s="31">
        <f>IF($A134="","",_xll.BDP($A134&amp;" Corp","YAS_BOND_YLD","YAS_YLD_FLAG=15"))</f>
        <v/>
      </c>
      <c r="L134" s="31">
        <f>IF($A134="","",K134-_xll.BDP($A134&amp;" Corp","YAS_BOND_YLD","YAS_YLD_FLAG=15","SETTLE_DT",Company_desc!$A$1))</f>
        <v/>
      </c>
      <c r="M134" s="31">
        <f>IF($A134="","",K134-_xll.BDP($A134&amp;" Corp","YAS_BOND_YLD","YAS_YLD_FLAG=15","SETTLE_DT",Company_desc!$A$2))</f>
        <v/>
      </c>
      <c r="N134" s="79">
        <f>IF($A134="","",_xll.BDP($A134&amp;" Corp","YAS_OAS_SPRD"))</f>
        <v/>
      </c>
      <c r="O134" s="67">
        <f>IF($A134="","",_xll.BDP($A134&amp;" Corp","YAS_MOD_DUR"))</f>
        <v/>
      </c>
      <c r="P134" s="80">
        <f>IF($A134="","",IFERROR(INDEX(Sheet1!$P:$P,MATCH($A134,Sheet1!$A:$A,0)),""))</f>
        <v/>
      </c>
      <c r="Q134" s="75">
        <f>IF($A134="","",IFERROR(INDEX(Company_desc!$C:$C,MATCH($A134,Company_desc!$A:$A,0)),IFERROR(INDEX(Sheet1!$Q:$Q,MATCH($A134,Sheet1!$A:$A,0)),"")))</f>
        <v/>
      </c>
      <c r="R134" s="75">
        <f>IF($A134="","",_xll.BDP($A134&amp;" Corp","CRNCY"))</f>
        <v/>
      </c>
      <c r="S134" s="75">
        <f>IF($A134="","",IFERROR(INDEX(Sheet1!$S:$S,MATCH($A134,Sheet1!$A:$A,0)),""))</f>
        <v/>
      </c>
      <c r="T134" s="75">
        <f>IF($A134="","",IFERROR(INDEX(Sheet1!$T:$T,MATCH($A134,Sheet1!$A:$A,0)),_xll.BDP($A134&amp;" Corp","RTG_SP")))</f>
        <v/>
      </c>
      <c r="U134" s="75">
        <f>IF($A134="","",IFERROR(INDEX(Sheet1!$U:$U,MATCH($A134,Sheet1!$A:$A,0)),""))</f>
        <v/>
      </c>
      <c r="W134" s="81">
        <f>IF($A134="","",N134-_xll.BDP($A134&amp;" Corp","YAS_OAS_SPRD","SETTLE_DT",Company_desc!$A$1))</f>
        <v/>
      </c>
      <c r="X134" s="81">
        <f>IF($A134="","",N134-_xll.BDP($A134&amp;" Corp","YAS_OAS_SPRD","SETTLE_DT",Company_desc!$A$2))</f>
        <v/>
      </c>
      <c r="Y134" s="80">
        <f>IF($A134="","",N134-_xll.BDP($A134&amp;" Corp","YAS_OAS_SPRD","SETTLE_DT",Company_desc!$D$1))</f>
        <v/>
      </c>
      <c r="Z134" s="82">
        <f>IF($A134="","",K134-_xll.BDP($A134&amp;" Corp","YAS_BOND_YLD","YAS_YLD_FLAG=15","SETTLE_DT",Company_desc!$D$1))</f>
        <v/>
      </c>
      <c r="AA134" s="80">
        <f>IF($A134="","",_xll.BDP($A134&amp;" Corp","YAS_OAS_SPRD","SETTLE_DT",Company_desc!$D$1))</f>
        <v/>
      </c>
    </row>
    <row r="135">
      <c r="B135" s="28">
        <f>IF($A135="","",IFERROR(INDEX(Sheet1!$B:$B,MATCH($A135,Sheet1!$A:$A,0)),""))</f>
        <v/>
      </c>
      <c r="C135" s="29">
        <f>IF($A135="","",PROPER(_xll.BDP($A135&amp;" Corp","NAME")))</f>
        <v/>
      </c>
      <c r="D135" s="84">
        <f>IF($A135="","",_xll.BDP($A135&amp;" Corp","CPN"))</f>
        <v/>
      </c>
      <c r="E135" s="84">
        <f>IF($A135="","",_xll.BDP($A135&amp;" Corp","PAYMENT_RANK"))</f>
        <v/>
      </c>
      <c r="F135" s="102">
        <f>IF($A135="","",_xll.BDP($A135&amp;" Corp","MATURITY"))</f>
        <v/>
      </c>
      <c r="G135" s="43">
        <f>IF($A135="","",PROPER(_xll.BDP($A135&amp;" Corp","COUNTRY_FULL_NAME")))</f>
        <v/>
      </c>
      <c r="H135" s="29">
        <f>IF($A135="","",_xll.BDP($A135&amp;" Corp","INDUSTRY_SECTOR"))</f>
        <v/>
      </c>
      <c r="I135" s="103">
        <f>IF($A135="","",IFERROR(_xll.BDP($A135&amp;" Corp","MIN_PIECE")/1000,""))</f>
        <v/>
      </c>
      <c r="J135" s="31">
        <f>IF($A135="","",_xll.BDP($A135&amp;" Corp","PX_LAST"))</f>
        <v/>
      </c>
      <c r="K135" s="31">
        <f>IF($A135="","",_xll.BDP($A135&amp;" Corp","YAS_BOND_YLD","YAS_YLD_FLAG=15"))</f>
        <v/>
      </c>
      <c r="L135" s="31">
        <f>IF($A135="","",K135-_xll.BDP($A135&amp;" Corp","YAS_BOND_YLD","YAS_YLD_FLAG=15","SETTLE_DT",Company_desc!$A$1))</f>
        <v/>
      </c>
      <c r="M135" s="31">
        <f>IF($A135="","",K135-_xll.BDP($A135&amp;" Corp","YAS_BOND_YLD","YAS_YLD_FLAG=15","SETTLE_DT",Company_desc!$A$2))</f>
        <v/>
      </c>
      <c r="N135" s="79">
        <f>IF($A135="","",_xll.BDP($A135&amp;" Corp","YAS_OAS_SPRD"))</f>
        <v/>
      </c>
      <c r="O135" s="67">
        <f>IF($A135="","",_xll.BDP($A135&amp;" Corp","YAS_MOD_DUR"))</f>
        <v/>
      </c>
      <c r="P135" s="79">
        <f>IF($A135="","",IFERROR(INDEX(Sheet1!$P:$P,MATCH($A135,Sheet1!$A:$A,0)),""))</f>
        <v/>
      </c>
      <c r="Q135" s="27">
        <f>IF($A135="","",IFERROR(INDEX(Company_desc!$C:$C,MATCH($A135,Company_desc!$A:$A,0)),IFERROR(INDEX(Sheet1!$Q:$Q,MATCH($A135,Sheet1!$A:$A,0)),"")))</f>
        <v/>
      </c>
      <c r="R135" s="27">
        <f>IF($A135="","",_xll.BDP($A135&amp;" Corp","CRNCY"))</f>
        <v/>
      </c>
      <c r="S135" s="27">
        <f>IF($A135="","",IFERROR(INDEX(Sheet1!$S:$S,MATCH($A135,Sheet1!$A:$A,0)),""))</f>
        <v/>
      </c>
      <c r="T135" s="47">
        <f>IF($A135="","",IFERROR(INDEX(Sheet1!$T:$T,MATCH($A135,Sheet1!$A:$A,0)),_xll.BDP($A135&amp;" Corp","RTG_SP")))</f>
        <v/>
      </c>
      <c r="U135" s="75">
        <f>IF($A135="","",IFERROR(INDEX(Sheet1!$U:$U,MATCH($A135,Sheet1!$A:$A,0)),""))</f>
        <v/>
      </c>
      <c r="W135" s="81">
        <f>IF($A135="","",N135-_xll.BDP($A135&amp;" Corp","YAS_OAS_SPRD","SETTLE_DT",Company_desc!$A$1))</f>
        <v/>
      </c>
      <c r="X135" s="81">
        <f>IF($A135="","",N135-_xll.BDP($A135&amp;" Corp","YAS_OAS_SPRD","SETTLE_DT",Company_desc!$A$2))</f>
        <v/>
      </c>
      <c r="Y135" s="80">
        <f>IF($A135="","",N135-_xll.BDP($A135&amp;" Corp","YAS_OAS_SPRD","SETTLE_DT",Company_desc!$D$1))</f>
        <v/>
      </c>
      <c r="Z135" s="82">
        <f>IF($A135="","",K135-_xll.BDP($A135&amp;" Corp","YAS_BOND_YLD","YAS_YLD_FLAG=15","SETTLE_DT",Company_desc!$D$1))</f>
        <v/>
      </c>
      <c r="AA135" s="80">
        <f>IF($A135="","",_xll.BDP($A135&amp;" Corp","YAS_OAS_SPRD","SETTLE_DT",Company_desc!$D$1))</f>
        <v/>
      </c>
    </row>
    <row r="136">
      <c r="B136" s="75">
        <f>IF($A136="","",IFERROR(INDEX(Sheet1!$B:$B,MATCH($A136,Sheet1!$A:$A,0)),""))</f>
        <v/>
      </c>
      <c r="C136" s="75">
        <f>IF($A136="","",PROPER(_xll.BDP($A136&amp;" Corp","NAME")))</f>
        <v/>
      </c>
      <c r="D136" s="76">
        <f>IF($A136="","",_xll.BDP($A136&amp;" Corp","CPN"))</f>
        <v/>
      </c>
      <c r="E136" s="75">
        <f>IF($A136="","",_xll.BDP($A136&amp;" Corp","PAYMENT_RANK"))</f>
        <v/>
      </c>
      <c r="F136" s="100">
        <f>IF($A136="","",_xll.BDP($A136&amp;" Corp","MATURITY"))</f>
        <v/>
      </c>
      <c r="G136" s="75">
        <f>IF($A136="","",PROPER(_xll.BDP($A136&amp;" Corp","COUNTRY_FULL_NAME")))</f>
        <v/>
      </c>
      <c r="H136" s="75">
        <f>IF($A136="","",_xll.BDP($A136&amp;" Corp","INDUSTRY_SECTOR"))</f>
        <v/>
      </c>
      <c r="I136" s="101">
        <f>IF($A136="","",IFERROR(_xll.BDP($A136&amp;" Corp","MIN_PIECE")/1000,""))</f>
        <v/>
      </c>
      <c r="J136" s="31">
        <f>IF($A136="","",_xll.BDP($A136&amp;" Corp","PX_LAST"))</f>
        <v/>
      </c>
      <c r="K136" s="31">
        <f>IF($A136="","",_xll.BDP($A136&amp;" Corp","YAS_BOND_YLD","YAS_YLD_FLAG=15"))</f>
        <v/>
      </c>
      <c r="L136" s="31">
        <f>IF($A136="","",K136-_xll.BDP($A136&amp;" Corp","YAS_BOND_YLD","YAS_YLD_FLAG=15","SETTLE_DT",Company_desc!$A$1))</f>
        <v/>
      </c>
      <c r="M136" s="31">
        <f>IF($A136="","",K136-_xll.BDP($A136&amp;" Corp","YAS_BOND_YLD","YAS_YLD_FLAG=15","SETTLE_DT",Company_desc!$A$2))</f>
        <v/>
      </c>
      <c r="N136" s="79">
        <f>IF($A136="","",_xll.BDP($A136&amp;" Corp","YAS_OAS_SPRD"))</f>
        <v/>
      </c>
      <c r="O136" s="67">
        <f>IF($A136="","",_xll.BDP($A136&amp;" Corp","YAS_MOD_DUR"))</f>
        <v/>
      </c>
      <c r="P136" s="80">
        <f>IF($A136="","",IFERROR(INDEX(Sheet1!$P:$P,MATCH($A136,Sheet1!$A:$A,0)),""))</f>
        <v/>
      </c>
      <c r="Q136" s="75">
        <f>IF($A136="","",IFERROR(INDEX(Company_desc!$C:$C,MATCH($A136,Company_desc!$A:$A,0)),IFERROR(INDEX(Sheet1!$Q:$Q,MATCH($A136,Sheet1!$A:$A,0)),"")))</f>
        <v/>
      </c>
      <c r="R136" s="75">
        <f>IF($A136="","",_xll.BDP($A136&amp;" Corp","CRNCY"))</f>
        <v/>
      </c>
      <c r="S136" s="75">
        <f>IF($A136="","",IFERROR(INDEX(Sheet1!$S:$S,MATCH($A136,Sheet1!$A:$A,0)),""))</f>
        <v/>
      </c>
      <c r="T136" s="75">
        <f>IF($A136="","",IFERROR(INDEX(Sheet1!$T:$T,MATCH($A136,Sheet1!$A:$A,0)),_xll.BDP($A136&amp;" Corp","RTG_SP")))</f>
        <v/>
      </c>
      <c r="U136" s="75">
        <f>IF($A136="","",IFERROR(INDEX(Sheet1!$U:$U,MATCH($A136,Sheet1!$A:$A,0)),""))</f>
        <v/>
      </c>
      <c r="W136" s="81">
        <f>IF($A136="","",N136-_xll.BDP($A136&amp;" Corp","YAS_OAS_SPRD","SETTLE_DT",Company_desc!$A$1))</f>
        <v/>
      </c>
      <c r="X136" s="81">
        <f>IF($A136="","",N136-_xll.BDP($A136&amp;" Corp","YAS_OAS_SPRD","SETTLE_DT",Company_desc!$A$2))</f>
        <v/>
      </c>
      <c r="Y136" s="80">
        <f>IF($A136="","",N136-_xll.BDP($A136&amp;" Corp","YAS_OAS_SPRD","SETTLE_DT",Company_desc!$D$1))</f>
        <v/>
      </c>
      <c r="Z136" s="82">
        <f>IF($A136="","",K136-_xll.BDP($A136&amp;" Corp","YAS_BOND_YLD","YAS_YLD_FLAG=15","SETTLE_DT",Company_desc!$D$1))</f>
        <v/>
      </c>
      <c r="AA136" s="80">
        <f>IF($A136="","",_xll.BDP($A136&amp;" Corp","YAS_OAS_SPRD","SETTLE_DT",Company_desc!$D$1))</f>
        <v/>
      </c>
    </row>
    <row r="137">
      <c r="B137" s="75">
        <f>IF($A137="","",IFERROR(INDEX(Sheet1!$B:$B,MATCH($A137,Sheet1!$A:$A,0)),""))</f>
        <v/>
      </c>
      <c r="C137" s="75">
        <f>IF($A137="","",PROPER(_xll.BDP($A137&amp;" Corp","NAME")))</f>
        <v/>
      </c>
      <c r="D137" s="76">
        <f>IF($A137="","",_xll.BDP($A137&amp;" Corp","CPN"))</f>
        <v/>
      </c>
      <c r="E137" s="75">
        <f>IF($A137="","",_xll.BDP($A137&amp;" Corp","PAYMENT_RANK"))</f>
        <v/>
      </c>
      <c r="F137" s="100">
        <f>IF($A137="","",_xll.BDP($A137&amp;" Corp","MATURITY"))</f>
        <v/>
      </c>
      <c r="G137" s="75">
        <f>IF($A137="","",PROPER(_xll.BDP($A137&amp;" Corp","COUNTRY_FULL_NAME")))</f>
        <v/>
      </c>
      <c r="H137" s="75">
        <f>IF($A137="","",_xll.BDP($A137&amp;" Corp","INDUSTRY_SECTOR"))</f>
        <v/>
      </c>
      <c r="I137" s="101">
        <f>IF($A137="","",IFERROR(_xll.BDP($A137&amp;" Corp","MIN_PIECE")/1000,""))</f>
        <v/>
      </c>
      <c r="J137" s="31">
        <f>IF($A137="","",_xll.BDP($A137&amp;" Corp","PX_LAST"))</f>
        <v/>
      </c>
      <c r="K137" s="31">
        <f>IF($A137="","",_xll.BDP($A137&amp;" Corp","YAS_BOND_YLD","YAS_YLD_FLAG=15"))</f>
        <v/>
      </c>
      <c r="L137" s="31">
        <f>IF($A137="","",K137-_xll.BDP($A137&amp;" Corp","YAS_BOND_YLD","YAS_YLD_FLAG=15","SETTLE_DT",Company_desc!$A$1))</f>
        <v/>
      </c>
      <c r="M137" s="31">
        <f>IF($A137="","",K137-_xll.BDP($A137&amp;" Corp","YAS_BOND_YLD","YAS_YLD_FLAG=15","SETTLE_DT",Company_desc!$A$2))</f>
        <v/>
      </c>
      <c r="N137" s="79">
        <f>IF($A137="","",_xll.BDP($A137&amp;" Corp","YAS_OAS_SPRD"))</f>
        <v/>
      </c>
      <c r="O137" s="67">
        <f>IF($A137="","",_xll.BDP($A137&amp;" Corp","YAS_MOD_DUR"))</f>
        <v/>
      </c>
      <c r="P137" s="80">
        <f>IF($A137="","",IFERROR(INDEX(Sheet1!$P:$P,MATCH($A137,Sheet1!$A:$A,0)),""))</f>
        <v/>
      </c>
      <c r="Q137" s="75">
        <f>IF($A137="","",IFERROR(INDEX(Company_desc!$C:$C,MATCH($A137,Company_desc!$A:$A,0)),IFERROR(INDEX(Sheet1!$Q:$Q,MATCH($A137,Sheet1!$A:$A,0)),"")))</f>
        <v/>
      </c>
      <c r="R137" s="75">
        <f>IF($A137="","",_xll.BDP($A137&amp;" Corp","CRNCY"))</f>
        <v/>
      </c>
      <c r="S137" s="75">
        <f>IF($A137="","",IFERROR(INDEX(Sheet1!$S:$S,MATCH($A137,Sheet1!$A:$A,0)),""))</f>
        <v/>
      </c>
      <c r="T137" s="75">
        <f>IF($A137="","",IFERROR(INDEX(Sheet1!$T:$T,MATCH($A137,Sheet1!$A:$A,0)),_xll.BDP($A137&amp;" Corp","RTG_SP")))</f>
        <v/>
      </c>
      <c r="U137" s="75">
        <f>IF($A137="","",IFERROR(INDEX(Sheet1!$U:$U,MATCH($A137,Sheet1!$A:$A,0)),""))</f>
        <v/>
      </c>
      <c r="W137" s="81">
        <f>IF($A137="","",N137-_xll.BDP($A137&amp;" Corp","YAS_OAS_SPRD","SETTLE_DT",Company_desc!$A$1))</f>
        <v/>
      </c>
      <c r="X137" s="81">
        <f>IF($A137="","",N137-_xll.BDP($A137&amp;" Corp","YAS_OAS_SPRD","SETTLE_DT",Company_desc!$A$2))</f>
        <v/>
      </c>
      <c r="Y137" s="80">
        <f>IF($A137="","",N137-_xll.BDP($A137&amp;" Corp","YAS_OAS_SPRD","SETTLE_DT",Company_desc!$D$1))</f>
        <v/>
      </c>
      <c r="Z137" s="82">
        <f>IF($A137="","",K137-_xll.BDP($A137&amp;" Corp","YAS_BOND_YLD","YAS_YLD_FLAG=15","SETTLE_DT",Company_desc!$D$1))</f>
        <v/>
      </c>
      <c r="AA137" s="80">
        <f>IF($A137="","",_xll.BDP($A137&amp;" Corp","YAS_OAS_SPRD","SETTLE_DT",Company_desc!$D$1))</f>
        <v/>
      </c>
    </row>
    <row r="138">
      <c r="B138" s="75">
        <f>IF($A138="","",IFERROR(INDEX(Sheet1!$B:$B,MATCH($A138,Sheet1!$A:$A,0)),""))</f>
        <v/>
      </c>
      <c r="C138" s="75">
        <f>IF($A138="","",PROPER(_xll.BDP($A138&amp;" Corp","NAME")))</f>
        <v/>
      </c>
      <c r="D138" s="76">
        <f>IF($A138="","",_xll.BDP($A138&amp;" Corp","CPN"))</f>
        <v/>
      </c>
      <c r="E138" s="75">
        <f>IF($A138="","",_xll.BDP($A138&amp;" Corp","PAYMENT_RANK"))</f>
        <v/>
      </c>
      <c r="F138" s="100">
        <f>IF($A138="","",_xll.BDP($A138&amp;" Corp","MATURITY"))</f>
        <v/>
      </c>
      <c r="G138" s="75">
        <f>IF($A138="","",PROPER(_xll.BDP($A138&amp;" Corp","COUNTRY_FULL_NAME")))</f>
        <v/>
      </c>
      <c r="H138" s="75">
        <f>IF($A138="","",_xll.BDP($A138&amp;" Corp","INDUSTRY_SECTOR"))</f>
        <v/>
      </c>
      <c r="I138" s="101">
        <f>IF($A138="","",IFERROR(_xll.BDP($A138&amp;" Corp","MIN_PIECE")/1000,""))</f>
        <v/>
      </c>
      <c r="J138" s="31">
        <f>IF($A138="","",_xll.BDP($A138&amp;" Corp","PX_LAST"))</f>
        <v/>
      </c>
      <c r="K138" s="31">
        <f>IF($A138="","",_xll.BDP($A138&amp;" Corp","YAS_BOND_YLD","YAS_YLD_FLAG=15"))</f>
        <v/>
      </c>
      <c r="L138" s="31">
        <f>IF($A138="","",K138-_xll.BDP($A138&amp;" Corp","YAS_BOND_YLD","YAS_YLD_FLAG=15","SETTLE_DT",Company_desc!$A$1))</f>
        <v/>
      </c>
      <c r="M138" s="31">
        <f>IF($A138="","",K138-_xll.BDP($A138&amp;" Corp","YAS_BOND_YLD","YAS_YLD_FLAG=15","SETTLE_DT",Company_desc!$A$2))</f>
        <v/>
      </c>
      <c r="N138" s="79">
        <f>IF($A138="","",_xll.BDP($A138&amp;" Corp","YAS_OAS_SPRD"))</f>
        <v/>
      </c>
      <c r="O138" s="67">
        <f>IF($A138="","",_xll.BDP($A138&amp;" Corp","YAS_MOD_DUR"))</f>
        <v/>
      </c>
      <c r="P138" s="80">
        <f>IF($A138="","",IFERROR(INDEX(Sheet1!$P:$P,MATCH($A138,Sheet1!$A:$A,0)),""))</f>
        <v/>
      </c>
      <c r="Q138" s="75">
        <f>IF($A138="","",IFERROR(INDEX(Company_desc!$C:$C,MATCH($A138,Company_desc!$A:$A,0)),IFERROR(INDEX(Sheet1!$Q:$Q,MATCH($A138,Sheet1!$A:$A,0)),"")))</f>
        <v/>
      </c>
      <c r="R138" s="75">
        <f>IF($A138="","",_xll.BDP($A138&amp;" Corp","CRNCY"))</f>
        <v/>
      </c>
      <c r="S138" s="75">
        <f>IF($A138="","",IFERROR(INDEX(Sheet1!$S:$S,MATCH($A138,Sheet1!$A:$A,0)),""))</f>
        <v/>
      </c>
      <c r="T138" s="75">
        <f>IF($A138="","",IFERROR(INDEX(Sheet1!$T:$T,MATCH($A138,Sheet1!$A:$A,0)),_xll.BDP($A138&amp;" Corp","RTG_SP")))</f>
        <v/>
      </c>
      <c r="U138" s="75">
        <f>IF($A138="","",IFERROR(INDEX(Sheet1!$U:$U,MATCH($A138,Sheet1!$A:$A,0)),""))</f>
        <v/>
      </c>
      <c r="W138" s="81">
        <f>IF($A138="","",N138-_xll.BDP($A138&amp;" Corp","YAS_OAS_SPRD","SETTLE_DT",Company_desc!$A$1))</f>
        <v/>
      </c>
      <c r="X138" s="81">
        <f>IF($A138="","",N138-_xll.BDP($A138&amp;" Corp","YAS_OAS_SPRD","SETTLE_DT",Company_desc!$A$2))</f>
        <v/>
      </c>
      <c r="Y138" s="80">
        <f>IF($A138="","",N138-_xll.BDP($A138&amp;" Corp","YAS_OAS_SPRD","SETTLE_DT",Company_desc!$D$1))</f>
        <v/>
      </c>
      <c r="Z138" s="82">
        <f>IF($A138="","",K138-_xll.BDP($A138&amp;" Corp","YAS_BOND_YLD","YAS_YLD_FLAG=15","SETTLE_DT",Company_desc!$D$1))</f>
        <v/>
      </c>
      <c r="AA138" s="80">
        <f>IF($A138="","",_xll.BDP($A138&amp;" Corp","YAS_OAS_SPRD","SETTLE_DT",Company_desc!$D$1))</f>
        <v/>
      </c>
    </row>
    <row r="139">
      <c r="B139" s="75">
        <f>IF($A139="","",IFERROR(INDEX(Sheet1!$B:$B,MATCH($A139,Sheet1!$A:$A,0)),""))</f>
        <v/>
      </c>
      <c r="C139" s="75">
        <f>IF($A139="","",PROPER(_xll.BDP($A139&amp;" Corp","NAME")))</f>
        <v/>
      </c>
      <c r="D139" s="76">
        <f>IF($A139="","",_xll.BDP($A139&amp;" Corp","CPN"))</f>
        <v/>
      </c>
      <c r="E139" s="75">
        <f>IF($A139="","",_xll.BDP($A139&amp;" Corp","PAYMENT_RANK"))</f>
        <v/>
      </c>
      <c r="F139" s="100">
        <f>IF($A139="","",_xll.BDP($A139&amp;" Corp","MATURITY"))</f>
        <v/>
      </c>
      <c r="G139" s="75">
        <f>IF($A139="","",PROPER(_xll.BDP($A139&amp;" Corp","COUNTRY_FULL_NAME")))</f>
        <v/>
      </c>
      <c r="H139" s="75">
        <f>IF($A139="","",_xll.BDP($A139&amp;" Corp","INDUSTRY_SECTOR"))</f>
        <v/>
      </c>
      <c r="I139" s="101">
        <f>IF($A139="","",IFERROR(_xll.BDP($A139&amp;" Corp","MIN_PIECE")/1000,""))</f>
        <v/>
      </c>
      <c r="J139" s="31">
        <f>IF($A139="","",_xll.BDP($A139&amp;" Corp","PX_LAST"))</f>
        <v/>
      </c>
      <c r="K139" s="31">
        <f>IF($A139="","",_xll.BDP($A139&amp;" Corp","YAS_BOND_YLD","YAS_YLD_FLAG=15"))</f>
        <v/>
      </c>
      <c r="L139" s="31">
        <f>IF($A139="","",K139-_xll.BDP($A139&amp;" Corp","YAS_BOND_YLD","YAS_YLD_FLAG=15","SETTLE_DT",Company_desc!$A$1))</f>
        <v/>
      </c>
      <c r="M139" s="31">
        <f>IF($A139="","",K139-_xll.BDP($A139&amp;" Corp","YAS_BOND_YLD","YAS_YLD_FLAG=15","SETTLE_DT",Company_desc!$A$2))</f>
        <v/>
      </c>
      <c r="N139" s="79">
        <f>IF($A139="","",_xll.BDP($A139&amp;" Corp","YAS_OAS_SPRD"))</f>
        <v/>
      </c>
      <c r="O139" s="67">
        <f>IF($A139="","",_xll.BDP($A139&amp;" Corp","YAS_MOD_DUR"))</f>
        <v/>
      </c>
      <c r="P139" s="80">
        <f>IF($A139="","",IFERROR(INDEX(Sheet1!$P:$P,MATCH($A139,Sheet1!$A:$A,0)),""))</f>
        <v/>
      </c>
      <c r="Q139" s="75">
        <f>IF($A139="","",IFERROR(INDEX(Company_desc!$C:$C,MATCH($A139,Company_desc!$A:$A,0)),IFERROR(INDEX(Sheet1!$Q:$Q,MATCH($A139,Sheet1!$A:$A,0)),"")))</f>
        <v/>
      </c>
      <c r="R139" s="75">
        <f>IF($A139="","",_xll.BDP($A139&amp;" Corp","CRNCY"))</f>
        <v/>
      </c>
      <c r="S139" s="75">
        <f>IF($A139="","",IFERROR(INDEX(Sheet1!$S:$S,MATCH($A139,Sheet1!$A:$A,0)),""))</f>
        <v/>
      </c>
      <c r="T139" s="75">
        <f>IF($A139="","",IFERROR(INDEX(Sheet1!$T:$T,MATCH($A139,Sheet1!$A:$A,0)),_xll.BDP($A139&amp;" Corp","RTG_SP")))</f>
        <v/>
      </c>
      <c r="U139" s="75">
        <f>IF($A139="","",IFERROR(INDEX(Sheet1!$U:$U,MATCH($A139,Sheet1!$A:$A,0)),""))</f>
        <v/>
      </c>
      <c r="W139" s="81">
        <f>IF($A139="","",N139-_xll.BDP($A139&amp;" Corp","YAS_OAS_SPRD","SETTLE_DT",Company_desc!$A$1))</f>
        <v/>
      </c>
      <c r="X139" s="81">
        <f>IF($A139="","",N139-_xll.BDP($A139&amp;" Corp","YAS_OAS_SPRD","SETTLE_DT",Company_desc!$A$2))</f>
        <v/>
      </c>
      <c r="Y139" s="80">
        <f>IF($A139="","",N139-_xll.BDP($A139&amp;" Corp","YAS_OAS_SPRD","SETTLE_DT",Company_desc!$D$1))</f>
        <v/>
      </c>
      <c r="Z139" s="82">
        <f>IF($A139="","",K139-_xll.BDP($A139&amp;" Corp","YAS_BOND_YLD","YAS_YLD_FLAG=15","SETTLE_DT",Company_desc!$D$1))</f>
        <v/>
      </c>
      <c r="AA139" s="80">
        <f>IF($A139="","",_xll.BDP($A139&amp;" Corp","YAS_OAS_SPRD","SETTLE_DT",Company_desc!$D$1))</f>
        <v/>
      </c>
    </row>
    <row r="140">
      <c r="B140" s="75">
        <f>IF($A140="","",IFERROR(INDEX(Sheet1!$B:$B,MATCH($A140,Sheet1!$A:$A,0)),""))</f>
        <v/>
      </c>
      <c r="C140" s="75">
        <f>IF($A140="","",PROPER(_xll.BDP($A140&amp;" Corp","NAME")))</f>
        <v/>
      </c>
      <c r="D140" s="76">
        <f>IF($A140="","",_xll.BDP($A140&amp;" Corp","CPN"))</f>
        <v/>
      </c>
      <c r="E140" s="75">
        <f>IF($A140="","",_xll.BDP($A140&amp;" Corp","PAYMENT_RANK"))</f>
        <v/>
      </c>
      <c r="F140" s="100">
        <f>IF($A140="","",_xll.BDP($A140&amp;" Corp","MATURITY"))</f>
        <v/>
      </c>
      <c r="G140" s="75">
        <f>IF($A140="","",PROPER(_xll.BDP($A140&amp;" Corp","COUNTRY_FULL_NAME")))</f>
        <v/>
      </c>
      <c r="H140" s="75">
        <f>IF($A140="","",_xll.BDP($A140&amp;" Corp","INDUSTRY_SECTOR"))</f>
        <v/>
      </c>
      <c r="I140" s="101">
        <f>IF($A140="","",IFERROR(_xll.BDP($A140&amp;" Corp","MIN_PIECE")/1000,""))</f>
        <v/>
      </c>
      <c r="J140" s="31">
        <f>IF($A140="","",_xll.BDP($A140&amp;" Corp","PX_LAST"))</f>
        <v/>
      </c>
      <c r="K140" s="31">
        <f>IF($A140="","",_xll.BDP($A140&amp;" Corp","YAS_BOND_YLD","YAS_YLD_FLAG=15"))</f>
        <v/>
      </c>
      <c r="L140" s="31">
        <f>IF($A140="","",K140-_xll.BDP($A140&amp;" Corp","YAS_BOND_YLD","YAS_YLD_FLAG=15","SETTLE_DT",Company_desc!$A$1))</f>
        <v/>
      </c>
      <c r="M140" s="31">
        <f>IF($A140="","",K140-_xll.BDP($A140&amp;" Corp","YAS_BOND_YLD","YAS_YLD_FLAG=15","SETTLE_DT",Company_desc!$A$2))</f>
        <v/>
      </c>
      <c r="N140" s="79">
        <f>IF($A140="","",_xll.BDP($A140&amp;" Corp","YAS_OAS_SPRD"))</f>
        <v/>
      </c>
      <c r="O140" s="67">
        <f>IF($A140="","",_xll.BDP($A140&amp;" Corp","YAS_MOD_DUR"))</f>
        <v/>
      </c>
      <c r="P140" s="80">
        <f>IF($A140="","",IFERROR(INDEX(Sheet1!$P:$P,MATCH($A140,Sheet1!$A:$A,0)),""))</f>
        <v/>
      </c>
      <c r="Q140" s="75">
        <f>IF($A140="","",IFERROR(INDEX(Company_desc!$C:$C,MATCH($A140,Company_desc!$A:$A,0)),IFERROR(INDEX(Sheet1!$Q:$Q,MATCH($A140,Sheet1!$A:$A,0)),"")))</f>
        <v/>
      </c>
      <c r="R140" s="75">
        <f>IF($A140="","",_xll.BDP($A140&amp;" Corp","CRNCY"))</f>
        <v/>
      </c>
      <c r="S140" s="75">
        <f>IF($A140="","",IFERROR(INDEX(Sheet1!$S:$S,MATCH($A140,Sheet1!$A:$A,0)),""))</f>
        <v/>
      </c>
      <c r="T140" s="75">
        <f>IF($A140="","",IFERROR(INDEX(Sheet1!$T:$T,MATCH($A140,Sheet1!$A:$A,0)),_xll.BDP($A140&amp;" Corp","RTG_SP")))</f>
        <v/>
      </c>
      <c r="U140" s="75">
        <f>IF($A140="","",IFERROR(INDEX(Sheet1!$U:$U,MATCH($A140,Sheet1!$A:$A,0)),""))</f>
        <v/>
      </c>
      <c r="W140" s="81">
        <f>IF($A140="","",N140-_xll.BDP($A140&amp;" Corp","YAS_OAS_SPRD","SETTLE_DT",Company_desc!$A$1))</f>
        <v/>
      </c>
      <c r="X140" s="81">
        <f>IF($A140="","",N140-_xll.BDP($A140&amp;" Corp","YAS_OAS_SPRD","SETTLE_DT",Company_desc!$A$2))</f>
        <v/>
      </c>
      <c r="Y140" s="80">
        <f>IF($A140="","",N140-_xll.BDP($A140&amp;" Corp","YAS_OAS_SPRD","SETTLE_DT",Company_desc!$D$1))</f>
        <v/>
      </c>
      <c r="Z140" s="82">
        <f>IF($A140="","",K140-_xll.BDP($A140&amp;" Corp","YAS_BOND_YLD","YAS_YLD_FLAG=15","SETTLE_DT",Company_desc!$D$1))</f>
        <v/>
      </c>
      <c r="AA140" s="80">
        <f>IF($A140="","",_xll.BDP($A140&amp;" Corp","YAS_OAS_SPRD","SETTLE_DT",Company_desc!$D$1))</f>
        <v/>
      </c>
    </row>
    <row r="141">
      <c r="B141" s="75">
        <f>IF($A141="","",IFERROR(INDEX(Sheet1!$B:$B,MATCH($A141,Sheet1!$A:$A,0)),""))</f>
        <v/>
      </c>
      <c r="C141" s="75">
        <f>IF($A141="","",PROPER(_xll.BDP($A141&amp;" Corp","NAME")))</f>
        <v/>
      </c>
      <c r="D141" s="76">
        <f>IF($A141="","",_xll.BDP($A141&amp;" Corp","CPN"))</f>
        <v/>
      </c>
      <c r="E141" s="75">
        <f>IF($A141="","",_xll.BDP($A141&amp;" Corp","PAYMENT_RANK"))</f>
        <v/>
      </c>
      <c r="F141" s="100">
        <f>IF($A141="","",_xll.BDP($A141&amp;" Corp","MATURITY"))</f>
        <v/>
      </c>
      <c r="G141" s="75">
        <f>IF($A141="","",PROPER(_xll.BDP($A141&amp;" Corp","COUNTRY_FULL_NAME")))</f>
        <v/>
      </c>
      <c r="H141" s="75">
        <f>IF($A141="","",_xll.BDP($A141&amp;" Corp","INDUSTRY_SECTOR"))</f>
        <v/>
      </c>
      <c r="I141" s="101">
        <f>IF($A141="","",IFERROR(_xll.BDP($A141&amp;" Corp","MIN_PIECE")/1000,""))</f>
        <v/>
      </c>
      <c r="J141" s="31">
        <f>IF($A141="","",_xll.BDP($A141&amp;" Corp","PX_LAST"))</f>
        <v/>
      </c>
      <c r="K141" s="31">
        <f>IF($A141="","",_xll.BDP($A141&amp;" Corp","YAS_BOND_YLD","YAS_YLD_FLAG=15"))</f>
        <v/>
      </c>
      <c r="L141" s="31">
        <f>IF($A141="","",K141-_xll.BDP($A141&amp;" Corp","YAS_BOND_YLD","YAS_YLD_FLAG=15","SETTLE_DT",Company_desc!$A$1))</f>
        <v/>
      </c>
      <c r="M141" s="31">
        <f>IF($A141="","",K141-_xll.BDP($A141&amp;" Corp","YAS_BOND_YLD","YAS_YLD_FLAG=15","SETTLE_DT",Company_desc!$A$2))</f>
        <v/>
      </c>
      <c r="N141" s="79">
        <f>IF($A141="","",_xll.BDP($A141&amp;" Corp","YAS_OAS_SPRD"))</f>
        <v/>
      </c>
      <c r="O141" s="67">
        <f>IF($A141="","",_xll.BDP($A141&amp;" Corp","YAS_MOD_DUR"))</f>
        <v/>
      </c>
      <c r="P141" s="80">
        <f>IF($A141="","",IFERROR(INDEX(Sheet1!$P:$P,MATCH($A141,Sheet1!$A:$A,0)),""))</f>
        <v/>
      </c>
      <c r="Q141" s="75">
        <f>IF($A141="","",IFERROR(INDEX(Company_desc!$C:$C,MATCH($A141,Company_desc!$A:$A,0)),IFERROR(INDEX(Sheet1!$Q:$Q,MATCH($A141,Sheet1!$A:$A,0)),"")))</f>
        <v/>
      </c>
      <c r="R141" s="75">
        <f>IF($A141="","",_xll.BDP($A141&amp;" Corp","CRNCY"))</f>
        <v/>
      </c>
      <c r="S141" s="75">
        <f>IF($A141="","",IFERROR(INDEX(Sheet1!$S:$S,MATCH($A141,Sheet1!$A:$A,0)),""))</f>
        <v/>
      </c>
      <c r="T141" s="75">
        <f>IF($A141="","",IFERROR(INDEX(Sheet1!$T:$T,MATCH($A141,Sheet1!$A:$A,0)),_xll.BDP($A141&amp;" Corp","RTG_SP")))</f>
        <v/>
      </c>
      <c r="U141" s="75">
        <f>IF($A141="","",IFERROR(INDEX(Sheet1!$U:$U,MATCH($A141,Sheet1!$A:$A,0)),""))</f>
        <v/>
      </c>
      <c r="W141" s="81">
        <f>IF($A141="","",N141-_xll.BDP($A141&amp;" Corp","YAS_OAS_SPRD","SETTLE_DT",Company_desc!$A$1))</f>
        <v/>
      </c>
      <c r="X141" s="81">
        <f>IF($A141="","",N141-_xll.BDP($A141&amp;" Corp","YAS_OAS_SPRD","SETTLE_DT",Company_desc!$A$2))</f>
        <v/>
      </c>
      <c r="Y141" s="80">
        <f>IF($A141="","",N141-_xll.BDP($A141&amp;" Corp","YAS_OAS_SPRD","SETTLE_DT",Company_desc!$D$1))</f>
        <v/>
      </c>
      <c r="Z141" s="82">
        <f>IF($A141="","",K141-_xll.BDP($A141&amp;" Corp","YAS_BOND_YLD","YAS_YLD_FLAG=15","SETTLE_DT",Company_desc!$D$1))</f>
        <v/>
      </c>
      <c r="AA141" s="80">
        <f>IF($A141="","",_xll.BDP($A141&amp;" Corp","YAS_OAS_SPRD","SETTLE_DT",Company_desc!$D$1))</f>
        <v/>
      </c>
    </row>
    <row r="142">
      <c r="B142" s="75">
        <f>IF($A142="","",IFERROR(INDEX(Sheet1!$B:$B,MATCH($A142,Sheet1!$A:$A,0)),""))</f>
        <v/>
      </c>
      <c r="C142" s="75">
        <f>IF($A142="","",PROPER(_xll.BDP($A142&amp;" Corp","NAME")))</f>
        <v/>
      </c>
      <c r="D142" s="76">
        <f>IF($A142="","",_xll.BDP($A142&amp;" Corp","CPN"))</f>
        <v/>
      </c>
      <c r="E142" s="75">
        <f>IF($A142="","",_xll.BDP($A142&amp;" Corp","PAYMENT_RANK"))</f>
        <v/>
      </c>
      <c r="F142" s="100">
        <f>IF($A142="","",_xll.BDP($A142&amp;" Corp","MATURITY"))</f>
        <v/>
      </c>
      <c r="G142" s="75">
        <f>IF($A142="","",PROPER(_xll.BDP($A142&amp;" Corp","COUNTRY_FULL_NAME")))</f>
        <v/>
      </c>
      <c r="H142" s="75">
        <f>IF($A142="","",_xll.BDP($A142&amp;" Corp","INDUSTRY_SECTOR"))</f>
        <v/>
      </c>
      <c r="I142" s="101">
        <f>IF($A142="","",IFERROR(_xll.BDP($A142&amp;" Corp","MIN_PIECE")/1000,""))</f>
        <v/>
      </c>
      <c r="J142" s="31">
        <f>IF($A142="","",_xll.BDP($A142&amp;" Corp","PX_LAST"))</f>
        <v/>
      </c>
      <c r="K142" s="31">
        <f>IF($A142="","",_xll.BDP($A142&amp;" Corp","YAS_BOND_YLD","YAS_YLD_FLAG=15"))</f>
        <v/>
      </c>
      <c r="L142" s="31">
        <f>IF($A142="","",K142-_xll.BDP($A142&amp;" Corp","YAS_BOND_YLD","YAS_YLD_FLAG=15","SETTLE_DT",Company_desc!$A$1))</f>
        <v/>
      </c>
      <c r="M142" s="31">
        <f>IF($A142="","",K142-_xll.BDP($A142&amp;" Corp","YAS_BOND_YLD","YAS_YLD_FLAG=15","SETTLE_DT",Company_desc!$A$2))</f>
        <v/>
      </c>
      <c r="N142" s="79">
        <f>IF($A142="","",_xll.BDP($A142&amp;" Corp","YAS_OAS_SPRD"))</f>
        <v/>
      </c>
      <c r="O142" s="67">
        <f>IF($A142="","",_xll.BDP($A142&amp;" Corp","YAS_MOD_DUR"))</f>
        <v/>
      </c>
      <c r="P142" s="80">
        <f>IF($A142="","",IFERROR(INDEX(Sheet1!$P:$P,MATCH($A142,Sheet1!$A:$A,0)),""))</f>
        <v/>
      </c>
      <c r="Q142" s="75">
        <f>IF($A142="","",IFERROR(INDEX(Company_desc!$C:$C,MATCH($A142,Company_desc!$A:$A,0)),IFERROR(INDEX(Sheet1!$Q:$Q,MATCH($A142,Sheet1!$A:$A,0)),"")))</f>
        <v/>
      </c>
      <c r="R142" s="75">
        <f>IF($A142="","",_xll.BDP($A142&amp;" Corp","CRNCY"))</f>
        <v/>
      </c>
      <c r="S142" s="75">
        <f>IF($A142="","",IFERROR(INDEX(Sheet1!$S:$S,MATCH($A142,Sheet1!$A:$A,0)),""))</f>
        <v/>
      </c>
      <c r="T142" s="75">
        <f>IF($A142="","",IFERROR(INDEX(Sheet1!$T:$T,MATCH($A142,Sheet1!$A:$A,0)),_xll.BDP($A142&amp;" Corp","RTG_SP")))</f>
        <v/>
      </c>
      <c r="U142" s="75">
        <f>IF($A142="","",IFERROR(INDEX(Sheet1!$U:$U,MATCH($A142,Sheet1!$A:$A,0)),""))</f>
        <v/>
      </c>
      <c r="W142" s="81">
        <f>IF($A142="","",N142-_xll.BDP($A142&amp;" Corp","YAS_OAS_SPRD","SETTLE_DT",Company_desc!$A$1))</f>
        <v/>
      </c>
      <c r="X142" s="81">
        <f>IF($A142="","",N142-_xll.BDP($A142&amp;" Corp","YAS_OAS_SPRD","SETTLE_DT",Company_desc!$A$2))</f>
        <v/>
      </c>
      <c r="Y142" s="80">
        <f>IF($A142="","",N142-_xll.BDP($A142&amp;" Corp","YAS_OAS_SPRD","SETTLE_DT",Company_desc!$D$1))</f>
        <v/>
      </c>
      <c r="Z142" s="82">
        <f>IF($A142="","",K142-_xll.BDP($A142&amp;" Corp","YAS_BOND_YLD","YAS_YLD_FLAG=15","SETTLE_DT",Company_desc!$D$1))</f>
        <v/>
      </c>
      <c r="AA142" s="80">
        <f>IF($A142="","",_xll.BDP($A142&amp;" Corp","YAS_OAS_SPRD","SETTLE_DT",Company_desc!$D$1))</f>
        <v/>
      </c>
    </row>
    <row r="143">
      <c r="B143" s="75">
        <f>IF($A143="","",IFERROR(INDEX(Sheet1!$B:$B,MATCH($A143,Sheet1!$A:$A,0)),""))</f>
        <v/>
      </c>
      <c r="C143" s="75">
        <f>IF($A143="","",PROPER(_xll.BDP($A143&amp;" Corp","NAME")))</f>
        <v/>
      </c>
      <c r="D143" s="76">
        <f>IF($A143="","",_xll.BDP($A143&amp;" Corp","CPN"))</f>
        <v/>
      </c>
      <c r="E143" s="75">
        <f>IF($A143="","",_xll.BDP($A143&amp;" Corp","PAYMENT_RANK"))</f>
        <v/>
      </c>
      <c r="F143" s="100">
        <f>IF($A143="","",_xll.BDP($A143&amp;" Corp","MATURITY"))</f>
        <v/>
      </c>
      <c r="G143" s="75">
        <f>IF($A143="","",PROPER(_xll.BDP($A143&amp;" Corp","COUNTRY_FULL_NAME")))</f>
        <v/>
      </c>
      <c r="H143" s="75">
        <f>IF($A143="","",_xll.BDP($A143&amp;" Corp","INDUSTRY_SECTOR"))</f>
        <v/>
      </c>
      <c r="I143" s="101">
        <f>IF($A143="","",IFERROR(_xll.BDP($A143&amp;" Corp","MIN_PIECE")/1000,""))</f>
        <v/>
      </c>
      <c r="J143" s="31">
        <f>IF($A143="","",_xll.BDP($A143&amp;" Corp","PX_LAST"))</f>
        <v/>
      </c>
      <c r="K143" s="31">
        <f>IF($A143="","",_xll.BDP($A143&amp;" Corp","YAS_BOND_YLD","YAS_YLD_FLAG=15"))</f>
        <v/>
      </c>
      <c r="L143" s="31">
        <f>IF($A143="","",K143-_xll.BDP($A143&amp;" Corp","YAS_BOND_YLD","YAS_YLD_FLAG=15","SETTLE_DT",Company_desc!$A$1))</f>
        <v/>
      </c>
      <c r="M143" s="31">
        <f>IF($A143="","",K143-_xll.BDP($A143&amp;" Corp","YAS_BOND_YLD","YAS_YLD_FLAG=15","SETTLE_DT",Company_desc!$A$2))</f>
        <v/>
      </c>
      <c r="N143" s="79">
        <f>IF($A143="","",_xll.BDP($A143&amp;" Corp","YAS_OAS_SPRD"))</f>
        <v/>
      </c>
      <c r="O143" s="67">
        <f>IF($A143="","",_xll.BDP($A143&amp;" Corp","YAS_MOD_DUR"))</f>
        <v/>
      </c>
      <c r="P143" s="80">
        <f>IF($A143="","",IFERROR(INDEX(Sheet1!$P:$P,MATCH($A143,Sheet1!$A:$A,0)),""))</f>
        <v/>
      </c>
      <c r="Q143" s="75">
        <f>IF($A143="","",IFERROR(INDEX(Company_desc!$C:$C,MATCH($A143,Company_desc!$A:$A,0)),IFERROR(INDEX(Sheet1!$Q:$Q,MATCH($A143,Sheet1!$A:$A,0)),"")))</f>
        <v/>
      </c>
      <c r="R143" s="75">
        <f>IF($A143="","",_xll.BDP($A143&amp;" Corp","CRNCY"))</f>
        <v/>
      </c>
      <c r="S143" s="75">
        <f>IF($A143="","",IFERROR(INDEX(Sheet1!$S:$S,MATCH($A143,Sheet1!$A:$A,0)),""))</f>
        <v/>
      </c>
      <c r="T143" s="75">
        <f>IF($A143="","",IFERROR(INDEX(Sheet1!$T:$T,MATCH($A143,Sheet1!$A:$A,0)),_xll.BDP($A143&amp;" Corp","RTG_SP")))</f>
        <v/>
      </c>
      <c r="U143" s="75">
        <f>IF($A143="","",IFERROR(INDEX(Sheet1!$U:$U,MATCH($A143,Sheet1!$A:$A,0)),""))</f>
        <v/>
      </c>
      <c r="W143" s="81">
        <f>IF($A143="","",N143-_xll.BDP($A143&amp;" Corp","YAS_OAS_SPRD","SETTLE_DT",Company_desc!$A$1))</f>
        <v/>
      </c>
      <c r="X143" s="81">
        <f>IF($A143="","",N143-_xll.BDP($A143&amp;" Corp","YAS_OAS_SPRD","SETTLE_DT",Company_desc!$A$2))</f>
        <v/>
      </c>
      <c r="Y143" s="80">
        <f>IF($A143="","",N143-_xll.BDP($A143&amp;" Corp","YAS_OAS_SPRD","SETTLE_DT",Company_desc!$D$1))</f>
        <v/>
      </c>
      <c r="Z143" s="82">
        <f>IF($A143="","",K143-_xll.BDP($A143&amp;" Corp","YAS_BOND_YLD","YAS_YLD_FLAG=15","SETTLE_DT",Company_desc!$D$1))</f>
        <v/>
      </c>
      <c r="AA143" s="80">
        <f>IF($A143="","",_xll.BDP($A143&amp;" Corp","YAS_OAS_SPRD","SETTLE_DT",Company_desc!$D$1))</f>
        <v/>
      </c>
    </row>
    <row r="144">
      <c r="B144" s="75">
        <f>IF($A144="","",IFERROR(INDEX(Sheet1!$B:$B,MATCH($A144,Sheet1!$A:$A,0)),""))</f>
        <v/>
      </c>
      <c r="C144" s="75">
        <f>IF($A144="","",PROPER(_xll.BDP($A144&amp;" Corp","NAME")))</f>
        <v/>
      </c>
      <c r="D144" s="76">
        <f>IF($A144="","",_xll.BDP($A144&amp;" Corp","CPN"))</f>
        <v/>
      </c>
      <c r="E144" s="75">
        <f>IF($A144="","",_xll.BDP($A144&amp;" Corp","PAYMENT_RANK"))</f>
        <v/>
      </c>
      <c r="F144" s="100">
        <f>IF($A144="","",_xll.BDP($A144&amp;" Corp","MATURITY"))</f>
        <v/>
      </c>
      <c r="G144" s="75">
        <f>IF($A144="","",PROPER(_xll.BDP($A144&amp;" Corp","COUNTRY_FULL_NAME")))</f>
        <v/>
      </c>
      <c r="H144" s="75">
        <f>IF($A144="","",_xll.BDP($A144&amp;" Corp","INDUSTRY_SECTOR"))</f>
        <v/>
      </c>
      <c r="I144" s="101">
        <f>IF($A144="","",IFERROR(_xll.BDP($A144&amp;" Corp","MIN_PIECE")/1000,""))</f>
        <v/>
      </c>
      <c r="J144" s="31">
        <f>IF($A144="","",_xll.BDP($A144&amp;" Corp","PX_LAST"))</f>
        <v/>
      </c>
      <c r="K144" s="31">
        <f>IF($A144="","",_xll.BDP($A144&amp;" Corp","YAS_BOND_YLD","YAS_YLD_FLAG=15"))</f>
        <v/>
      </c>
      <c r="L144" s="31">
        <f>IF($A144="","",K144-_xll.BDP($A144&amp;" Corp","YAS_BOND_YLD","YAS_YLD_FLAG=15","SETTLE_DT",Company_desc!$A$1))</f>
        <v/>
      </c>
      <c r="M144" s="31">
        <f>IF($A144="","",K144-_xll.BDP($A144&amp;" Corp","YAS_BOND_YLD","YAS_YLD_FLAG=15","SETTLE_DT",Company_desc!$A$2))</f>
        <v/>
      </c>
      <c r="N144" s="79">
        <f>IF($A144="","",_xll.BDP($A144&amp;" Corp","YAS_OAS_SPRD"))</f>
        <v/>
      </c>
      <c r="O144" s="67">
        <f>IF($A144="","",_xll.BDP($A144&amp;" Corp","YAS_MOD_DUR"))</f>
        <v/>
      </c>
      <c r="P144" s="80">
        <f>IF($A144="","",IFERROR(INDEX(Sheet1!$P:$P,MATCH($A144,Sheet1!$A:$A,0)),""))</f>
        <v/>
      </c>
      <c r="Q144" s="75">
        <f>IF($A144="","",IFERROR(INDEX(Company_desc!$C:$C,MATCH($A144,Company_desc!$A:$A,0)),IFERROR(INDEX(Sheet1!$Q:$Q,MATCH($A144,Sheet1!$A:$A,0)),"")))</f>
        <v/>
      </c>
      <c r="R144" s="75">
        <f>IF($A144="","",_xll.BDP($A144&amp;" Corp","CRNCY"))</f>
        <v/>
      </c>
      <c r="S144" s="75">
        <f>IF($A144="","",IFERROR(INDEX(Sheet1!$S:$S,MATCH($A144,Sheet1!$A:$A,0)),""))</f>
        <v/>
      </c>
      <c r="T144" s="75">
        <f>IF($A144="","",IFERROR(INDEX(Sheet1!$T:$T,MATCH($A144,Sheet1!$A:$A,0)),_xll.BDP($A144&amp;" Corp","RTG_SP")))</f>
        <v/>
      </c>
      <c r="U144" s="75">
        <f>IF($A144="","",IFERROR(INDEX(Sheet1!$U:$U,MATCH($A144,Sheet1!$A:$A,0)),""))</f>
        <v/>
      </c>
      <c r="W144" s="81">
        <f>IF($A144="","",N144-_xll.BDP($A144&amp;" Corp","YAS_OAS_SPRD","SETTLE_DT",Company_desc!$A$1))</f>
        <v/>
      </c>
      <c r="X144" s="81">
        <f>IF($A144="","",N144-_xll.BDP($A144&amp;" Corp","YAS_OAS_SPRD","SETTLE_DT",Company_desc!$A$2))</f>
        <v/>
      </c>
      <c r="Y144" s="80">
        <f>IF($A144="","",N144-_xll.BDP($A144&amp;" Corp","YAS_OAS_SPRD","SETTLE_DT",Company_desc!$D$1))</f>
        <v/>
      </c>
      <c r="Z144" s="82">
        <f>IF($A144="","",K144-_xll.BDP($A144&amp;" Corp","YAS_BOND_YLD","YAS_YLD_FLAG=15","SETTLE_DT",Company_desc!$D$1))</f>
        <v/>
      </c>
      <c r="AA144" s="80">
        <f>IF($A144="","",_xll.BDP($A144&amp;" Corp","YAS_OAS_SPRD","SETTLE_DT",Company_desc!$D$1))</f>
        <v/>
      </c>
    </row>
    <row r="145">
      <c r="B145" s="75">
        <f>IF($A145="","",IFERROR(INDEX(Sheet1!$B:$B,MATCH($A145,Sheet1!$A:$A,0)),""))</f>
        <v/>
      </c>
      <c r="C145" s="75">
        <f>IF($A145="","",PROPER(_xll.BDP($A145&amp;" Corp","NAME")))</f>
        <v/>
      </c>
      <c r="D145" s="76">
        <f>IF($A145="","",_xll.BDP($A145&amp;" Corp","CPN"))</f>
        <v/>
      </c>
      <c r="E145" s="75">
        <f>IF($A145="","",_xll.BDP($A145&amp;" Corp","PAYMENT_RANK"))</f>
        <v/>
      </c>
      <c r="F145" s="100">
        <f>IF($A145="","",_xll.BDP($A145&amp;" Corp","MATURITY"))</f>
        <v/>
      </c>
      <c r="G145" s="75">
        <f>IF($A145="","",PROPER(_xll.BDP($A145&amp;" Corp","COUNTRY_FULL_NAME")))</f>
        <v/>
      </c>
      <c r="H145" s="75">
        <f>IF($A145="","",_xll.BDP($A145&amp;" Corp","INDUSTRY_SECTOR"))</f>
        <v/>
      </c>
      <c r="I145" s="101">
        <f>IF($A145="","",IFERROR(_xll.BDP($A145&amp;" Corp","MIN_PIECE")/1000,""))</f>
        <v/>
      </c>
      <c r="J145" s="31">
        <f>IF($A145="","",_xll.BDP($A145&amp;" Corp","PX_LAST"))</f>
        <v/>
      </c>
      <c r="K145" s="31">
        <f>IF($A145="","",_xll.BDP($A145&amp;" Corp","YAS_BOND_YLD","YAS_YLD_FLAG=15"))</f>
        <v/>
      </c>
      <c r="L145" s="31">
        <f>IF($A145="","",K145-_xll.BDP($A145&amp;" Corp","YAS_BOND_YLD","YAS_YLD_FLAG=15","SETTLE_DT",Company_desc!$A$1))</f>
        <v/>
      </c>
      <c r="M145" s="31">
        <f>IF($A145="","",K145-_xll.BDP($A145&amp;" Corp","YAS_BOND_YLD","YAS_YLD_FLAG=15","SETTLE_DT",Company_desc!$A$2))</f>
        <v/>
      </c>
      <c r="N145" s="79">
        <f>IF($A145="","",_xll.BDP($A145&amp;" Corp","YAS_OAS_SPRD"))</f>
        <v/>
      </c>
      <c r="O145" s="67">
        <f>IF($A145="","",_xll.BDP($A145&amp;" Corp","YAS_MOD_DUR"))</f>
        <v/>
      </c>
      <c r="P145" s="80">
        <f>IF($A145="","",IFERROR(INDEX(Sheet1!$P:$P,MATCH($A145,Sheet1!$A:$A,0)),""))</f>
        <v/>
      </c>
      <c r="Q145" s="75">
        <f>IF($A145="","",IFERROR(INDEX(Company_desc!$C:$C,MATCH($A145,Company_desc!$A:$A,0)),IFERROR(INDEX(Sheet1!$Q:$Q,MATCH($A145,Sheet1!$A:$A,0)),"")))</f>
        <v/>
      </c>
      <c r="R145" s="75">
        <f>IF($A145="","",_xll.BDP($A145&amp;" Corp","CRNCY"))</f>
        <v/>
      </c>
      <c r="S145" s="75">
        <f>IF($A145="","",IFERROR(INDEX(Sheet1!$S:$S,MATCH($A145,Sheet1!$A:$A,0)),""))</f>
        <v/>
      </c>
      <c r="T145" s="75">
        <f>IF($A145="","",IFERROR(INDEX(Sheet1!$T:$T,MATCH($A145,Sheet1!$A:$A,0)),_xll.BDP($A145&amp;" Corp","RTG_SP")))</f>
        <v/>
      </c>
      <c r="U145" s="75">
        <f>IF($A145="","",IFERROR(INDEX(Sheet1!$U:$U,MATCH($A145,Sheet1!$A:$A,0)),""))</f>
        <v/>
      </c>
      <c r="W145" s="81">
        <f>IF($A145="","",N145-_xll.BDP($A145&amp;" Corp","YAS_OAS_SPRD","SETTLE_DT",Company_desc!$A$1))</f>
        <v/>
      </c>
      <c r="X145" s="81">
        <f>IF($A145="","",N145-_xll.BDP($A145&amp;" Corp","YAS_OAS_SPRD","SETTLE_DT",Company_desc!$A$2))</f>
        <v/>
      </c>
      <c r="Y145" s="80">
        <f>IF($A145="","",N145-_xll.BDP($A145&amp;" Corp","YAS_OAS_SPRD","SETTLE_DT",Company_desc!$D$1))</f>
        <v/>
      </c>
      <c r="Z145" s="82">
        <f>IF($A145="","",K145-_xll.BDP($A145&amp;" Corp","YAS_BOND_YLD","YAS_YLD_FLAG=15","SETTLE_DT",Company_desc!$D$1))</f>
        <v/>
      </c>
      <c r="AA145" s="80">
        <f>IF($A145="","",_xll.BDP($A145&amp;" Corp","YAS_OAS_SPRD","SETTLE_DT",Company_desc!$D$1))</f>
        <v/>
      </c>
    </row>
    <row r="146">
      <c r="B146" s="75">
        <f>IF($A146="","",IFERROR(INDEX(Sheet1!$B:$B,MATCH($A146,Sheet1!$A:$A,0)),""))</f>
        <v/>
      </c>
      <c r="C146" s="75">
        <f>IF($A146="","",PROPER(_xll.BDP($A146&amp;" Corp","NAME")))</f>
        <v/>
      </c>
      <c r="D146" s="76">
        <f>IF($A146="","",_xll.BDP($A146&amp;" Corp","CPN"))</f>
        <v/>
      </c>
      <c r="E146" s="75">
        <f>IF($A146="","",_xll.BDP($A146&amp;" Corp","PAYMENT_RANK"))</f>
        <v/>
      </c>
      <c r="F146" s="100">
        <f>IF($A146="","",_xll.BDP($A146&amp;" Corp","MATURITY"))</f>
        <v/>
      </c>
      <c r="G146" s="75">
        <f>IF($A146="","",PROPER(_xll.BDP($A146&amp;" Corp","COUNTRY_FULL_NAME")))</f>
        <v/>
      </c>
      <c r="H146" s="75">
        <f>IF($A146="","",_xll.BDP($A146&amp;" Corp","INDUSTRY_SECTOR"))</f>
        <v/>
      </c>
      <c r="I146" s="101">
        <f>IF($A146="","",IFERROR(_xll.BDP($A146&amp;" Corp","MIN_PIECE")/1000,""))</f>
        <v/>
      </c>
      <c r="J146" s="31">
        <f>IF($A146="","",_xll.BDP($A146&amp;" Corp","PX_LAST"))</f>
        <v/>
      </c>
      <c r="K146" s="31">
        <f>IF($A146="","",_xll.BDP($A146&amp;" Corp","YAS_BOND_YLD","YAS_YLD_FLAG=15"))</f>
        <v/>
      </c>
      <c r="L146" s="31">
        <f>IF($A146="","",K146-_xll.BDP($A146&amp;" Corp","YAS_BOND_YLD","YAS_YLD_FLAG=15","SETTLE_DT",Company_desc!$A$1))</f>
        <v/>
      </c>
      <c r="M146" s="31">
        <f>IF($A146="","",K146-_xll.BDP($A146&amp;" Corp","YAS_BOND_YLD","YAS_YLD_FLAG=15","SETTLE_DT",Company_desc!$A$2))</f>
        <v/>
      </c>
      <c r="N146" s="79">
        <f>IF($A146="","",_xll.BDP($A146&amp;" Corp","YAS_OAS_SPRD"))</f>
        <v/>
      </c>
      <c r="O146" s="67">
        <f>IF($A146="","",_xll.BDP($A146&amp;" Corp","YAS_MOD_DUR"))</f>
        <v/>
      </c>
      <c r="P146" s="80">
        <f>IF($A146="","",IFERROR(INDEX(Sheet1!$P:$P,MATCH($A146,Sheet1!$A:$A,0)),""))</f>
        <v/>
      </c>
      <c r="Q146" s="75">
        <f>IF($A146="","",IFERROR(INDEX(Company_desc!$C:$C,MATCH($A146,Company_desc!$A:$A,0)),IFERROR(INDEX(Sheet1!$Q:$Q,MATCH($A146,Sheet1!$A:$A,0)),"")))</f>
        <v/>
      </c>
      <c r="R146" s="75">
        <f>IF($A146="","",_xll.BDP($A146&amp;" Corp","CRNCY"))</f>
        <v/>
      </c>
      <c r="S146" s="75">
        <f>IF($A146="","",IFERROR(INDEX(Sheet1!$S:$S,MATCH($A146,Sheet1!$A:$A,0)),""))</f>
        <v/>
      </c>
      <c r="T146" s="75">
        <f>IF($A146="","",IFERROR(INDEX(Sheet1!$T:$T,MATCH($A146,Sheet1!$A:$A,0)),_xll.BDP($A146&amp;" Corp","RTG_SP")))</f>
        <v/>
      </c>
      <c r="U146" s="75">
        <f>IF($A146="","",IFERROR(INDEX(Sheet1!$U:$U,MATCH($A146,Sheet1!$A:$A,0)),""))</f>
        <v/>
      </c>
      <c r="W146" s="81">
        <f>IF($A146="","",N146-_xll.BDP($A146&amp;" Corp","YAS_OAS_SPRD","SETTLE_DT",Company_desc!$A$1))</f>
        <v/>
      </c>
      <c r="X146" s="81">
        <f>IF($A146="","",N146-_xll.BDP($A146&amp;" Corp","YAS_OAS_SPRD","SETTLE_DT",Company_desc!$A$2))</f>
        <v/>
      </c>
      <c r="Y146" s="80">
        <f>IF($A146="","",N146-_xll.BDP($A146&amp;" Corp","YAS_OAS_SPRD","SETTLE_DT",Company_desc!$D$1))</f>
        <v/>
      </c>
      <c r="Z146" s="82">
        <f>IF($A146="","",K146-_xll.BDP($A146&amp;" Corp","YAS_BOND_YLD","YAS_YLD_FLAG=15","SETTLE_DT",Company_desc!$D$1))</f>
        <v/>
      </c>
      <c r="AA146" s="80">
        <f>IF($A146="","",_xll.BDP($A146&amp;" Corp","YAS_OAS_SPRD","SETTLE_DT",Company_desc!$D$1))</f>
        <v/>
      </c>
    </row>
    <row r="147">
      <c r="B147" s="75">
        <f>IF($A147="","",IFERROR(INDEX(Sheet1!$B:$B,MATCH($A147,Sheet1!$A:$A,0)),""))</f>
        <v/>
      </c>
      <c r="C147" s="75">
        <f>IF($A147="","",PROPER(_xll.BDP($A147&amp;" Corp","NAME")))</f>
        <v/>
      </c>
      <c r="D147" s="76">
        <f>IF($A147="","",_xll.BDP($A147&amp;" Corp","CPN"))</f>
        <v/>
      </c>
      <c r="E147" s="75">
        <f>IF($A147="","",_xll.BDP($A147&amp;" Corp","PAYMENT_RANK"))</f>
        <v/>
      </c>
      <c r="F147" s="100">
        <f>IF($A147="","",_xll.BDP($A147&amp;" Corp","MATURITY"))</f>
        <v/>
      </c>
      <c r="G147" s="75">
        <f>IF($A147="","",PROPER(_xll.BDP($A147&amp;" Corp","COUNTRY_FULL_NAME")))</f>
        <v/>
      </c>
      <c r="H147" s="75">
        <f>IF($A147="","",_xll.BDP($A147&amp;" Corp","INDUSTRY_SECTOR"))</f>
        <v/>
      </c>
      <c r="I147" s="101">
        <f>IF($A147="","",IFERROR(_xll.BDP($A147&amp;" Corp","MIN_PIECE")/1000,""))</f>
        <v/>
      </c>
      <c r="J147" s="31">
        <f>IF($A147="","",_xll.BDP($A147&amp;" Corp","PX_LAST"))</f>
        <v/>
      </c>
      <c r="K147" s="31">
        <f>IF($A147="","",_xll.BDP($A147&amp;" Corp","YAS_BOND_YLD","YAS_YLD_FLAG=15"))</f>
        <v/>
      </c>
      <c r="L147" s="31">
        <f>IF($A147="","",K147-_xll.BDP($A147&amp;" Corp","YAS_BOND_YLD","YAS_YLD_FLAG=15","SETTLE_DT",Company_desc!$A$1))</f>
        <v/>
      </c>
      <c r="M147" s="31">
        <f>IF($A147="","",K147-_xll.BDP($A147&amp;" Corp","YAS_BOND_YLD","YAS_YLD_FLAG=15","SETTLE_DT",Company_desc!$A$2))</f>
        <v/>
      </c>
      <c r="N147" s="79">
        <f>IF($A147="","",_xll.BDP($A147&amp;" Corp","YAS_OAS_SPRD"))</f>
        <v/>
      </c>
      <c r="O147" s="67">
        <f>IF($A147="","",_xll.BDP($A147&amp;" Corp","YAS_MOD_DUR"))</f>
        <v/>
      </c>
      <c r="P147" s="80">
        <f>IF($A147="","",IFERROR(INDEX(Sheet1!$P:$P,MATCH($A147,Sheet1!$A:$A,0)),""))</f>
        <v/>
      </c>
      <c r="Q147" s="75">
        <f>IF($A147="","",IFERROR(INDEX(Company_desc!$C:$C,MATCH($A147,Company_desc!$A:$A,0)),IFERROR(INDEX(Sheet1!$Q:$Q,MATCH($A147,Sheet1!$A:$A,0)),"")))</f>
        <v/>
      </c>
      <c r="R147" s="75">
        <f>IF($A147="","",_xll.BDP($A147&amp;" Corp","CRNCY"))</f>
        <v/>
      </c>
      <c r="S147" s="75">
        <f>IF($A147="","",IFERROR(INDEX(Sheet1!$S:$S,MATCH($A147,Sheet1!$A:$A,0)),""))</f>
        <v/>
      </c>
      <c r="T147" s="75">
        <f>IF($A147="","",IFERROR(INDEX(Sheet1!$T:$T,MATCH($A147,Sheet1!$A:$A,0)),_xll.BDP($A147&amp;" Corp","RTG_SP")))</f>
        <v/>
      </c>
      <c r="U147" s="75">
        <f>IF($A147="","",IFERROR(INDEX(Sheet1!$U:$U,MATCH($A147,Sheet1!$A:$A,0)),""))</f>
        <v/>
      </c>
      <c r="W147" s="81">
        <f>IF($A147="","",N147-_xll.BDP($A147&amp;" Corp","YAS_OAS_SPRD","SETTLE_DT",Company_desc!$A$1))</f>
        <v/>
      </c>
      <c r="X147" s="81">
        <f>IF($A147="","",N147-_xll.BDP($A147&amp;" Corp","YAS_OAS_SPRD","SETTLE_DT",Company_desc!$A$2))</f>
        <v/>
      </c>
      <c r="Y147" s="80">
        <f>IF($A147="","",N147-_xll.BDP($A147&amp;" Corp","YAS_OAS_SPRD","SETTLE_DT",Company_desc!$D$1))</f>
        <v/>
      </c>
      <c r="Z147" s="82">
        <f>IF($A147="","",K147-_xll.BDP($A147&amp;" Corp","YAS_BOND_YLD","YAS_YLD_FLAG=15","SETTLE_DT",Company_desc!$D$1))</f>
        <v/>
      </c>
      <c r="AA147" s="80">
        <f>IF($A147="","",_xll.BDP($A147&amp;" Corp","YAS_OAS_SPRD","SETTLE_DT",Company_desc!$D$1))</f>
        <v/>
      </c>
    </row>
    <row r="148">
      <c r="B148" s="75">
        <f>IF($A148="","",IFERROR(INDEX(Sheet1!$B:$B,MATCH($A148,Sheet1!$A:$A,0)),""))</f>
        <v/>
      </c>
      <c r="C148" s="75">
        <f>IF($A148="","",PROPER(_xll.BDP($A148&amp;" Corp","NAME")))</f>
        <v/>
      </c>
      <c r="D148" s="76">
        <f>IF($A148="","",_xll.BDP($A148&amp;" Corp","CPN"))</f>
        <v/>
      </c>
      <c r="E148" s="75">
        <f>IF($A148="","",_xll.BDP($A148&amp;" Corp","PAYMENT_RANK"))</f>
        <v/>
      </c>
      <c r="F148" s="100">
        <f>IF($A148="","",_xll.BDP($A148&amp;" Corp","MATURITY"))</f>
        <v/>
      </c>
      <c r="G148" s="75">
        <f>IF($A148="","",PROPER(_xll.BDP($A148&amp;" Corp","COUNTRY_FULL_NAME")))</f>
        <v/>
      </c>
      <c r="H148" s="75">
        <f>IF($A148="","",_xll.BDP($A148&amp;" Corp","INDUSTRY_SECTOR"))</f>
        <v/>
      </c>
      <c r="I148" s="101">
        <f>IF($A148="","",IFERROR(_xll.BDP($A148&amp;" Corp","MIN_PIECE")/1000,""))</f>
        <v/>
      </c>
      <c r="J148" s="31">
        <f>IF($A148="","",_xll.BDP($A148&amp;" Corp","PX_LAST"))</f>
        <v/>
      </c>
      <c r="K148" s="31">
        <f>IF($A148="","",_xll.BDP($A148&amp;" Corp","YAS_BOND_YLD","YAS_YLD_FLAG=15"))</f>
        <v/>
      </c>
      <c r="L148" s="31">
        <f>IF($A148="","",K148-_xll.BDP($A148&amp;" Corp","YAS_BOND_YLD","YAS_YLD_FLAG=15","SETTLE_DT",Company_desc!$A$1))</f>
        <v/>
      </c>
      <c r="M148" s="31">
        <f>IF($A148="","",K148-_xll.BDP($A148&amp;" Corp","YAS_BOND_YLD","YAS_YLD_FLAG=15","SETTLE_DT",Company_desc!$A$2))</f>
        <v/>
      </c>
      <c r="N148" s="79">
        <f>IF($A148="","",_xll.BDP($A148&amp;" Corp","YAS_OAS_SPRD"))</f>
        <v/>
      </c>
      <c r="O148" s="67">
        <f>IF($A148="","",_xll.BDP($A148&amp;" Corp","YAS_MOD_DUR"))</f>
        <v/>
      </c>
      <c r="P148" s="80">
        <f>IF($A148="","",IFERROR(INDEX(Sheet1!$P:$P,MATCH($A148,Sheet1!$A:$A,0)),""))</f>
        <v/>
      </c>
      <c r="Q148" s="75">
        <f>IF($A148="","",IFERROR(INDEX(Company_desc!$C:$C,MATCH($A148,Company_desc!$A:$A,0)),IFERROR(INDEX(Sheet1!$Q:$Q,MATCH($A148,Sheet1!$A:$A,0)),"")))</f>
        <v/>
      </c>
      <c r="R148" s="75">
        <f>IF($A148="","",_xll.BDP($A148&amp;" Corp","CRNCY"))</f>
        <v/>
      </c>
      <c r="S148" s="75">
        <f>IF($A148="","",IFERROR(INDEX(Sheet1!$S:$S,MATCH($A148,Sheet1!$A:$A,0)),""))</f>
        <v/>
      </c>
      <c r="T148" s="75">
        <f>IF($A148="","",IFERROR(INDEX(Sheet1!$T:$T,MATCH($A148,Sheet1!$A:$A,0)),_xll.BDP($A148&amp;" Corp","RTG_SP")))</f>
        <v/>
      </c>
      <c r="U148" s="75">
        <f>IF($A148="","",IFERROR(INDEX(Sheet1!$U:$U,MATCH($A148,Sheet1!$A:$A,0)),""))</f>
        <v/>
      </c>
      <c r="W148" s="81">
        <f>IF($A148="","",N148-_xll.BDP($A148&amp;" Corp","YAS_OAS_SPRD","SETTLE_DT",Company_desc!$A$1))</f>
        <v/>
      </c>
      <c r="X148" s="81">
        <f>IF($A148="","",N148-_xll.BDP($A148&amp;" Corp","YAS_OAS_SPRD","SETTLE_DT",Company_desc!$A$2))</f>
        <v/>
      </c>
      <c r="Y148" s="80">
        <f>IF($A148="","",N148-_xll.BDP($A148&amp;" Corp","YAS_OAS_SPRD","SETTLE_DT",Company_desc!$D$1))</f>
        <v/>
      </c>
      <c r="Z148" s="82">
        <f>IF($A148="","",K148-_xll.BDP($A148&amp;" Corp","YAS_BOND_YLD","YAS_YLD_FLAG=15","SETTLE_DT",Company_desc!$D$1))</f>
        <v/>
      </c>
      <c r="AA148" s="80">
        <f>IF($A148="","",_xll.BDP($A148&amp;" Corp","YAS_OAS_SPRD","SETTLE_DT",Company_desc!$D$1))</f>
        <v/>
      </c>
    </row>
    <row r="149">
      <c r="B149" s="75">
        <f>IF($A149="","",IFERROR(INDEX(Sheet1!$B:$B,MATCH($A149,Sheet1!$A:$A,0)),""))</f>
        <v/>
      </c>
      <c r="C149" s="75">
        <f>IF($A149="","",PROPER(_xll.BDP($A149&amp;" Corp","NAME")))</f>
        <v/>
      </c>
      <c r="D149" s="76">
        <f>IF($A149="","",_xll.BDP($A149&amp;" Corp","CPN"))</f>
        <v/>
      </c>
      <c r="E149" s="75">
        <f>IF($A149="","",_xll.BDP($A149&amp;" Corp","PAYMENT_RANK"))</f>
        <v/>
      </c>
      <c r="F149" s="100">
        <f>IF($A149="","",_xll.BDP($A149&amp;" Corp","MATURITY"))</f>
        <v/>
      </c>
      <c r="G149" s="75">
        <f>IF($A149="","",PROPER(_xll.BDP($A149&amp;" Corp","COUNTRY_FULL_NAME")))</f>
        <v/>
      </c>
      <c r="H149" s="75">
        <f>IF($A149="","",_xll.BDP($A149&amp;" Corp","INDUSTRY_SECTOR"))</f>
        <v/>
      </c>
      <c r="I149" s="101">
        <f>IF($A149="","",IFERROR(_xll.BDP($A149&amp;" Corp","MIN_PIECE")/1000,""))</f>
        <v/>
      </c>
      <c r="J149" s="31">
        <f>IF($A149="","",_xll.BDP($A149&amp;" Corp","PX_LAST"))</f>
        <v/>
      </c>
      <c r="K149" s="31">
        <f>IF($A149="","",_xll.BDP($A149&amp;" Corp","YAS_BOND_YLD","YAS_YLD_FLAG=15"))</f>
        <v/>
      </c>
      <c r="L149" s="31">
        <f>IF($A149="","",K149-_xll.BDP($A149&amp;" Corp","YAS_BOND_YLD","YAS_YLD_FLAG=15","SETTLE_DT",Company_desc!$A$1))</f>
        <v/>
      </c>
      <c r="M149" s="31">
        <f>IF($A149="","",K149-_xll.BDP($A149&amp;" Corp","YAS_BOND_YLD","YAS_YLD_FLAG=15","SETTLE_DT",Company_desc!$A$2))</f>
        <v/>
      </c>
      <c r="N149" s="79">
        <f>IF($A149="","",_xll.BDP($A149&amp;" Corp","YAS_OAS_SPRD"))</f>
        <v/>
      </c>
      <c r="O149" s="67">
        <f>IF($A149="","",_xll.BDP($A149&amp;" Corp","YAS_MOD_DUR"))</f>
        <v/>
      </c>
      <c r="P149" s="80">
        <f>IF($A149="","",IFERROR(INDEX(Sheet1!$P:$P,MATCH($A149,Sheet1!$A:$A,0)),""))</f>
        <v/>
      </c>
      <c r="Q149" s="75">
        <f>IF($A149="","",IFERROR(INDEX(Company_desc!$C:$C,MATCH($A149,Company_desc!$A:$A,0)),IFERROR(INDEX(Sheet1!$Q:$Q,MATCH($A149,Sheet1!$A:$A,0)),"")))</f>
        <v/>
      </c>
      <c r="R149" s="75">
        <f>IF($A149="","",_xll.BDP($A149&amp;" Corp","CRNCY"))</f>
        <v/>
      </c>
      <c r="S149" s="75">
        <f>IF($A149="","",IFERROR(INDEX(Sheet1!$S:$S,MATCH($A149,Sheet1!$A:$A,0)),""))</f>
        <v/>
      </c>
      <c r="T149" s="75">
        <f>IF($A149="","",IFERROR(INDEX(Sheet1!$T:$T,MATCH($A149,Sheet1!$A:$A,0)),_xll.BDP($A149&amp;" Corp","RTG_SP")))</f>
        <v/>
      </c>
      <c r="U149" s="75">
        <f>IF($A149="","",IFERROR(INDEX(Sheet1!$U:$U,MATCH($A149,Sheet1!$A:$A,0)),""))</f>
        <v/>
      </c>
      <c r="W149" s="81">
        <f>IF($A149="","",N149-_xll.BDP($A149&amp;" Corp","YAS_OAS_SPRD","SETTLE_DT",Company_desc!$A$1))</f>
        <v/>
      </c>
      <c r="X149" s="81">
        <f>IF($A149="","",N149-_xll.BDP($A149&amp;" Corp","YAS_OAS_SPRD","SETTLE_DT",Company_desc!$A$2))</f>
        <v/>
      </c>
      <c r="Y149" s="80">
        <f>IF($A149="","",N149-_xll.BDP($A149&amp;" Corp","YAS_OAS_SPRD","SETTLE_DT",Company_desc!$D$1))</f>
        <v/>
      </c>
      <c r="Z149" s="82">
        <f>IF($A149="","",K149-_xll.BDP($A149&amp;" Corp","YAS_BOND_YLD","YAS_YLD_FLAG=15","SETTLE_DT",Company_desc!$D$1))</f>
        <v/>
      </c>
      <c r="AA149" s="80">
        <f>IF($A149="","",_xll.BDP($A149&amp;" Corp","YAS_OAS_SPRD","SETTLE_DT",Company_desc!$D$1))</f>
        <v/>
      </c>
    </row>
    <row r="150">
      <c r="B150" s="75">
        <f>IF($A150="","",IFERROR(INDEX(Sheet1!$B:$B,MATCH($A150,Sheet1!$A:$A,0)),""))</f>
        <v/>
      </c>
      <c r="C150" s="75">
        <f>IF($A150="","",PROPER(_xll.BDP($A150&amp;" Corp","NAME")))</f>
        <v/>
      </c>
      <c r="D150" s="76">
        <f>IF($A150="","",_xll.BDP($A150&amp;" Corp","CPN"))</f>
        <v/>
      </c>
      <c r="E150" s="75">
        <f>IF($A150="","",_xll.BDP($A150&amp;" Corp","PAYMENT_RANK"))</f>
        <v/>
      </c>
      <c r="F150" s="100">
        <f>IF($A150="","",_xll.BDP($A150&amp;" Corp","MATURITY"))</f>
        <v/>
      </c>
      <c r="G150" s="75">
        <f>IF($A150="","",PROPER(_xll.BDP($A150&amp;" Corp","COUNTRY_FULL_NAME")))</f>
        <v/>
      </c>
      <c r="H150" s="75">
        <f>IF($A150="","",_xll.BDP($A150&amp;" Corp","INDUSTRY_SECTOR"))</f>
        <v/>
      </c>
      <c r="I150" s="101">
        <f>IF($A150="","",IFERROR(_xll.BDP($A150&amp;" Corp","MIN_PIECE")/1000,""))</f>
        <v/>
      </c>
      <c r="J150" s="31">
        <f>IF($A150="","",_xll.BDP($A150&amp;" Corp","PX_LAST"))</f>
        <v/>
      </c>
      <c r="K150" s="31">
        <f>IF($A150="","",_xll.BDP($A150&amp;" Corp","YAS_BOND_YLD","YAS_YLD_FLAG=15"))</f>
        <v/>
      </c>
      <c r="L150" s="31">
        <f>IF($A150="","",K150-_xll.BDP($A150&amp;" Corp","YAS_BOND_YLD","YAS_YLD_FLAG=15","SETTLE_DT",Company_desc!$A$1))</f>
        <v/>
      </c>
      <c r="M150" s="31">
        <f>IF($A150="","",K150-_xll.BDP($A150&amp;" Corp","YAS_BOND_YLD","YAS_YLD_FLAG=15","SETTLE_DT",Company_desc!$A$2))</f>
        <v/>
      </c>
      <c r="N150" s="79">
        <f>IF($A150="","",_xll.BDP($A150&amp;" Corp","YAS_OAS_SPRD"))</f>
        <v/>
      </c>
      <c r="O150" s="67">
        <f>IF($A150="","",_xll.BDP($A150&amp;" Corp","YAS_MOD_DUR"))</f>
        <v/>
      </c>
      <c r="P150" s="80">
        <f>IF($A150="","",IFERROR(INDEX(Sheet1!$P:$P,MATCH($A150,Sheet1!$A:$A,0)),""))</f>
        <v/>
      </c>
      <c r="Q150" s="75">
        <f>IF($A150="","",IFERROR(INDEX(Company_desc!$C:$C,MATCH($A150,Company_desc!$A:$A,0)),IFERROR(INDEX(Sheet1!$Q:$Q,MATCH($A150,Sheet1!$A:$A,0)),"")))</f>
        <v/>
      </c>
      <c r="R150" s="75">
        <f>IF($A150="","",_xll.BDP($A150&amp;" Corp","CRNCY"))</f>
        <v/>
      </c>
      <c r="S150" s="75">
        <f>IF($A150="","",IFERROR(INDEX(Sheet1!$S:$S,MATCH($A150,Sheet1!$A:$A,0)),""))</f>
        <v/>
      </c>
      <c r="T150" s="75">
        <f>IF($A150="","",IFERROR(INDEX(Sheet1!$T:$T,MATCH($A150,Sheet1!$A:$A,0)),_xll.BDP($A150&amp;" Corp","RTG_SP")))</f>
        <v/>
      </c>
      <c r="U150" s="75">
        <f>IF($A150="","",IFERROR(INDEX(Sheet1!$U:$U,MATCH($A150,Sheet1!$A:$A,0)),""))</f>
        <v/>
      </c>
      <c r="W150" s="81">
        <f>IF($A150="","",N150-_xll.BDP($A150&amp;" Corp","YAS_OAS_SPRD","SETTLE_DT",Company_desc!$A$1))</f>
        <v/>
      </c>
      <c r="X150" s="81">
        <f>IF($A150="","",N150-_xll.BDP($A150&amp;" Corp","YAS_OAS_SPRD","SETTLE_DT",Company_desc!$A$2))</f>
        <v/>
      </c>
      <c r="Y150" s="80">
        <f>IF($A150="","",N150-_xll.BDP($A150&amp;" Corp","YAS_OAS_SPRD","SETTLE_DT",Company_desc!$D$1))</f>
        <v/>
      </c>
      <c r="Z150" s="82">
        <f>IF($A150="","",K150-_xll.BDP($A150&amp;" Corp","YAS_BOND_YLD","YAS_YLD_FLAG=15","SETTLE_DT",Company_desc!$D$1))</f>
        <v/>
      </c>
      <c r="AA150" s="80">
        <f>IF($A150="","",_xll.BDP($A150&amp;" Corp","YAS_OAS_SPRD","SETTLE_DT",Company_desc!$D$1))</f>
        <v/>
      </c>
    </row>
    <row r="151">
      <c r="B151" s="75">
        <f>IF($A151="","",IFERROR(INDEX(Sheet1!$B:$B,MATCH($A151,Sheet1!$A:$A,0)),""))</f>
        <v/>
      </c>
      <c r="C151" s="75">
        <f>IF($A151="","",PROPER(_xll.BDP($A151&amp;" Corp","NAME")))</f>
        <v/>
      </c>
      <c r="D151" s="76">
        <f>IF($A151="","",_xll.BDP($A151&amp;" Corp","CPN"))</f>
        <v/>
      </c>
      <c r="E151" s="75">
        <f>IF($A151="","",_xll.BDP($A151&amp;" Corp","PAYMENT_RANK"))</f>
        <v/>
      </c>
      <c r="F151" s="100">
        <f>IF($A151="","",_xll.BDP($A151&amp;" Corp","MATURITY"))</f>
        <v/>
      </c>
      <c r="G151" s="75">
        <f>IF($A151="","",PROPER(_xll.BDP($A151&amp;" Corp","COUNTRY_FULL_NAME")))</f>
        <v/>
      </c>
      <c r="H151" s="75">
        <f>IF($A151="","",_xll.BDP($A151&amp;" Corp","INDUSTRY_SECTOR"))</f>
        <v/>
      </c>
      <c r="I151" s="101">
        <f>IF($A151="","",IFERROR(_xll.BDP($A151&amp;" Corp","MIN_PIECE")/1000,""))</f>
        <v/>
      </c>
      <c r="J151" s="31">
        <f>IF($A151="","",_xll.BDP($A151&amp;" Corp","PX_LAST"))</f>
        <v/>
      </c>
      <c r="K151" s="31">
        <f>IF($A151="","",_xll.BDP($A151&amp;" Corp","YAS_BOND_YLD","YAS_YLD_FLAG=15"))</f>
        <v/>
      </c>
      <c r="L151" s="31">
        <f>IF($A151="","",K151-_xll.BDP($A151&amp;" Corp","YAS_BOND_YLD","YAS_YLD_FLAG=15","SETTLE_DT",Company_desc!$A$1))</f>
        <v/>
      </c>
      <c r="M151" s="31">
        <f>IF($A151="","",K151-_xll.BDP($A151&amp;" Corp","YAS_BOND_YLD","YAS_YLD_FLAG=15","SETTLE_DT",Company_desc!$A$2))</f>
        <v/>
      </c>
      <c r="N151" s="79">
        <f>IF($A151="","",_xll.BDP($A151&amp;" Corp","YAS_OAS_SPRD"))</f>
        <v/>
      </c>
      <c r="O151" s="67">
        <f>IF($A151="","",_xll.BDP($A151&amp;" Corp","YAS_MOD_DUR"))</f>
        <v/>
      </c>
      <c r="P151" s="80">
        <f>IF($A151="","",IFERROR(INDEX(Sheet1!$P:$P,MATCH($A151,Sheet1!$A:$A,0)),""))</f>
        <v/>
      </c>
      <c r="Q151" s="75">
        <f>IF($A151="","",IFERROR(INDEX(Company_desc!$C:$C,MATCH($A151,Company_desc!$A:$A,0)),IFERROR(INDEX(Sheet1!$Q:$Q,MATCH($A151,Sheet1!$A:$A,0)),"")))</f>
        <v/>
      </c>
      <c r="R151" s="75">
        <f>IF($A151="","",_xll.BDP($A151&amp;" Corp","CRNCY"))</f>
        <v/>
      </c>
      <c r="S151" s="75">
        <f>IF($A151="","",IFERROR(INDEX(Sheet1!$S:$S,MATCH($A151,Sheet1!$A:$A,0)),""))</f>
        <v/>
      </c>
      <c r="T151" s="75">
        <f>IF($A151="","",IFERROR(INDEX(Sheet1!$T:$T,MATCH($A151,Sheet1!$A:$A,0)),_xll.BDP($A151&amp;" Corp","RTG_SP")))</f>
        <v/>
      </c>
      <c r="U151" s="75">
        <f>IF($A151="","",IFERROR(INDEX(Sheet1!$U:$U,MATCH($A151,Sheet1!$A:$A,0)),""))</f>
        <v/>
      </c>
      <c r="W151" s="81">
        <f>IF($A151="","",N151-_xll.BDP($A151&amp;" Corp","YAS_OAS_SPRD","SETTLE_DT",Company_desc!$A$1))</f>
        <v/>
      </c>
      <c r="X151" s="81">
        <f>IF($A151="","",N151-_xll.BDP($A151&amp;" Corp","YAS_OAS_SPRD","SETTLE_DT",Company_desc!$A$2))</f>
        <v/>
      </c>
      <c r="Y151" s="80">
        <f>IF($A151="","",N151-_xll.BDP($A151&amp;" Corp","YAS_OAS_SPRD","SETTLE_DT",Company_desc!$D$1))</f>
        <v/>
      </c>
      <c r="Z151" s="82">
        <f>IF($A151="","",K151-_xll.BDP($A151&amp;" Corp","YAS_BOND_YLD","YAS_YLD_FLAG=15","SETTLE_DT",Company_desc!$D$1))</f>
        <v/>
      </c>
      <c r="AA151" s="80">
        <f>IF($A151="","",_xll.BDP($A151&amp;" Corp","YAS_OAS_SPRD","SETTLE_DT",Company_desc!$D$1))</f>
        <v/>
      </c>
    </row>
    <row r="152">
      <c r="B152" s="75">
        <f>IF($A152="","",IFERROR(INDEX(Sheet1!$B:$B,MATCH($A152,Sheet1!$A:$A,0)),""))</f>
        <v/>
      </c>
      <c r="C152" s="75">
        <f>IF($A152="","",PROPER(_xll.BDP($A152&amp;" Corp","NAME")))</f>
        <v/>
      </c>
      <c r="D152" s="76">
        <f>IF($A152="","",_xll.BDP($A152&amp;" Corp","CPN"))</f>
        <v/>
      </c>
      <c r="E152" s="75">
        <f>IF($A152="","",_xll.BDP($A152&amp;" Corp","PAYMENT_RANK"))</f>
        <v/>
      </c>
      <c r="F152" s="100">
        <f>IF($A152="","",_xll.BDP($A152&amp;" Corp","MATURITY"))</f>
        <v/>
      </c>
      <c r="G152" s="75">
        <f>IF($A152="","",PROPER(_xll.BDP($A152&amp;" Corp","COUNTRY_FULL_NAME")))</f>
        <v/>
      </c>
      <c r="H152" s="75">
        <f>IF($A152="","",_xll.BDP($A152&amp;" Corp","INDUSTRY_SECTOR"))</f>
        <v/>
      </c>
      <c r="I152" s="101">
        <f>IF($A152="","",IFERROR(_xll.BDP($A152&amp;" Corp","MIN_PIECE")/1000,""))</f>
        <v/>
      </c>
      <c r="J152" s="31">
        <f>IF($A152="","",_xll.BDP($A152&amp;" Corp","PX_LAST"))</f>
        <v/>
      </c>
      <c r="K152" s="31">
        <f>IF($A152="","",_xll.BDP($A152&amp;" Corp","YAS_BOND_YLD","YAS_YLD_FLAG=15"))</f>
        <v/>
      </c>
      <c r="L152" s="31">
        <f>IF($A152="","",K152-_xll.BDP($A152&amp;" Corp","YAS_BOND_YLD","YAS_YLD_FLAG=15","SETTLE_DT",Company_desc!$A$1))</f>
        <v/>
      </c>
      <c r="M152" s="31">
        <f>IF($A152="","",K152-_xll.BDP($A152&amp;" Corp","YAS_BOND_YLD","YAS_YLD_FLAG=15","SETTLE_DT",Company_desc!$A$2))</f>
        <v/>
      </c>
      <c r="N152" s="79">
        <f>IF($A152="","",_xll.BDP($A152&amp;" Corp","YAS_OAS_SPRD"))</f>
        <v/>
      </c>
      <c r="O152" s="67">
        <f>IF($A152="","",_xll.BDP($A152&amp;" Corp","YAS_MOD_DUR"))</f>
        <v/>
      </c>
      <c r="P152" s="80">
        <f>IF($A152="","",IFERROR(INDEX(Sheet1!$P:$P,MATCH($A152,Sheet1!$A:$A,0)),""))</f>
        <v/>
      </c>
      <c r="Q152" s="75">
        <f>IF($A152="","",IFERROR(INDEX(Company_desc!$C:$C,MATCH($A152,Company_desc!$A:$A,0)),IFERROR(INDEX(Sheet1!$Q:$Q,MATCH($A152,Sheet1!$A:$A,0)),"")))</f>
        <v/>
      </c>
      <c r="R152" s="75">
        <f>IF($A152="","",_xll.BDP($A152&amp;" Corp","CRNCY"))</f>
        <v/>
      </c>
      <c r="S152" s="75">
        <f>IF($A152="","",IFERROR(INDEX(Sheet1!$S:$S,MATCH($A152,Sheet1!$A:$A,0)),""))</f>
        <v/>
      </c>
      <c r="T152" s="75">
        <f>IF($A152="","",IFERROR(INDEX(Sheet1!$T:$T,MATCH($A152,Sheet1!$A:$A,0)),_xll.BDP($A152&amp;" Corp","RTG_SP")))</f>
        <v/>
      </c>
      <c r="U152" s="75">
        <f>IF($A152="","",IFERROR(INDEX(Sheet1!$U:$U,MATCH($A152,Sheet1!$A:$A,0)),""))</f>
        <v/>
      </c>
      <c r="W152" s="81">
        <f>IF($A152="","",N152-_xll.BDP($A152&amp;" Corp","YAS_OAS_SPRD","SETTLE_DT",Company_desc!$A$1))</f>
        <v/>
      </c>
      <c r="X152" s="81">
        <f>IF($A152="","",N152-_xll.BDP($A152&amp;" Corp","YAS_OAS_SPRD","SETTLE_DT",Company_desc!$A$2))</f>
        <v/>
      </c>
      <c r="Y152" s="80">
        <f>IF($A152="","",N152-_xll.BDP($A152&amp;" Corp","YAS_OAS_SPRD","SETTLE_DT",Company_desc!$D$1))</f>
        <v/>
      </c>
      <c r="Z152" s="82">
        <f>IF($A152="","",K152-_xll.BDP($A152&amp;" Corp","YAS_BOND_YLD","YAS_YLD_FLAG=15","SETTLE_DT",Company_desc!$D$1))</f>
        <v/>
      </c>
      <c r="AA152" s="80">
        <f>IF($A152="","",_xll.BDP($A152&amp;" Corp","YAS_OAS_SPRD","SETTLE_DT",Company_desc!$D$1))</f>
        <v/>
      </c>
    </row>
    <row r="153">
      <c r="B153" s="75">
        <f>IF($A153="","",IFERROR(INDEX(Sheet1!$B:$B,MATCH($A153,Sheet1!$A:$A,0)),""))</f>
        <v/>
      </c>
      <c r="C153" s="75">
        <f>IF($A153="","",PROPER(_xll.BDP($A153&amp;" Corp","NAME")))</f>
        <v/>
      </c>
      <c r="D153" s="76">
        <f>IF($A153="","",_xll.BDP($A153&amp;" Corp","CPN"))</f>
        <v/>
      </c>
      <c r="E153" s="75">
        <f>IF($A153="","",_xll.BDP($A153&amp;" Corp","PAYMENT_RANK"))</f>
        <v/>
      </c>
      <c r="F153" s="100">
        <f>IF($A153="","",_xll.BDP($A153&amp;" Corp","MATURITY"))</f>
        <v/>
      </c>
      <c r="G153" s="75">
        <f>IF($A153="","",PROPER(_xll.BDP($A153&amp;" Corp","COUNTRY_FULL_NAME")))</f>
        <v/>
      </c>
      <c r="H153" s="75">
        <f>IF($A153="","",_xll.BDP($A153&amp;" Corp","INDUSTRY_SECTOR"))</f>
        <v/>
      </c>
      <c r="I153" s="101">
        <f>IF($A153="","",IFERROR(_xll.BDP($A153&amp;" Corp","MIN_PIECE")/1000,""))</f>
        <v/>
      </c>
      <c r="J153" s="31">
        <f>IF($A153="","",_xll.BDP($A153&amp;" Corp","PX_LAST"))</f>
        <v/>
      </c>
      <c r="K153" s="31">
        <f>IF($A153="","",_xll.BDP($A153&amp;" Corp","YAS_BOND_YLD","YAS_YLD_FLAG=15"))</f>
        <v/>
      </c>
      <c r="L153" s="31">
        <f>IF($A153="","",K153-_xll.BDP($A153&amp;" Corp","YAS_BOND_YLD","YAS_YLD_FLAG=15","SETTLE_DT",Company_desc!$A$1))</f>
        <v/>
      </c>
      <c r="M153" s="31">
        <f>IF($A153="","",K153-_xll.BDP($A153&amp;" Corp","YAS_BOND_YLD","YAS_YLD_FLAG=15","SETTLE_DT",Company_desc!$A$2))</f>
        <v/>
      </c>
      <c r="N153" s="79">
        <f>IF($A153="","",_xll.BDP($A153&amp;" Corp","YAS_OAS_SPRD"))</f>
        <v/>
      </c>
      <c r="O153" s="67">
        <f>IF($A153="","",_xll.BDP($A153&amp;" Corp","YAS_MOD_DUR"))</f>
        <v/>
      </c>
      <c r="P153" s="80">
        <f>IF($A153="","",IFERROR(INDEX(Sheet1!$P:$P,MATCH($A153,Sheet1!$A:$A,0)),""))</f>
        <v/>
      </c>
      <c r="Q153" s="75">
        <f>IF($A153="","",IFERROR(INDEX(Company_desc!$C:$C,MATCH($A153,Company_desc!$A:$A,0)),IFERROR(INDEX(Sheet1!$Q:$Q,MATCH($A153,Sheet1!$A:$A,0)),"")))</f>
        <v/>
      </c>
      <c r="R153" s="75">
        <f>IF($A153="","",_xll.BDP($A153&amp;" Corp","CRNCY"))</f>
        <v/>
      </c>
      <c r="S153" s="75">
        <f>IF($A153="","",IFERROR(INDEX(Sheet1!$S:$S,MATCH($A153,Sheet1!$A:$A,0)),""))</f>
        <v/>
      </c>
      <c r="T153" s="75">
        <f>IF($A153="","",IFERROR(INDEX(Sheet1!$T:$T,MATCH($A153,Sheet1!$A:$A,0)),_xll.BDP($A153&amp;" Corp","RTG_SP")))</f>
        <v/>
      </c>
      <c r="U153" s="75">
        <f>IF($A153="","",IFERROR(INDEX(Sheet1!$U:$U,MATCH($A153,Sheet1!$A:$A,0)),""))</f>
        <v/>
      </c>
      <c r="W153" s="81">
        <f>IF($A153="","",N153-_xll.BDP($A153&amp;" Corp","YAS_OAS_SPRD","SETTLE_DT",Company_desc!$A$1))</f>
        <v/>
      </c>
      <c r="X153" s="81">
        <f>IF($A153="","",N153-_xll.BDP($A153&amp;" Corp","YAS_OAS_SPRD","SETTLE_DT",Company_desc!$A$2))</f>
        <v/>
      </c>
      <c r="Y153" s="80">
        <f>IF($A153="","",N153-_xll.BDP($A153&amp;" Corp","YAS_OAS_SPRD","SETTLE_DT",Company_desc!$D$1))</f>
        <v/>
      </c>
      <c r="Z153" s="82">
        <f>IF($A153="","",K153-_xll.BDP($A153&amp;" Corp","YAS_BOND_YLD","YAS_YLD_FLAG=15","SETTLE_DT",Company_desc!$D$1))</f>
        <v/>
      </c>
      <c r="AA153" s="80">
        <f>IF($A153="","",_xll.BDP($A153&amp;" Corp","YAS_OAS_SPRD","SETTLE_DT",Company_desc!$D$1))</f>
        <v/>
      </c>
    </row>
    <row r="154">
      <c r="B154" s="75">
        <f>IF($A154="","",IFERROR(INDEX(Sheet1!$B:$B,MATCH($A154,Sheet1!$A:$A,0)),""))</f>
        <v/>
      </c>
      <c r="C154" s="75">
        <f>IF($A154="","",PROPER(_xll.BDP($A154&amp;" Corp","NAME")))</f>
        <v/>
      </c>
      <c r="D154" s="76">
        <f>IF($A154="","",_xll.BDP($A154&amp;" Corp","CPN"))</f>
        <v/>
      </c>
      <c r="E154" s="75">
        <f>IF($A154="","",_xll.BDP($A154&amp;" Corp","PAYMENT_RANK"))</f>
        <v/>
      </c>
      <c r="F154" s="100">
        <f>IF($A154="","",_xll.BDP($A154&amp;" Corp","MATURITY"))</f>
        <v/>
      </c>
      <c r="G154" s="75">
        <f>IF($A154="","",PROPER(_xll.BDP($A154&amp;" Corp","COUNTRY_FULL_NAME")))</f>
        <v/>
      </c>
      <c r="H154" s="75">
        <f>IF($A154="","",_xll.BDP($A154&amp;" Corp","INDUSTRY_SECTOR"))</f>
        <v/>
      </c>
      <c r="I154" s="101">
        <f>IF($A154="","",IFERROR(_xll.BDP($A154&amp;" Corp","MIN_PIECE")/1000,""))</f>
        <v/>
      </c>
      <c r="J154" s="31">
        <f>IF($A154="","",_xll.BDP($A154&amp;" Corp","PX_LAST"))</f>
        <v/>
      </c>
      <c r="K154" s="31">
        <f>IF($A154="","",_xll.BDP($A154&amp;" Corp","YAS_BOND_YLD","YAS_YLD_FLAG=15"))</f>
        <v/>
      </c>
      <c r="L154" s="31">
        <f>IF($A154="","",K154-_xll.BDP($A154&amp;" Corp","YAS_BOND_YLD","YAS_YLD_FLAG=15","SETTLE_DT",Company_desc!$A$1))</f>
        <v/>
      </c>
      <c r="M154" s="31">
        <f>IF($A154="","",K154-_xll.BDP($A154&amp;" Corp","YAS_BOND_YLD","YAS_YLD_FLAG=15","SETTLE_DT",Company_desc!$A$2))</f>
        <v/>
      </c>
      <c r="N154" s="79">
        <f>IF($A154="","",_xll.BDP($A154&amp;" Corp","YAS_OAS_SPRD"))</f>
        <v/>
      </c>
      <c r="O154" s="67">
        <f>IF($A154="","",_xll.BDP($A154&amp;" Corp","YAS_MOD_DUR"))</f>
        <v/>
      </c>
      <c r="P154" s="80">
        <f>IF($A154="","",IFERROR(INDEX(Sheet1!$P:$P,MATCH($A154,Sheet1!$A:$A,0)),""))</f>
        <v/>
      </c>
      <c r="Q154" s="75">
        <f>IF($A154="","",IFERROR(INDEX(Company_desc!$C:$C,MATCH($A154,Company_desc!$A:$A,0)),IFERROR(INDEX(Sheet1!$Q:$Q,MATCH($A154,Sheet1!$A:$A,0)),"")))</f>
        <v/>
      </c>
      <c r="R154" s="75">
        <f>IF($A154="","",_xll.BDP($A154&amp;" Corp","CRNCY"))</f>
        <v/>
      </c>
      <c r="S154" s="75">
        <f>IF($A154="","",IFERROR(INDEX(Sheet1!$S:$S,MATCH($A154,Sheet1!$A:$A,0)),""))</f>
        <v/>
      </c>
      <c r="T154" s="75">
        <f>IF($A154="","",IFERROR(INDEX(Sheet1!$T:$T,MATCH($A154,Sheet1!$A:$A,0)),_xll.BDP($A154&amp;" Corp","RTG_SP")))</f>
        <v/>
      </c>
      <c r="U154" s="75">
        <f>IF($A154="","",IFERROR(INDEX(Sheet1!$U:$U,MATCH($A154,Sheet1!$A:$A,0)),""))</f>
        <v/>
      </c>
      <c r="W154" s="81">
        <f>IF($A154="","",N154-_xll.BDP($A154&amp;" Corp","YAS_OAS_SPRD","SETTLE_DT",Company_desc!$A$1))</f>
        <v/>
      </c>
      <c r="X154" s="81">
        <f>IF($A154="","",N154-_xll.BDP($A154&amp;" Corp","YAS_OAS_SPRD","SETTLE_DT",Company_desc!$A$2))</f>
        <v/>
      </c>
      <c r="Y154" s="80">
        <f>IF($A154="","",N154-_xll.BDP($A154&amp;" Corp","YAS_OAS_SPRD","SETTLE_DT",Company_desc!$D$1))</f>
        <v/>
      </c>
      <c r="Z154" s="82">
        <f>IF($A154="","",K154-_xll.BDP($A154&amp;" Corp","YAS_BOND_YLD","YAS_YLD_FLAG=15","SETTLE_DT",Company_desc!$D$1))</f>
        <v/>
      </c>
      <c r="AA154" s="80">
        <f>IF($A154="","",_xll.BDP($A154&amp;" Corp","YAS_OAS_SPRD","SETTLE_DT",Company_desc!$D$1))</f>
        <v/>
      </c>
    </row>
    <row r="155">
      <c r="B155" s="75">
        <f>IF($A155="","",IFERROR(INDEX(Sheet1!$B:$B,MATCH($A155,Sheet1!$A:$A,0)),""))</f>
        <v/>
      </c>
      <c r="C155" s="75">
        <f>IF($A155="","",PROPER(_xll.BDP($A155&amp;" Corp","NAME")))</f>
        <v/>
      </c>
      <c r="D155" s="76">
        <f>IF($A155="","",_xll.BDP($A155&amp;" Corp","CPN"))</f>
        <v/>
      </c>
      <c r="E155" s="75">
        <f>IF($A155="","",_xll.BDP($A155&amp;" Corp","PAYMENT_RANK"))</f>
        <v/>
      </c>
      <c r="F155" s="100">
        <f>IF($A155="","",_xll.BDP($A155&amp;" Corp","MATURITY"))</f>
        <v/>
      </c>
      <c r="G155" s="75">
        <f>IF($A155="","",PROPER(_xll.BDP($A155&amp;" Corp","COUNTRY_FULL_NAME")))</f>
        <v/>
      </c>
      <c r="H155" s="75">
        <f>IF($A155="","",_xll.BDP($A155&amp;" Corp","INDUSTRY_SECTOR"))</f>
        <v/>
      </c>
      <c r="I155" s="101">
        <f>IF($A155="","",IFERROR(_xll.BDP($A155&amp;" Corp","MIN_PIECE")/1000,""))</f>
        <v/>
      </c>
      <c r="J155" s="31">
        <f>IF($A155="","",_xll.BDP($A155&amp;" Corp","PX_LAST"))</f>
        <v/>
      </c>
      <c r="K155" s="31">
        <f>IF($A155="","",_xll.BDP($A155&amp;" Corp","YAS_BOND_YLD","YAS_YLD_FLAG=15"))</f>
        <v/>
      </c>
      <c r="L155" s="31">
        <f>IF($A155="","",K155-_xll.BDP($A155&amp;" Corp","YAS_BOND_YLD","YAS_YLD_FLAG=15","SETTLE_DT",Company_desc!$A$1))</f>
        <v/>
      </c>
      <c r="M155" s="31">
        <f>IF($A155="","",K155-_xll.BDP($A155&amp;" Corp","YAS_BOND_YLD","YAS_YLD_FLAG=15","SETTLE_DT",Company_desc!$A$2))</f>
        <v/>
      </c>
      <c r="N155" s="79">
        <f>IF($A155="","",_xll.BDP($A155&amp;" Corp","YAS_OAS_SPRD"))</f>
        <v/>
      </c>
      <c r="O155" s="67">
        <f>IF($A155="","",_xll.BDP($A155&amp;" Corp","YAS_MOD_DUR"))</f>
        <v/>
      </c>
      <c r="P155" s="80">
        <f>IF($A155="","",IFERROR(INDEX(Sheet1!$P:$P,MATCH($A155,Sheet1!$A:$A,0)),""))</f>
        <v/>
      </c>
      <c r="Q155" s="75">
        <f>IF($A155="","",IFERROR(INDEX(Company_desc!$C:$C,MATCH($A155,Company_desc!$A:$A,0)),IFERROR(INDEX(Sheet1!$Q:$Q,MATCH($A155,Sheet1!$A:$A,0)),"")))</f>
        <v/>
      </c>
      <c r="R155" s="75">
        <f>IF($A155="","",_xll.BDP($A155&amp;" Corp","CRNCY"))</f>
        <v/>
      </c>
      <c r="S155" s="75">
        <f>IF($A155="","",IFERROR(INDEX(Sheet1!$S:$S,MATCH($A155,Sheet1!$A:$A,0)),""))</f>
        <v/>
      </c>
      <c r="T155" s="75">
        <f>IF($A155="","",IFERROR(INDEX(Sheet1!$T:$T,MATCH($A155,Sheet1!$A:$A,0)),_xll.BDP($A155&amp;" Corp","RTG_SP")))</f>
        <v/>
      </c>
      <c r="U155" s="75">
        <f>IF($A155="","",IFERROR(INDEX(Sheet1!$U:$U,MATCH($A155,Sheet1!$A:$A,0)),""))</f>
        <v/>
      </c>
      <c r="W155" s="81">
        <f>IF($A155="","",N155-_xll.BDP($A155&amp;" Corp","YAS_OAS_SPRD","SETTLE_DT",Company_desc!$A$1))</f>
        <v/>
      </c>
      <c r="X155" s="81">
        <f>IF($A155="","",N155-_xll.BDP($A155&amp;" Corp","YAS_OAS_SPRD","SETTLE_DT",Company_desc!$A$2))</f>
        <v/>
      </c>
      <c r="Y155" s="80">
        <f>IF($A155="","",N155-_xll.BDP($A155&amp;" Corp","YAS_OAS_SPRD","SETTLE_DT",Company_desc!$D$1))</f>
        <v/>
      </c>
      <c r="Z155" s="82">
        <f>IF($A155="","",K155-_xll.BDP($A155&amp;" Corp","YAS_BOND_YLD","YAS_YLD_FLAG=15","SETTLE_DT",Company_desc!$D$1))</f>
        <v/>
      </c>
      <c r="AA155" s="80">
        <f>IF($A155="","",_xll.BDP($A155&amp;" Corp","YAS_OAS_SPRD","SETTLE_DT",Company_desc!$D$1))</f>
        <v/>
      </c>
    </row>
    <row r="156">
      <c r="B156" s="75">
        <f>IF($A156="","",IFERROR(INDEX(Sheet1!$B:$B,MATCH($A156,Sheet1!$A:$A,0)),""))</f>
        <v/>
      </c>
      <c r="C156" s="75">
        <f>IF($A156="","",PROPER(_xll.BDP($A156&amp;" Corp","NAME")))</f>
        <v/>
      </c>
      <c r="D156" s="76">
        <f>IF($A156="","",_xll.BDP($A156&amp;" Corp","CPN"))</f>
        <v/>
      </c>
      <c r="E156" s="75">
        <f>IF($A156="","",_xll.BDP($A156&amp;" Corp","PAYMENT_RANK"))</f>
        <v/>
      </c>
      <c r="F156" s="100">
        <f>IF($A156="","",_xll.BDP($A156&amp;" Corp","MATURITY"))</f>
        <v/>
      </c>
      <c r="G156" s="75">
        <f>IF($A156="","",PROPER(_xll.BDP($A156&amp;" Corp","COUNTRY_FULL_NAME")))</f>
        <v/>
      </c>
      <c r="H156" s="75">
        <f>IF($A156="","",_xll.BDP($A156&amp;" Corp","INDUSTRY_SECTOR"))</f>
        <v/>
      </c>
      <c r="I156" s="101">
        <f>IF($A156="","",IFERROR(_xll.BDP($A156&amp;" Corp","MIN_PIECE")/1000,""))</f>
        <v/>
      </c>
      <c r="J156" s="31">
        <f>IF($A156="","",_xll.BDP($A156&amp;" Corp","PX_LAST"))</f>
        <v/>
      </c>
      <c r="K156" s="31">
        <f>IF($A156="","",_xll.BDP($A156&amp;" Corp","YAS_BOND_YLD","YAS_YLD_FLAG=15"))</f>
        <v/>
      </c>
      <c r="L156" s="31">
        <f>IF($A156="","",K156-_xll.BDP($A156&amp;" Corp","YAS_BOND_YLD","YAS_YLD_FLAG=15","SETTLE_DT",Company_desc!$A$1))</f>
        <v/>
      </c>
      <c r="M156" s="31">
        <f>IF($A156="","",K156-_xll.BDP($A156&amp;" Corp","YAS_BOND_YLD","YAS_YLD_FLAG=15","SETTLE_DT",Company_desc!$A$2))</f>
        <v/>
      </c>
      <c r="N156" s="79">
        <f>IF($A156="","",_xll.BDP($A156&amp;" Corp","YAS_OAS_SPRD"))</f>
        <v/>
      </c>
      <c r="O156" s="67">
        <f>IF($A156="","",_xll.BDP($A156&amp;" Corp","YAS_MOD_DUR"))</f>
        <v/>
      </c>
      <c r="P156" s="80">
        <f>IF($A156="","",IFERROR(INDEX(Sheet1!$P:$P,MATCH($A156,Sheet1!$A:$A,0)),""))</f>
        <v/>
      </c>
      <c r="Q156" s="75">
        <f>IF($A156="","",IFERROR(INDEX(Company_desc!$C:$C,MATCH($A156,Company_desc!$A:$A,0)),IFERROR(INDEX(Sheet1!$Q:$Q,MATCH($A156,Sheet1!$A:$A,0)),"")))</f>
        <v/>
      </c>
      <c r="R156" s="75">
        <f>IF($A156="","",_xll.BDP($A156&amp;" Corp","CRNCY"))</f>
        <v/>
      </c>
      <c r="S156" s="75">
        <f>IF($A156="","",IFERROR(INDEX(Sheet1!$S:$S,MATCH($A156,Sheet1!$A:$A,0)),""))</f>
        <v/>
      </c>
      <c r="T156" s="75">
        <f>IF($A156="","",IFERROR(INDEX(Sheet1!$T:$T,MATCH($A156,Sheet1!$A:$A,0)),_xll.BDP($A156&amp;" Corp","RTG_SP")))</f>
        <v/>
      </c>
      <c r="U156" s="75">
        <f>IF($A156="","",IFERROR(INDEX(Sheet1!$U:$U,MATCH($A156,Sheet1!$A:$A,0)),""))</f>
        <v/>
      </c>
      <c r="W156" s="81">
        <f>IF($A156="","",N156-_xll.BDP($A156&amp;" Corp","YAS_OAS_SPRD","SETTLE_DT",Company_desc!$A$1))</f>
        <v/>
      </c>
      <c r="X156" s="81">
        <f>IF($A156="","",N156-_xll.BDP($A156&amp;" Corp","YAS_OAS_SPRD","SETTLE_DT",Company_desc!$A$2))</f>
        <v/>
      </c>
      <c r="Y156" s="80">
        <f>IF($A156="","",N156-_xll.BDP($A156&amp;" Corp","YAS_OAS_SPRD","SETTLE_DT",Company_desc!$D$1))</f>
        <v/>
      </c>
      <c r="Z156" s="82">
        <f>IF($A156="","",K156-_xll.BDP($A156&amp;" Corp","YAS_BOND_YLD","YAS_YLD_FLAG=15","SETTLE_DT",Company_desc!$D$1))</f>
        <v/>
      </c>
      <c r="AA156" s="80">
        <f>IF($A156="","",_xll.BDP($A156&amp;" Corp","YAS_OAS_SPRD","SETTLE_DT",Company_desc!$D$1))</f>
        <v/>
      </c>
    </row>
    <row r="157">
      <c r="A157" s="42" t="n"/>
      <c r="B157" s="75">
        <f>IF($A157="","",IFERROR(INDEX(Sheet1!$B:$B,MATCH($A157,Sheet1!$A:$A,0)),""))</f>
        <v/>
      </c>
      <c r="C157" s="75">
        <f>IF($A157="","",PROPER(_xll.BDP($A157&amp;" Corp","NAME")))</f>
        <v/>
      </c>
      <c r="D157" s="76">
        <f>IF($A157="","",_xll.BDP($A157&amp;" Corp","CPN"))</f>
        <v/>
      </c>
      <c r="E157" s="75">
        <f>IF($A157="","",_xll.BDP($A157&amp;" Corp","PAYMENT_RANK"))</f>
        <v/>
      </c>
      <c r="F157" s="100">
        <f>IF($A157="","",_xll.BDP($A157&amp;" Corp","MATURITY"))</f>
        <v/>
      </c>
      <c r="G157" s="75">
        <f>IF($A157="","",PROPER(_xll.BDP($A157&amp;" Corp","COUNTRY_FULL_NAME")))</f>
        <v/>
      </c>
      <c r="H157" s="75">
        <f>IF($A157="","",_xll.BDP($A157&amp;" Corp","INDUSTRY_SECTOR"))</f>
        <v/>
      </c>
      <c r="I157" s="101">
        <f>IF($A157="","",IFERROR(_xll.BDP($A157&amp;" Corp","MIN_PIECE")/1000,""))</f>
        <v/>
      </c>
      <c r="J157" s="31">
        <f>IF($A157="","",_xll.BDP($A157&amp;" Corp","PX_LAST"))</f>
        <v/>
      </c>
      <c r="K157" s="31">
        <f>IF($A157="","",_xll.BDP($A157&amp;" Corp","YAS_BOND_YLD","YAS_YLD_FLAG=15"))</f>
        <v/>
      </c>
      <c r="L157" s="31">
        <f>IF($A157="","",K157-_xll.BDP($A157&amp;" Corp","YAS_BOND_YLD","YAS_YLD_FLAG=15","SETTLE_DT",Company_desc!$A$1))</f>
        <v/>
      </c>
      <c r="M157" s="31">
        <f>IF($A157="","",K157-_xll.BDP($A157&amp;" Corp","YAS_BOND_YLD","YAS_YLD_FLAG=15","SETTLE_DT",Company_desc!$A$2))</f>
        <v/>
      </c>
      <c r="N157" s="79">
        <f>IF($A157="","",_xll.BDP($A157&amp;" Corp","YAS_OAS_SPRD"))</f>
        <v/>
      </c>
      <c r="O157" s="67">
        <f>IF($A157="","",_xll.BDP($A157&amp;" Corp","YAS_MOD_DUR"))</f>
        <v/>
      </c>
      <c r="P157" s="80">
        <f>IF($A157="","",IFERROR(INDEX(Sheet1!$P:$P,MATCH($A157,Sheet1!$A:$A,0)),""))</f>
        <v/>
      </c>
      <c r="Q157" s="75">
        <f>IF($A157="","",IFERROR(INDEX(Company_desc!$C:$C,MATCH($A157,Company_desc!$A:$A,0)),IFERROR(INDEX(Sheet1!$Q:$Q,MATCH($A157,Sheet1!$A:$A,0)),"")))</f>
        <v/>
      </c>
      <c r="R157" s="75">
        <f>IF($A157="","",_xll.BDP($A157&amp;" Corp","CRNCY"))</f>
        <v/>
      </c>
      <c r="S157" s="75">
        <f>IF($A157="","",IFERROR(INDEX(Sheet1!$S:$S,MATCH($A157,Sheet1!$A:$A,0)),""))</f>
        <v/>
      </c>
      <c r="T157" s="75">
        <f>IF($A157="","",IFERROR(INDEX(Sheet1!$T:$T,MATCH($A157,Sheet1!$A:$A,0)),_xll.BDP($A157&amp;" Corp","RTG_SP")))</f>
        <v/>
      </c>
      <c r="U157" s="75">
        <f>IF($A157="","",IFERROR(INDEX(Sheet1!$U:$U,MATCH($A157,Sheet1!$A:$A,0)),""))</f>
        <v/>
      </c>
      <c r="W157" s="81">
        <f>IF($A157="","",N157-_xll.BDP($A157&amp;" Corp","YAS_OAS_SPRD","SETTLE_DT",Company_desc!$A$1))</f>
        <v/>
      </c>
      <c r="X157" s="81">
        <f>IF($A157="","",N157-_xll.BDP($A157&amp;" Corp","YAS_OAS_SPRD","SETTLE_DT",Company_desc!$A$2))</f>
        <v/>
      </c>
      <c r="Y157" s="80">
        <f>IF($A157="","",N157-_xll.BDP($A157&amp;" Corp","YAS_OAS_SPRD","SETTLE_DT",Company_desc!$D$1))</f>
        <v/>
      </c>
      <c r="Z157" s="82">
        <f>IF($A157="","",K157-_xll.BDP($A157&amp;" Corp","YAS_BOND_YLD","YAS_YLD_FLAG=15","SETTLE_DT",Company_desc!$D$1))</f>
        <v/>
      </c>
      <c r="AA157" s="80">
        <f>IF($A157="","",_xll.BDP($A157&amp;" Corp","YAS_OAS_SPRD","SETTLE_DT",Company_desc!$D$1))</f>
        <v/>
      </c>
    </row>
    <row r="158">
      <c r="B158" s="28">
        <f>IF($A158="","",IFERROR(INDEX(Sheet1!$B:$B,MATCH($A158,Sheet1!$A:$A,0)),""))</f>
        <v/>
      </c>
      <c r="C158" s="29">
        <f>IF($A158="","",PROPER(_xll.BDP($A158&amp;" Corp","NAME")))</f>
        <v/>
      </c>
      <c r="D158" s="84">
        <f>IF($A158="","",_xll.BDP($A158&amp;" Corp","CPN"))</f>
        <v/>
      </c>
      <c r="E158" s="84">
        <f>IF($A158="","",_xll.BDP($A158&amp;" Corp","PAYMENT_RANK"))</f>
        <v/>
      </c>
      <c r="F158" s="102">
        <f>IF($A158="","",_xll.BDP($A158&amp;" Corp","MATURITY"))</f>
        <v/>
      </c>
      <c r="G158" s="43">
        <f>IF($A158="","",PROPER(_xll.BDP($A158&amp;" Corp","COUNTRY_FULL_NAME")))</f>
        <v/>
      </c>
      <c r="H158" s="29">
        <f>IF($A158="","",_xll.BDP($A158&amp;" Corp","INDUSTRY_SECTOR"))</f>
        <v/>
      </c>
      <c r="I158" s="103">
        <f>IF($A158="","",IFERROR(_xll.BDP($A158&amp;" Corp","MIN_PIECE")/1000,""))</f>
        <v/>
      </c>
      <c r="J158" s="31">
        <f>IF($A158="","",_xll.BDP($A158&amp;" Corp","PX_LAST"))</f>
        <v/>
      </c>
      <c r="K158" s="31">
        <f>IF($A158="","",_xll.BDP($A158&amp;" Corp","YAS_BOND_YLD","YAS_YLD_FLAG=15"))</f>
        <v/>
      </c>
      <c r="L158" s="31">
        <f>IF($A158="","",K158-_xll.BDP($A158&amp;" Corp","YAS_BOND_YLD","YAS_YLD_FLAG=15","SETTLE_DT",Company_desc!$A$1))</f>
        <v/>
      </c>
      <c r="M158" s="31">
        <f>IF($A158="","",K158-_xll.BDP($A158&amp;" Corp","YAS_BOND_YLD","YAS_YLD_FLAG=15","SETTLE_DT",Company_desc!$A$2))</f>
        <v/>
      </c>
      <c r="N158" s="79">
        <f>IF($A158="","",_xll.BDP($A158&amp;" Corp","YAS_OAS_SPRD"))</f>
        <v/>
      </c>
      <c r="O158" s="67">
        <f>IF($A158="","",_xll.BDP($A158&amp;" Corp","YAS_MOD_DUR"))</f>
        <v/>
      </c>
      <c r="P158" s="79">
        <f>IF($A158="","",IFERROR(INDEX(Sheet1!$P:$P,MATCH($A158,Sheet1!$A:$A,0)),""))</f>
        <v/>
      </c>
      <c r="Q158" s="27">
        <f>IF($A158="","",IFERROR(INDEX(Company_desc!$C:$C,MATCH($A158,Company_desc!$A:$A,0)),IFERROR(INDEX(Sheet1!$Q:$Q,MATCH($A158,Sheet1!$A:$A,0)),"")))</f>
        <v/>
      </c>
      <c r="R158" s="27">
        <f>IF($A158="","",_xll.BDP($A158&amp;" Corp","CRNCY"))</f>
        <v/>
      </c>
      <c r="S158" s="27">
        <f>IF($A158="","",IFERROR(INDEX(Sheet1!$S:$S,MATCH($A158,Sheet1!$A:$A,0)),""))</f>
        <v/>
      </c>
      <c r="T158" s="47">
        <f>IF($A158="","",IFERROR(INDEX(Sheet1!$T:$T,MATCH($A158,Sheet1!$A:$A,0)),_xll.BDP($A158&amp;" Corp","RTG_SP")))</f>
        <v/>
      </c>
      <c r="U158" s="75">
        <f>IF($A158="","",IFERROR(INDEX(Sheet1!$U:$U,MATCH($A158,Sheet1!$A:$A,0)),""))</f>
        <v/>
      </c>
      <c r="W158" s="81">
        <f>IF($A158="","",N158-_xll.BDP($A158&amp;" Corp","YAS_OAS_SPRD","SETTLE_DT",Company_desc!$A$1))</f>
        <v/>
      </c>
      <c r="X158" s="81">
        <f>IF($A158="","",N158-_xll.BDP($A158&amp;" Corp","YAS_OAS_SPRD","SETTLE_DT",Company_desc!$A$2))</f>
        <v/>
      </c>
      <c r="Y158" s="80">
        <f>IF($A158="","",N158-_xll.BDP($A158&amp;" Corp","YAS_OAS_SPRD","SETTLE_DT",Company_desc!$D$1))</f>
        <v/>
      </c>
      <c r="Z158" s="82">
        <f>IF($A158="","",K158-_xll.BDP($A158&amp;" Corp","YAS_BOND_YLD","YAS_YLD_FLAG=15","SETTLE_DT",Company_desc!$D$1))</f>
        <v/>
      </c>
      <c r="AA158" s="80">
        <f>IF($A158="","",_xll.BDP($A158&amp;" Corp","YAS_OAS_SPRD","SETTLE_DT",Company_desc!$D$1))</f>
        <v/>
      </c>
    </row>
    <row r="159">
      <c r="B159" s="75">
        <f>IF($A159="","",IFERROR(INDEX(Sheet1!$B:$B,MATCH($A159,Sheet1!$A:$A,0)),""))</f>
        <v/>
      </c>
      <c r="C159" s="75">
        <f>IF($A159="","",PROPER(_xll.BDP($A159&amp;" Corp","NAME")))</f>
        <v/>
      </c>
      <c r="D159" s="76">
        <f>IF($A159="","",_xll.BDP($A159&amp;" Corp","CPN"))</f>
        <v/>
      </c>
      <c r="E159" s="75">
        <f>IF($A159="","",_xll.BDP($A159&amp;" Corp","PAYMENT_RANK"))</f>
        <v/>
      </c>
      <c r="F159" s="100">
        <f>IF($A159="","",_xll.BDP($A159&amp;" Corp","MATURITY"))</f>
        <v/>
      </c>
      <c r="G159" s="75">
        <f>IF($A159="","",PROPER(_xll.BDP($A159&amp;" Corp","COUNTRY_FULL_NAME")))</f>
        <v/>
      </c>
      <c r="H159" s="75">
        <f>IF($A159="","",_xll.BDP($A159&amp;" Corp","INDUSTRY_SECTOR"))</f>
        <v/>
      </c>
      <c r="I159" s="101">
        <f>IF($A159="","",IFERROR(_xll.BDP($A159&amp;" Corp","MIN_PIECE")/1000,""))</f>
        <v/>
      </c>
      <c r="J159" s="31">
        <f>IF($A159="","",_xll.BDP($A159&amp;" Corp","PX_LAST"))</f>
        <v/>
      </c>
      <c r="K159" s="31">
        <f>IF($A159="","",_xll.BDP($A159&amp;" Corp","YAS_BOND_YLD","YAS_YLD_FLAG=15"))</f>
        <v/>
      </c>
      <c r="L159" s="31">
        <f>IF($A159="","",K159-_xll.BDP($A159&amp;" Corp","YAS_BOND_YLD","YAS_YLD_FLAG=15","SETTLE_DT",Company_desc!$A$1))</f>
        <v/>
      </c>
      <c r="M159" s="31">
        <f>IF($A159="","",K159-_xll.BDP($A159&amp;" Corp","YAS_BOND_YLD","YAS_YLD_FLAG=15","SETTLE_DT",Company_desc!$A$2))</f>
        <v/>
      </c>
      <c r="N159" s="79">
        <f>IF($A159="","",_xll.BDP($A159&amp;" Corp","YAS_OAS_SPRD"))</f>
        <v/>
      </c>
      <c r="O159" s="82">
        <f>IF($A159="","",_xll.BDP($A159&amp;" Corp","YAS_MOD_DUR"))</f>
        <v/>
      </c>
      <c r="P159" s="80">
        <f>IF($A159="","",IFERROR(INDEX(Sheet1!$P:$P,MATCH($A159,Sheet1!$A:$A,0)),""))</f>
        <v/>
      </c>
      <c r="Q159" s="75">
        <f>IF($A159="","",IFERROR(INDEX(Company_desc!$C:$C,MATCH($A159,Company_desc!$A:$A,0)),IFERROR(INDEX(Sheet1!$Q:$Q,MATCH($A159,Sheet1!$A:$A,0)),"")))</f>
        <v/>
      </c>
      <c r="R159" s="75">
        <f>IF($A159="","",_xll.BDP($A159&amp;" Corp","CRNCY"))</f>
        <v/>
      </c>
      <c r="S159" s="75">
        <f>IF($A159="","",IFERROR(INDEX(Sheet1!$S:$S,MATCH($A159,Sheet1!$A:$A,0)),""))</f>
        <v/>
      </c>
      <c r="T159" s="75">
        <f>IF($A159="","",IFERROR(INDEX(Sheet1!$T:$T,MATCH($A159,Sheet1!$A:$A,0)),_xll.BDP($A159&amp;" Corp","RTG_SP")))</f>
        <v/>
      </c>
      <c r="U159" s="75">
        <f>IF($A159="","",IFERROR(INDEX(Sheet1!$U:$U,MATCH($A159,Sheet1!$A:$A,0)),""))</f>
        <v/>
      </c>
      <c r="W159" s="81">
        <f>IF($A159="","",N159-_xll.BDP($A159&amp;" Corp","YAS_OAS_SPRD","SETTLE_DT",Company_desc!$A$1))</f>
        <v/>
      </c>
      <c r="X159" s="81">
        <f>IF($A159="","",N159-_xll.BDP($A159&amp;" Corp","YAS_OAS_SPRD","SETTLE_DT",Company_desc!$A$2))</f>
        <v/>
      </c>
      <c r="Y159" s="80">
        <f>IF($A159="","",N159-_xll.BDP($A159&amp;" Corp","YAS_OAS_SPRD","SETTLE_DT",Company_desc!$D$1))</f>
        <v/>
      </c>
      <c r="Z159" s="82">
        <f>IF($A159="","",K159-_xll.BDP($A159&amp;" Corp","YAS_BOND_YLD","YAS_YLD_FLAG=15","SETTLE_DT",Company_desc!$D$1))</f>
        <v/>
      </c>
      <c r="AA159" s="80">
        <f>IF($A159="","",_xll.BDP($A159&amp;" Corp","YAS_OAS_SPRD","SETTLE_DT",Company_desc!$D$1))</f>
        <v/>
      </c>
    </row>
    <row r="160">
      <c r="B160" s="75">
        <f>IF($A160="","",IFERROR(INDEX(Sheet1!$B:$B,MATCH($A160,Sheet1!$A:$A,0)),""))</f>
        <v/>
      </c>
      <c r="C160" s="75">
        <f>IF($A160="","",PROPER(_xll.BDP($A160&amp;" Corp","NAME")))</f>
        <v/>
      </c>
      <c r="D160" s="76">
        <f>IF($A160="","",_xll.BDP($A160&amp;" Corp","CPN"))</f>
        <v/>
      </c>
      <c r="E160" s="75">
        <f>IF($A160="","",_xll.BDP($A160&amp;" Corp","PAYMENT_RANK"))</f>
        <v/>
      </c>
      <c r="F160" s="100">
        <f>IF($A160="","",_xll.BDP($A160&amp;" Corp","MATURITY"))</f>
        <v/>
      </c>
      <c r="G160" s="75">
        <f>IF($A160="","",PROPER(_xll.BDP($A160&amp;" Corp","COUNTRY_FULL_NAME")))</f>
        <v/>
      </c>
      <c r="H160" s="75">
        <f>IF($A160="","",_xll.BDP($A160&amp;" Corp","INDUSTRY_SECTOR"))</f>
        <v/>
      </c>
      <c r="I160" s="101">
        <f>IF($A160="","",IFERROR(_xll.BDP($A160&amp;" Corp","MIN_PIECE")/1000,""))</f>
        <v/>
      </c>
      <c r="J160" s="31">
        <f>IF($A160="","",_xll.BDP($A160&amp;" Corp","PX_LAST"))</f>
        <v/>
      </c>
      <c r="K160" s="31">
        <f>IF($A160="","",_xll.BDP($A160&amp;" Corp","YAS_BOND_YLD","YAS_YLD_FLAG=15"))</f>
        <v/>
      </c>
      <c r="L160" s="31">
        <f>IF($A160="","",K160-_xll.BDP($A160&amp;" Corp","YAS_BOND_YLD","YAS_YLD_FLAG=15","SETTLE_DT",Company_desc!$A$1))</f>
        <v/>
      </c>
      <c r="M160" s="31">
        <f>IF($A160="","",K160-_xll.BDP($A160&amp;" Corp","YAS_BOND_YLD","YAS_YLD_FLAG=15","SETTLE_DT",Company_desc!$A$2))</f>
        <v/>
      </c>
      <c r="N160" s="79">
        <f>IF($A160="","",_xll.BDP($A160&amp;" Corp","YAS_OAS_SPRD"))</f>
        <v/>
      </c>
      <c r="O160" s="67">
        <f>IF($A160="","",_xll.BDP($A160&amp;" Corp","YAS_MOD_DUR"))</f>
        <v/>
      </c>
      <c r="P160" s="80">
        <f>IF($A160="","",IFERROR(INDEX(Sheet1!$P:$P,MATCH($A160,Sheet1!$A:$A,0)),""))</f>
        <v/>
      </c>
      <c r="Q160" s="75">
        <f>IF($A160="","",IFERROR(INDEX(Company_desc!$C:$C,MATCH($A160,Company_desc!$A:$A,0)),IFERROR(INDEX(Sheet1!$Q:$Q,MATCH($A160,Sheet1!$A:$A,0)),"")))</f>
        <v/>
      </c>
      <c r="R160" s="75">
        <f>IF($A160="","",_xll.BDP($A160&amp;" Corp","CRNCY"))</f>
        <v/>
      </c>
      <c r="S160" s="75">
        <f>IF($A160="","",IFERROR(INDEX(Sheet1!$S:$S,MATCH($A160,Sheet1!$A:$A,0)),""))</f>
        <v/>
      </c>
      <c r="T160" s="75">
        <f>IF($A160="","",IFERROR(INDEX(Sheet1!$T:$T,MATCH($A160,Sheet1!$A:$A,0)),_xll.BDP($A160&amp;" Corp","RTG_SP")))</f>
        <v/>
      </c>
      <c r="U160" s="75">
        <f>IF($A160="","",IFERROR(INDEX(Sheet1!$U:$U,MATCH($A160,Sheet1!$A:$A,0)),""))</f>
        <v/>
      </c>
      <c r="W160" s="81">
        <f>IF($A160="","",N160-_xll.BDP($A160&amp;" Corp","YAS_OAS_SPRD","SETTLE_DT",Company_desc!$A$1))</f>
        <v/>
      </c>
      <c r="X160" s="81">
        <f>IF($A160="","",N160-_xll.BDP($A160&amp;" Corp","YAS_OAS_SPRD","SETTLE_DT",Company_desc!$A$2))</f>
        <v/>
      </c>
      <c r="Y160" s="80">
        <f>IF($A160="","",N160-_xll.BDP($A160&amp;" Corp","YAS_OAS_SPRD","SETTLE_DT",Company_desc!$D$1))</f>
        <v/>
      </c>
      <c r="Z160" s="82">
        <f>IF($A160="","",K160-_xll.BDP($A160&amp;" Corp","YAS_BOND_YLD","YAS_YLD_FLAG=15","SETTLE_DT",Company_desc!$D$1))</f>
        <v/>
      </c>
      <c r="AA160" s="80">
        <f>IF($A160="","",_xll.BDP($A160&amp;" Corp","YAS_OAS_SPRD","SETTLE_DT",Company_desc!$D$1))</f>
        <v/>
      </c>
    </row>
    <row r="161">
      <c r="B161" s="75">
        <f>IF($A161="","",IFERROR(INDEX(Sheet1!$B:$B,MATCH($A161,Sheet1!$A:$A,0)),""))</f>
        <v/>
      </c>
      <c r="C161" s="75">
        <f>IF($A161="","",PROPER(_xll.BDP($A161&amp;" Corp","NAME")))</f>
        <v/>
      </c>
      <c r="D161" s="76">
        <f>IF($A161="","",_xll.BDP($A161&amp;" Corp","CPN"))</f>
        <v/>
      </c>
      <c r="E161" s="75">
        <f>IF($A161="","",_xll.BDP($A161&amp;" Corp","PAYMENT_RANK"))</f>
        <v/>
      </c>
      <c r="F161" s="100">
        <f>IF($A161="","",_xll.BDP($A161&amp;" Corp","MATURITY"))</f>
        <v/>
      </c>
      <c r="G161" s="75">
        <f>IF($A161="","",PROPER(_xll.BDP($A161&amp;" Corp","COUNTRY_FULL_NAME")))</f>
        <v/>
      </c>
      <c r="H161" s="75">
        <f>IF($A161="","",_xll.BDP($A161&amp;" Corp","INDUSTRY_SECTOR"))</f>
        <v/>
      </c>
      <c r="I161" s="101">
        <f>IF($A161="","",IFERROR(_xll.BDP($A161&amp;" Corp","MIN_PIECE")/1000,""))</f>
        <v/>
      </c>
      <c r="J161" s="31">
        <f>IF($A161="","",_xll.BDP($A161&amp;" Corp","PX_LAST"))</f>
        <v/>
      </c>
      <c r="K161" s="31">
        <f>IF($A161="","",_xll.BDP($A161&amp;" Corp","YAS_BOND_YLD","YAS_YLD_FLAG=15"))</f>
        <v/>
      </c>
      <c r="L161" s="31">
        <f>IF($A161="","",K161-_xll.BDP($A161&amp;" Corp","YAS_BOND_YLD","YAS_YLD_FLAG=15","SETTLE_DT",Company_desc!$A$1))</f>
        <v/>
      </c>
      <c r="M161" s="31">
        <f>IF($A161="","",K161-_xll.BDP($A161&amp;" Corp","YAS_BOND_YLD","YAS_YLD_FLAG=15","SETTLE_DT",Company_desc!$A$2))</f>
        <v/>
      </c>
      <c r="N161" s="79">
        <f>IF($A161="","",_xll.BDP($A161&amp;" Corp","YAS_OAS_SPRD"))</f>
        <v/>
      </c>
      <c r="O161" s="67">
        <f>IF($A161="","",_xll.BDP($A161&amp;" Corp","YAS_MOD_DUR"))</f>
        <v/>
      </c>
      <c r="P161" s="80">
        <f>IF($A161="","",IFERROR(INDEX(Sheet1!$P:$P,MATCH($A161,Sheet1!$A:$A,0)),""))</f>
        <v/>
      </c>
      <c r="Q161" s="75">
        <f>IF($A161="","",IFERROR(INDEX(Company_desc!$C:$C,MATCH($A161,Company_desc!$A:$A,0)),IFERROR(INDEX(Sheet1!$Q:$Q,MATCH($A161,Sheet1!$A:$A,0)),"")))</f>
        <v/>
      </c>
      <c r="R161" s="75">
        <f>IF($A161="","",_xll.BDP($A161&amp;" Corp","CRNCY"))</f>
        <v/>
      </c>
      <c r="S161" s="75">
        <f>IF($A161="","",IFERROR(INDEX(Sheet1!$S:$S,MATCH($A161,Sheet1!$A:$A,0)),""))</f>
        <v/>
      </c>
      <c r="T161" s="75">
        <f>IF($A161="","",IFERROR(INDEX(Sheet1!$T:$T,MATCH($A161,Sheet1!$A:$A,0)),_xll.BDP($A161&amp;" Corp","RTG_SP")))</f>
        <v/>
      </c>
      <c r="U161" s="75">
        <f>IF($A161="","",IFERROR(INDEX(Sheet1!$U:$U,MATCH($A161,Sheet1!$A:$A,0)),""))</f>
        <v/>
      </c>
      <c r="W161" s="81">
        <f>IF($A161="","",N161-_xll.BDP($A161&amp;" Corp","YAS_OAS_SPRD","SETTLE_DT",Company_desc!$A$1))</f>
        <v/>
      </c>
      <c r="X161" s="81">
        <f>IF($A161="","",N161-_xll.BDP($A161&amp;" Corp","YAS_OAS_SPRD","SETTLE_DT",Company_desc!$A$2))</f>
        <v/>
      </c>
      <c r="Y161" s="80">
        <f>IF($A161="","",N161-_xll.BDP($A161&amp;" Corp","YAS_OAS_SPRD","SETTLE_DT",Company_desc!$D$1))</f>
        <v/>
      </c>
      <c r="Z161" s="82">
        <f>IF($A161="","",K161-_xll.BDP($A161&amp;" Corp","YAS_BOND_YLD","YAS_YLD_FLAG=15","SETTLE_DT",Company_desc!$D$1))</f>
        <v/>
      </c>
      <c r="AA161" s="80">
        <f>IF($A161="","",_xll.BDP($A161&amp;" Corp","YAS_OAS_SPRD","SETTLE_DT",Company_desc!$D$1))</f>
        <v/>
      </c>
    </row>
    <row r="162">
      <c r="B162" s="75">
        <f>IF($A162="","",IFERROR(INDEX(Sheet1!$B:$B,MATCH($A162,Sheet1!$A:$A,0)),""))</f>
        <v/>
      </c>
      <c r="C162" s="75">
        <f>IF($A162="","",PROPER(_xll.BDP($A162&amp;" Corp","NAME")))</f>
        <v/>
      </c>
      <c r="D162" s="76">
        <f>IF($A162="","",_xll.BDP($A162&amp;" Corp","CPN"))</f>
        <v/>
      </c>
      <c r="E162" s="75">
        <f>IF($A162="","",_xll.BDP($A162&amp;" Corp","PAYMENT_RANK"))</f>
        <v/>
      </c>
      <c r="F162" s="100">
        <f>IF($A162="","",_xll.BDP($A162&amp;" Corp","MATURITY"))</f>
        <v/>
      </c>
      <c r="G162" s="75">
        <f>IF($A162="","",PROPER(_xll.BDP($A162&amp;" Corp","COUNTRY_FULL_NAME")))</f>
        <v/>
      </c>
      <c r="H162" s="75">
        <f>IF($A162="","",_xll.BDP($A162&amp;" Corp","INDUSTRY_SECTOR"))</f>
        <v/>
      </c>
      <c r="I162" s="101">
        <f>IF($A162="","",IFERROR(_xll.BDP($A162&amp;" Corp","MIN_PIECE")/1000,""))</f>
        <v/>
      </c>
      <c r="J162" s="31">
        <f>IF($A162="","",_xll.BDP($A162&amp;" Corp","PX_LAST"))</f>
        <v/>
      </c>
      <c r="K162" s="31">
        <f>IF($A162="","",_xll.BDP($A162&amp;" Corp","YAS_BOND_YLD","YAS_YLD_FLAG=15"))</f>
        <v/>
      </c>
      <c r="L162" s="31">
        <f>IF($A162="","",K162-_xll.BDP($A162&amp;" Corp","YAS_BOND_YLD","YAS_YLD_FLAG=15","SETTLE_DT",Company_desc!$A$1))</f>
        <v/>
      </c>
      <c r="M162" s="31">
        <f>IF($A162="","",K162-_xll.BDP($A162&amp;" Corp","YAS_BOND_YLD","YAS_YLD_FLAG=15","SETTLE_DT",Company_desc!$A$2))</f>
        <v/>
      </c>
      <c r="N162" s="79">
        <f>IF($A162="","",_xll.BDP($A162&amp;" Corp","YAS_OAS_SPRD"))</f>
        <v/>
      </c>
      <c r="O162" s="67">
        <f>IF($A162="","",_xll.BDP($A162&amp;" Corp","YAS_MOD_DUR"))</f>
        <v/>
      </c>
      <c r="P162" s="80">
        <f>IF($A162="","",IFERROR(INDEX(Sheet1!$P:$P,MATCH($A162,Sheet1!$A:$A,0)),""))</f>
        <v/>
      </c>
      <c r="Q162" s="75">
        <f>IF($A162="","",IFERROR(INDEX(Company_desc!$C:$C,MATCH($A162,Company_desc!$A:$A,0)),IFERROR(INDEX(Sheet1!$Q:$Q,MATCH($A162,Sheet1!$A:$A,0)),"")))</f>
        <v/>
      </c>
      <c r="R162" s="75">
        <f>IF($A162="","",_xll.BDP($A162&amp;" Corp","CRNCY"))</f>
        <v/>
      </c>
      <c r="S162" s="75">
        <f>IF($A162="","",IFERROR(INDEX(Sheet1!$S:$S,MATCH($A162,Sheet1!$A:$A,0)),""))</f>
        <v/>
      </c>
      <c r="T162" s="75">
        <f>IF($A162="","",IFERROR(INDEX(Sheet1!$T:$T,MATCH($A162,Sheet1!$A:$A,0)),_xll.BDP($A162&amp;" Corp","RTG_SP")))</f>
        <v/>
      </c>
      <c r="U162" s="75">
        <f>IF($A162="","",IFERROR(INDEX(Sheet1!$U:$U,MATCH($A162,Sheet1!$A:$A,0)),""))</f>
        <v/>
      </c>
      <c r="W162" s="81">
        <f>IF($A162="","",N162-_xll.BDP($A162&amp;" Corp","YAS_OAS_SPRD","SETTLE_DT",Company_desc!$A$1))</f>
        <v/>
      </c>
      <c r="X162" s="81">
        <f>IF($A162="","",N162-_xll.BDP($A162&amp;" Corp","YAS_OAS_SPRD","SETTLE_DT",Company_desc!$A$2))</f>
        <v/>
      </c>
      <c r="Y162" s="80">
        <f>IF($A162="","",N162-_xll.BDP($A162&amp;" Corp","YAS_OAS_SPRD","SETTLE_DT",Company_desc!$D$1))</f>
        <v/>
      </c>
      <c r="Z162" s="82">
        <f>IF($A162="","",K162-_xll.BDP($A162&amp;" Corp","YAS_BOND_YLD","YAS_YLD_FLAG=15","SETTLE_DT",Company_desc!$D$1))</f>
        <v/>
      </c>
      <c r="AA162" s="80">
        <f>IF($A162="","",_xll.BDP($A162&amp;" Corp","YAS_OAS_SPRD","SETTLE_DT",Company_desc!$D$1))</f>
        <v/>
      </c>
    </row>
    <row r="163">
      <c r="B163" s="28">
        <f>IF($A163="","",IFERROR(INDEX(Sheet1!$B:$B,MATCH($A163,Sheet1!$A:$A,0)),""))</f>
        <v/>
      </c>
      <c r="C163" s="29">
        <f>IF($A163="","",PROPER(_xll.BDP($A163&amp;" Corp","NAME")))</f>
        <v/>
      </c>
      <c r="D163" s="84">
        <f>IF($A163="","",_xll.BDP($A163&amp;" Corp","CPN"))</f>
        <v/>
      </c>
      <c r="E163" s="84">
        <f>IF($A163="","",_xll.BDP($A163&amp;" Corp","PAYMENT_RANK"))</f>
        <v/>
      </c>
      <c r="F163" s="102">
        <f>IF($A163="","",_xll.BDP($A163&amp;" Corp","MATURITY"))</f>
        <v/>
      </c>
      <c r="G163" s="43">
        <f>IF($A163="","",PROPER(_xll.BDP($A163&amp;" Corp","COUNTRY_FULL_NAME")))</f>
        <v/>
      </c>
      <c r="H163" s="29">
        <f>IF($A163="","",_xll.BDP($A163&amp;" Corp","INDUSTRY_SECTOR"))</f>
        <v/>
      </c>
      <c r="I163" s="103">
        <f>IF($A163="","",IFERROR(_xll.BDP($A163&amp;" Corp","MIN_PIECE")/1000,""))</f>
        <v/>
      </c>
      <c r="J163" s="31">
        <f>IF($A163="","",_xll.BDP($A163&amp;" Corp","PX_LAST"))</f>
        <v/>
      </c>
      <c r="K163" s="31">
        <f>IF($A163="","",_xll.BDP($A163&amp;" Corp","YAS_BOND_YLD","YAS_YLD_FLAG=15"))</f>
        <v/>
      </c>
      <c r="L163" s="31">
        <f>IF($A163="","",K163-_xll.BDP($A163&amp;" Corp","YAS_BOND_YLD","YAS_YLD_FLAG=15","SETTLE_DT",Company_desc!$A$1))</f>
        <v/>
      </c>
      <c r="M163" s="31">
        <f>IF($A163="","",K163-_xll.BDP($A163&amp;" Corp","YAS_BOND_YLD","YAS_YLD_FLAG=15","SETTLE_DT",Company_desc!$A$2))</f>
        <v/>
      </c>
      <c r="N163" s="79">
        <f>IF($A163="","",_xll.BDP($A163&amp;" Corp","YAS_OAS_SPRD"))</f>
        <v/>
      </c>
      <c r="O163" s="67">
        <f>IF($A163="","",_xll.BDP($A163&amp;" Corp","YAS_MOD_DUR"))</f>
        <v/>
      </c>
      <c r="P163" s="79">
        <f>IF($A163="","",IFERROR(INDEX(Sheet1!$P:$P,MATCH($A163,Sheet1!$A:$A,0)),""))</f>
        <v/>
      </c>
      <c r="Q163" s="27">
        <f>IF($A163="","",IFERROR(INDEX(Company_desc!$C:$C,MATCH($A163,Company_desc!$A:$A,0)),IFERROR(INDEX(Sheet1!$Q:$Q,MATCH($A163,Sheet1!$A:$A,0)),"")))</f>
        <v/>
      </c>
      <c r="R163" s="27">
        <f>IF($A163="","",_xll.BDP($A163&amp;" Corp","CRNCY"))</f>
        <v/>
      </c>
      <c r="S163" s="27">
        <f>IF($A163="","",IFERROR(INDEX(Sheet1!$S:$S,MATCH($A163,Sheet1!$A:$A,0)),""))</f>
        <v/>
      </c>
      <c r="T163" s="47">
        <f>IF($A163="","",IFERROR(INDEX(Sheet1!$T:$T,MATCH($A163,Sheet1!$A:$A,0)),_xll.BDP($A163&amp;" Corp","RTG_SP")))</f>
        <v/>
      </c>
      <c r="U163" s="75">
        <f>IF($A163="","",IFERROR(INDEX(Sheet1!$U:$U,MATCH($A163,Sheet1!$A:$A,0)),""))</f>
        <v/>
      </c>
      <c r="W163" s="81">
        <f>IF($A163="","",N163-_xll.BDP($A163&amp;" Corp","YAS_OAS_SPRD","SETTLE_DT",Company_desc!$A$1))</f>
        <v/>
      </c>
      <c r="X163" s="81">
        <f>IF($A163="","",N163-_xll.BDP($A163&amp;" Corp","YAS_OAS_SPRD","SETTLE_DT",Company_desc!$A$2))</f>
        <v/>
      </c>
      <c r="Y163" s="80">
        <f>IF($A163="","",N163-_xll.BDP($A163&amp;" Corp","YAS_OAS_SPRD","SETTLE_DT",Company_desc!$D$1))</f>
        <v/>
      </c>
      <c r="Z163" s="82">
        <f>IF($A163="","",K163-_xll.BDP($A163&amp;" Corp","YAS_BOND_YLD","YAS_YLD_FLAG=15","SETTLE_DT",Company_desc!$D$1))</f>
        <v/>
      </c>
      <c r="AA163" s="80">
        <f>IF($A163="","",_xll.BDP($A163&amp;" Corp","YAS_OAS_SPRD","SETTLE_DT",Company_desc!$D$1))</f>
        <v/>
      </c>
    </row>
    <row r="164">
      <c r="B164" s="75">
        <f>IF($A164="","",IFERROR(INDEX(Sheet1!$B:$B,MATCH($A164,Sheet1!$A:$A,0)),""))</f>
        <v/>
      </c>
      <c r="C164" s="75">
        <f>IF($A164="","",PROPER(_xll.BDP($A164&amp;" Corp","NAME")))</f>
        <v/>
      </c>
      <c r="D164" s="76">
        <f>IF($A164="","",_xll.BDP($A164&amp;" Corp","CPN"))</f>
        <v/>
      </c>
      <c r="E164" s="75">
        <f>IF($A164="","",_xll.BDP($A164&amp;" Corp","PAYMENT_RANK"))</f>
        <v/>
      </c>
      <c r="F164" s="100">
        <f>IF($A164="","",_xll.BDP($A164&amp;" Corp","MATURITY"))</f>
        <v/>
      </c>
      <c r="G164" s="75">
        <f>IF($A164="","",PROPER(_xll.BDP($A164&amp;" Corp","COUNTRY_FULL_NAME")))</f>
        <v/>
      </c>
      <c r="H164" s="75">
        <f>IF($A164="","",_xll.BDP($A164&amp;" Corp","INDUSTRY_SECTOR"))</f>
        <v/>
      </c>
      <c r="I164" s="101">
        <f>IF($A164="","",IFERROR(_xll.BDP($A164&amp;" Corp","MIN_PIECE")/1000,""))</f>
        <v/>
      </c>
      <c r="J164" s="31">
        <f>IF($A164="","",_xll.BDP($A164&amp;" Corp","PX_LAST"))</f>
        <v/>
      </c>
      <c r="K164" s="31">
        <f>IF($A164="","",_xll.BDP($A164&amp;" Corp","YAS_BOND_YLD","YAS_YLD_FLAG=15"))</f>
        <v/>
      </c>
      <c r="L164" s="31">
        <f>IF($A164="","",K164-_xll.BDP($A164&amp;" Corp","YAS_BOND_YLD","YAS_YLD_FLAG=15","SETTLE_DT",Company_desc!$A$1))</f>
        <v/>
      </c>
      <c r="M164" s="31">
        <f>IF($A164="","",K164-_xll.BDP($A164&amp;" Corp","YAS_BOND_YLD","YAS_YLD_FLAG=15","SETTLE_DT",Company_desc!$A$2))</f>
        <v/>
      </c>
      <c r="N164" s="79">
        <f>IF($A164="","",_xll.BDP($A164&amp;" Corp","YAS_OAS_SPRD"))</f>
        <v/>
      </c>
      <c r="O164" s="67">
        <f>IF($A164="","",_xll.BDP($A164&amp;" Corp","YAS_MOD_DUR"))</f>
        <v/>
      </c>
      <c r="P164" s="80">
        <f>IF($A164="","",IFERROR(INDEX(Sheet1!$P:$P,MATCH($A164,Sheet1!$A:$A,0)),""))</f>
        <v/>
      </c>
      <c r="Q164" s="75">
        <f>IF($A164="","",IFERROR(INDEX(Company_desc!$C:$C,MATCH($A164,Company_desc!$A:$A,0)),IFERROR(INDEX(Sheet1!$Q:$Q,MATCH($A164,Sheet1!$A:$A,0)),"")))</f>
        <v/>
      </c>
      <c r="R164" s="75">
        <f>IF($A164="","",_xll.BDP($A164&amp;" Corp","CRNCY"))</f>
        <v/>
      </c>
      <c r="S164" s="75">
        <f>IF($A164="","",IFERROR(INDEX(Sheet1!$S:$S,MATCH($A164,Sheet1!$A:$A,0)),""))</f>
        <v/>
      </c>
      <c r="T164" s="75">
        <f>IF($A164="","",IFERROR(INDEX(Sheet1!$T:$T,MATCH($A164,Sheet1!$A:$A,0)),_xll.BDP($A164&amp;" Corp","RTG_SP")))</f>
        <v/>
      </c>
      <c r="U164" s="75">
        <f>IF($A164="","",IFERROR(INDEX(Sheet1!$U:$U,MATCH($A164,Sheet1!$A:$A,0)),""))</f>
        <v/>
      </c>
      <c r="W164" s="81">
        <f>IF($A164="","",N164-_xll.BDP($A164&amp;" Corp","YAS_OAS_SPRD","SETTLE_DT",Company_desc!$A$1))</f>
        <v/>
      </c>
      <c r="X164" s="81">
        <f>IF($A164="","",N164-_xll.BDP($A164&amp;" Corp","YAS_OAS_SPRD","SETTLE_DT",Company_desc!$A$2))</f>
        <v/>
      </c>
      <c r="Y164" s="80">
        <f>IF($A164="","",N164-_xll.BDP($A164&amp;" Corp","YAS_OAS_SPRD","SETTLE_DT",Company_desc!$D$1))</f>
        <v/>
      </c>
      <c r="Z164" s="82">
        <f>IF($A164="","",K164-_xll.BDP($A164&amp;" Corp","YAS_BOND_YLD","YAS_YLD_FLAG=15","SETTLE_DT",Company_desc!$D$1))</f>
        <v/>
      </c>
      <c r="AA164" s="80">
        <f>IF($A164="","",_xll.BDP($A164&amp;" Corp","YAS_OAS_SPRD","SETTLE_DT",Company_desc!$D$1))</f>
        <v/>
      </c>
    </row>
    <row r="165">
      <c r="B165" s="75">
        <f>IF($A165="","",IFERROR(INDEX(Sheet1!$B:$B,MATCH($A165,Sheet1!$A:$A,0)),""))</f>
        <v/>
      </c>
      <c r="C165" s="75">
        <f>IF($A165="","",PROPER(_xll.BDP($A165&amp;" Corp","NAME")))</f>
        <v/>
      </c>
      <c r="D165" s="76">
        <f>IF($A165="","",_xll.BDP($A165&amp;" Corp","CPN"))</f>
        <v/>
      </c>
      <c r="E165" s="75">
        <f>IF($A165="","",_xll.BDP($A165&amp;" Corp","PAYMENT_RANK"))</f>
        <v/>
      </c>
      <c r="F165" s="100">
        <f>IF($A165="","",_xll.BDP($A165&amp;" Corp","MATURITY"))</f>
        <v/>
      </c>
      <c r="G165" s="75">
        <f>IF($A165="","",PROPER(_xll.BDP($A165&amp;" Corp","COUNTRY_FULL_NAME")))</f>
        <v/>
      </c>
      <c r="H165" s="75">
        <f>IF($A165="","",_xll.BDP($A165&amp;" Corp","INDUSTRY_SECTOR"))</f>
        <v/>
      </c>
      <c r="I165" s="101">
        <f>IF($A165="","",IFERROR(_xll.BDP($A165&amp;" Corp","MIN_PIECE")/1000,""))</f>
        <v/>
      </c>
      <c r="J165" s="31">
        <f>IF($A165="","",_xll.BDP($A165&amp;" Corp","PX_LAST"))</f>
        <v/>
      </c>
      <c r="K165" s="31">
        <f>IF($A165="","",_xll.BDP($A165&amp;" Corp","YAS_BOND_YLD","YAS_YLD_FLAG=15"))</f>
        <v/>
      </c>
      <c r="L165" s="31">
        <f>IF($A165="","",K165-_xll.BDP($A165&amp;" Corp","YAS_BOND_YLD","YAS_YLD_FLAG=15","SETTLE_DT",Company_desc!$A$1))</f>
        <v/>
      </c>
      <c r="M165" s="31">
        <f>IF($A165="","",K165-_xll.BDP($A165&amp;" Corp","YAS_BOND_YLD","YAS_YLD_FLAG=15","SETTLE_DT",Company_desc!$A$2))</f>
        <v/>
      </c>
      <c r="N165" s="79">
        <f>IF($A165="","",_xll.BDP($A165&amp;" Corp","YAS_OAS_SPRD"))</f>
        <v/>
      </c>
      <c r="O165" s="67">
        <f>IF($A165="","",_xll.BDP($A165&amp;" Corp","YAS_MOD_DUR"))</f>
        <v/>
      </c>
      <c r="P165" s="80">
        <f>IF($A165="","",IFERROR(INDEX(Sheet1!$P:$P,MATCH($A165,Sheet1!$A:$A,0)),""))</f>
        <v/>
      </c>
      <c r="Q165" s="75">
        <f>IF($A165="","",IFERROR(INDEX(Company_desc!$C:$C,MATCH($A165,Company_desc!$A:$A,0)),IFERROR(INDEX(Sheet1!$Q:$Q,MATCH($A165,Sheet1!$A:$A,0)),"")))</f>
        <v/>
      </c>
      <c r="R165" s="75">
        <f>IF($A165="","",_xll.BDP($A165&amp;" Corp","CRNCY"))</f>
        <v/>
      </c>
      <c r="S165" s="75">
        <f>IF($A165="","",IFERROR(INDEX(Sheet1!$S:$S,MATCH($A165,Sheet1!$A:$A,0)),""))</f>
        <v/>
      </c>
      <c r="T165" s="75">
        <f>IF($A165="","",IFERROR(INDEX(Sheet1!$T:$T,MATCH($A165,Sheet1!$A:$A,0)),_xll.BDP($A165&amp;" Corp","RTG_SP")))</f>
        <v/>
      </c>
      <c r="U165" s="75">
        <f>IF($A165="","",IFERROR(INDEX(Sheet1!$U:$U,MATCH($A165,Sheet1!$A:$A,0)),""))</f>
        <v/>
      </c>
      <c r="W165" s="81">
        <f>IF($A165="","",N165-_xll.BDP($A165&amp;" Corp","YAS_OAS_SPRD","SETTLE_DT",Company_desc!$A$1))</f>
        <v/>
      </c>
      <c r="X165" s="81">
        <f>IF($A165="","",N165-_xll.BDP($A165&amp;" Corp","YAS_OAS_SPRD","SETTLE_DT",Company_desc!$A$2))</f>
        <v/>
      </c>
      <c r="Y165" s="80">
        <f>IF($A165="","",N165-_xll.BDP($A165&amp;" Corp","YAS_OAS_SPRD","SETTLE_DT",Company_desc!$D$1))</f>
        <v/>
      </c>
      <c r="Z165" s="82">
        <f>IF($A165="","",K165-_xll.BDP($A165&amp;" Corp","YAS_BOND_YLD","YAS_YLD_FLAG=15","SETTLE_DT",Company_desc!$D$1))</f>
        <v/>
      </c>
      <c r="AA165" s="80">
        <f>IF($A165="","",_xll.BDP($A165&amp;" Corp","YAS_OAS_SPRD","SETTLE_DT",Company_desc!$D$1))</f>
        <v/>
      </c>
    </row>
    <row r="166">
      <c r="B166" s="75">
        <f>IF($A166="","",IFERROR(INDEX(Sheet1!$B:$B,MATCH($A166,Sheet1!$A:$A,0)),""))</f>
        <v/>
      </c>
      <c r="C166" s="75">
        <f>IF($A166="","",PROPER(_xll.BDP($A166&amp;" Corp","NAME")))</f>
        <v/>
      </c>
      <c r="D166" s="76">
        <f>IF($A166="","",_xll.BDP($A166&amp;" Corp","CPN"))</f>
        <v/>
      </c>
      <c r="E166" s="75">
        <f>IF($A166="","",_xll.BDP($A166&amp;" Corp","PAYMENT_RANK"))</f>
        <v/>
      </c>
      <c r="F166" s="100">
        <f>IF($A166="","",_xll.BDP($A166&amp;" Corp","MATURITY"))</f>
        <v/>
      </c>
      <c r="G166" s="75">
        <f>IF($A166="","",PROPER(_xll.BDP($A166&amp;" Corp","COUNTRY_FULL_NAME")))</f>
        <v/>
      </c>
      <c r="H166" s="75">
        <f>IF($A166="","",_xll.BDP($A166&amp;" Corp","INDUSTRY_SECTOR"))</f>
        <v/>
      </c>
      <c r="I166" s="101">
        <f>IF($A166="","",IFERROR(_xll.BDP($A166&amp;" Corp","MIN_PIECE")/1000,""))</f>
        <v/>
      </c>
      <c r="J166" s="31">
        <f>IF($A166="","",_xll.BDP($A166&amp;" Corp","PX_LAST"))</f>
        <v/>
      </c>
      <c r="K166" s="31">
        <f>IF($A166="","",_xll.BDP($A166&amp;" Corp","YAS_BOND_YLD","YAS_YLD_FLAG=15"))</f>
        <v/>
      </c>
      <c r="L166" s="31">
        <f>IF($A166="","",K166-_xll.BDP($A166&amp;" Corp","YAS_BOND_YLD","YAS_YLD_FLAG=15","SETTLE_DT",Company_desc!$A$1))</f>
        <v/>
      </c>
      <c r="M166" s="31">
        <f>IF($A166="","",K166-_xll.BDP($A166&amp;" Corp","YAS_BOND_YLD","YAS_YLD_FLAG=15","SETTLE_DT",Company_desc!$A$2))</f>
        <v/>
      </c>
      <c r="N166" s="79">
        <f>IF($A166="","",_xll.BDP($A166&amp;" Corp","YAS_OAS_SPRD"))</f>
        <v/>
      </c>
      <c r="O166" s="82">
        <f>IF($A166="","",_xll.BDP($A166&amp;" Corp","YAS_MOD_DUR"))</f>
        <v/>
      </c>
      <c r="P166" s="80">
        <f>IF($A166="","",IFERROR(INDEX(Sheet1!$P:$P,MATCH($A166,Sheet1!$A:$A,0)),""))</f>
        <v/>
      </c>
      <c r="Q166" s="75">
        <f>IF($A166="","",IFERROR(INDEX(Company_desc!$C:$C,MATCH($A166,Company_desc!$A:$A,0)),IFERROR(INDEX(Sheet1!$Q:$Q,MATCH($A166,Sheet1!$A:$A,0)),"")))</f>
        <v/>
      </c>
      <c r="R166" s="75">
        <f>IF($A166="","",_xll.BDP($A166&amp;" Corp","CRNCY"))</f>
        <v/>
      </c>
      <c r="S166" s="75">
        <f>IF($A166="","",IFERROR(INDEX(Sheet1!$S:$S,MATCH($A166,Sheet1!$A:$A,0)),""))</f>
        <v/>
      </c>
      <c r="T166" s="75">
        <f>IF($A166="","",IFERROR(INDEX(Sheet1!$T:$T,MATCH($A166,Sheet1!$A:$A,0)),_xll.BDP($A166&amp;" Corp","RTG_SP")))</f>
        <v/>
      </c>
      <c r="U166" s="75">
        <f>IF($A166="","",IFERROR(INDEX(Sheet1!$U:$U,MATCH($A166,Sheet1!$A:$A,0)),""))</f>
        <v/>
      </c>
      <c r="W166" s="81">
        <f>IF($A166="","",N166-_xll.BDP($A166&amp;" Corp","YAS_OAS_SPRD","SETTLE_DT",Company_desc!$A$1))</f>
        <v/>
      </c>
      <c r="X166" s="81">
        <f>IF($A166="","",N166-_xll.BDP($A166&amp;" Corp","YAS_OAS_SPRD","SETTLE_DT",Company_desc!$A$2))</f>
        <v/>
      </c>
      <c r="Y166" s="80">
        <f>IF($A166="","",N166-_xll.BDP($A166&amp;" Corp","YAS_OAS_SPRD","SETTLE_DT",Company_desc!$D$1))</f>
        <v/>
      </c>
      <c r="Z166" s="82">
        <f>IF($A166="","",K166-_xll.BDP($A166&amp;" Corp","YAS_BOND_YLD","YAS_YLD_FLAG=15","SETTLE_DT",Company_desc!$D$1))</f>
        <v/>
      </c>
      <c r="AA166" s="80">
        <f>IF($A166="","",_xll.BDP($A166&amp;" Corp","YAS_OAS_SPRD","SETTLE_DT",Company_desc!$D$1))</f>
        <v/>
      </c>
    </row>
    <row r="167">
      <c r="B167" s="75">
        <f>IF($A167="","",IFERROR(INDEX(Sheet1!$B:$B,MATCH($A167,Sheet1!$A:$A,0)),""))</f>
        <v/>
      </c>
      <c r="C167" s="75">
        <f>IF($A167="","",PROPER(_xll.BDP($A167&amp;" Corp","NAME")))</f>
        <v/>
      </c>
      <c r="D167" s="76">
        <f>IF($A167="","",_xll.BDP($A167&amp;" Corp","CPN"))</f>
        <v/>
      </c>
      <c r="E167" s="75">
        <f>IF($A167="","",_xll.BDP($A167&amp;" Corp","PAYMENT_RANK"))</f>
        <v/>
      </c>
      <c r="F167" s="100">
        <f>IF($A167="","",_xll.BDP($A167&amp;" Corp","MATURITY"))</f>
        <v/>
      </c>
      <c r="G167" s="75">
        <f>IF($A167="","",PROPER(_xll.BDP($A167&amp;" Corp","COUNTRY_FULL_NAME")))</f>
        <v/>
      </c>
      <c r="H167" s="75">
        <f>IF($A167="","",_xll.BDP($A167&amp;" Corp","INDUSTRY_SECTOR"))</f>
        <v/>
      </c>
      <c r="I167" s="101">
        <f>IF($A167="","",IFERROR(_xll.BDP($A167&amp;" Corp","MIN_PIECE")/1000,""))</f>
        <v/>
      </c>
      <c r="J167" s="31">
        <f>IF($A167="","",_xll.BDP($A167&amp;" Corp","PX_LAST"))</f>
        <v/>
      </c>
      <c r="K167" s="31">
        <f>IF($A167="","",_xll.BDP($A167&amp;" Corp","YAS_BOND_YLD","YAS_YLD_FLAG=15"))</f>
        <v/>
      </c>
      <c r="L167" s="31">
        <f>IF($A167="","",K167-_xll.BDP($A167&amp;" Corp","YAS_BOND_YLD","YAS_YLD_FLAG=15","SETTLE_DT",Company_desc!$A$1))</f>
        <v/>
      </c>
      <c r="M167" s="31">
        <f>IF($A167="","",K167-_xll.BDP($A167&amp;" Corp","YAS_BOND_YLD","YAS_YLD_FLAG=15","SETTLE_DT",Company_desc!$A$2))</f>
        <v/>
      </c>
      <c r="N167" s="79">
        <f>IF($A167="","",_xll.BDP($A167&amp;" Corp","YAS_OAS_SPRD"))</f>
        <v/>
      </c>
      <c r="O167" s="67">
        <f>IF($A167="","",_xll.BDP($A167&amp;" Corp","YAS_MOD_DUR"))</f>
        <v/>
      </c>
      <c r="P167" s="80">
        <f>IF($A167="","",IFERROR(INDEX(Sheet1!$P:$P,MATCH($A167,Sheet1!$A:$A,0)),""))</f>
        <v/>
      </c>
      <c r="Q167" s="75">
        <f>IF($A167="","",IFERROR(INDEX(Company_desc!$C:$C,MATCH($A167,Company_desc!$A:$A,0)),IFERROR(INDEX(Sheet1!$Q:$Q,MATCH($A167,Sheet1!$A:$A,0)),"")))</f>
        <v/>
      </c>
      <c r="R167" s="75">
        <f>IF($A167="","",_xll.BDP($A167&amp;" Corp","CRNCY"))</f>
        <v/>
      </c>
      <c r="S167" s="75">
        <f>IF($A167="","",IFERROR(INDEX(Sheet1!$S:$S,MATCH($A167,Sheet1!$A:$A,0)),""))</f>
        <v/>
      </c>
      <c r="T167" s="75">
        <f>IF($A167="","",IFERROR(INDEX(Sheet1!$T:$T,MATCH($A167,Sheet1!$A:$A,0)),_xll.BDP($A167&amp;" Corp","RTG_SP")))</f>
        <v/>
      </c>
      <c r="U167" s="75">
        <f>IF($A167="","",IFERROR(INDEX(Sheet1!$U:$U,MATCH($A167,Sheet1!$A:$A,0)),""))</f>
        <v/>
      </c>
      <c r="W167" s="81">
        <f>IF($A167="","",N167-_xll.BDP($A167&amp;" Corp","YAS_OAS_SPRD","SETTLE_DT",Company_desc!$A$1))</f>
        <v/>
      </c>
      <c r="X167" s="81">
        <f>IF($A167="","",N167-_xll.BDP($A167&amp;" Corp","YAS_OAS_SPRD","SETTLE_DT",Company_desc!$A$2))</f>
        <v/>
      </c>
      <c r="Y167" s="80">
        <f>IF($A167="","",N167-_xll.BDP($A167&amp;" Corp","YAS_OAS_SPRD","SETTLE_DT",Company_desc!$D$1))</f>
        <v/>
      </c>
      <c r="Z167" s="82">
        <f>IF($A167="","",K167-_xll.BDP($A167&amp;" Corp","YAS_BOND_YLD","YAS_YLD_FLAG=15","SETTLE_DT",Company_desc!$D$1))</f>
        <v/>
      </c>
      <c r="AA167" s="80">
        <f>IF($A167="","",_xll.BDP($A167&amp;" Corp","YAS_OAS_SPRD","SETTLE_DT",Company_desc!$D$1))</f>
        <v/>
      </c>
    </row>
    <row r="168">
      <c r="B168" s="75">
        <f>IF($A168="","",IFERROR(INDEX(Sheet1!$B:$B,MATCH($A168,Sheet1!$A:$A,0)),""))</f>
        <v/>
      </c>
      <c r="C168" s="75">
        <f>IF($A168="","",PROPER(_xll.BDP($A168&amp;" Corp","NAME")))</f>
        <v/>
      </c>
      <c r="D168" s="76">
        <f>IF($A168="","",_xll.BDP($A168&amp;" Corp","CPN"))</f>
        <v/>
      </c>
      <c r="E168" s="75">
        <f>IF($A168="","",_xll.BDP($A168&amp;" Corp","PAYMENT_RANK"))</f>
        <v/>
      </c>
      <c r="F168" s="100">
        <f>IF($A168="","",_xll.BDP($A168&amp;" Corp","MATURITY"))</f>
        <v/>
      </c>
      <c r="G168" s="75">
        <f>IF($A168="","",PROPER(_xll.BDP($A168&amp;" Corp","COUNTRY_FULL_NAME")))</f>
        <v/>
      </c>
      <c r="H168" s="75">
        <f>IF($A168="","",_xll.BDP($A168&amp;" Corp","INDUSTRY_SECTOR"))</f>
        <v/>
      </c>
      <c r="I168" s="101">
        <f>IF($A168="","",IFERROR(_xll.BDP($A168&amp;" Corp","MIN_PIECE")/1000,""))</f>
        <v/>
      </c>
      <c r="J168" s="31">
        <f>IF($A168="","",_xll.BDP($A168&amp;" Corp","PX_LAST"))</f>
        <v/>
      </c>
      <c r="K168" s="31">
        <f>IF($A168="","",_xll.BDP($A168&amp;" Corp","YAS_BOND_YLD","YAS_YLD_FLAG=15"))</f>
        <v/>
      </c>
      <c r="L168" s="31">
        <f>IF($A168="","",K168-_xll.BDP($A168&amp;" Corp","YAS_BOND_YLD","YAS_YLD_FLAG=15","SETTLE_DT",Company_desc!$A$1))</f>
        <v/>
      </c>
      <c r="M168" s="31">
        <f>IF($A168="","",K168-_xll.BDP($A168&amp;" Corp","YAS_BOND_YLD","YAS_YLD_FLAG=15","SETTLE_DT",Company_desc!$A$2))</f>
        <v/>
      </c>
      <c r="N168" s="79">
        <f>IF($A168="","",_xll.BDP($A168&amp;" Corp","YAS_OAS_SPRD"))</f>
        <v/>
      </c>
      <c r="O168" s="67">
        <f>IF($A168="","",_xll.BDP($A168&amp;" Corp","YAS_MOD_DUR"))</f>
        <v/>
      </c>
      <c r="P168" s="80">
        <f>IF($A168="","",IFERROR(INDEX(Sheet1!$P:$P,MATCH($A168,Sheet1!$A:$A,0)),""))</f>
        <v/>
      </c>
      <c r="Q168" s="75">
        <f>IF($A168="","",IFERROR(INDEX(Company_desc!$C:$C,MATCH($A168,Company_desc!$A:$A,0)),IFERROR(INDEX(Sheet1!$Q:$Q,MATCH($A168,Sheet1!$A:$A,0)),"")))</f>
        <v/>
      </c>
      <c r="R168" s="75">
        <f>IF($A168="","",_xll.BDP($A168&amp;" Corp","CRNCY"))</f>
        <v/>
      </c>
      <c r="S168" s="75">
        <f>IF($A168="","",IFERROR(INDEX(Sheet1!$S:$S,MATCH($A168,Sheet1!$A:$A,0)),""))</f>
        <v/>
      </c>
      <c r="T168" s="75">
        <f>IF($A168="","",IFERROR(INDEX(Sheet1!$T:$T,MATCH($A168,Sheet1!$A:$A,0)),_xll.BDP($A168&amp;" Corp","RTG_SP")))</f>
        <v/>
      </c>
      <c r="U168" s="75">
        <f>IF($A168="","",IFERROR(INDEX(Sheet1!$U:$U,MATCH($A168,Sheet1!$A:$A,0)),""))</f>
        <v/>
      </c>
      <c r="W168" s="81">
        <f>IF($A168="","",N168-_xll.BDP($A168&amp;" Corp","YAS_OAS_SPRD","SETTLE_DT",Company_desc!$A$1))</f>
        <v/>
      </c>
      <c r="X168" s="81">
        <f>IF($A168="","",N168-_xll.BDP($A168&amp;" Corp","YAS_OAS_SPRD","SETTLE_DT",Company_desc!$A$2))</f>
        <v/>
      </c>
      <c r="Y168" s="80">
        <f>IF($A168="","",N168-_xll.BDP($A168&amp;" Corp","YAS_OAS_SPRD","SETTLE_DT",Company_desc!$D$1))</f>
        <v/>
      </c>
      <c r="Z168" s="82">
        <f>IF($A168="","",K168-_xll.BDP($A168&amp;" Corp","YAS_BOND_YLD","YAS_YLD_FLAG=15","SETTLE_DT",Company_desc!$D$1))</f>
        <v/>
      </c>
      <c r="AA168" s="80">
        <f>IF($A168="","",_xll.BDP($A168&amp;" Corp","YAS_OAS_SPRD","SETTLE_DT",Company_desc!$D$1))</f>
        <v/>
      </c>
    </row>
    <row r="169">
      <c r="B169" s="75">
        <f>IF($A169="","",IFERROR(INDEX(Sheet1!$B:$B,MATCH($A169,Sheet1!$A:$A,0)),""))</f>
        <v/>
      </c>
      <c r="C169" s="75">
        <f>IF($A169="","",PROPER(_xll.BDP($A169&amp;" Corp","NAME")))</f>
        <v/>
      </c>
      <c r="D169" s="76">
        <f>IF($A169="","",_xll.BDP($A169&amp;" Corp","CPN"))</f>
        <v/>
      </c>
      <c r="E169" s="75">
        <f>IF($A169="","",_xll.BDP($A169&amp;" Corp","PAYMENT_RANK"))</f>
        <v/>
      </c>
      <c r="F169" s="100">
        <f>IF($A169="","",_xll.BDP($A169&amp;" Corp","MATURITY"))</f>
        <v/>
      </c>
      <c r="G169" s="75">
        <f>IF($A169="","",PROPER(_xll.BDP($A169&amp;" Corp","COUNTRY_FULL_NAME")))</f>
        <v/>
      </c>
      <c r="H169" s="75">
        <f>IF($A169="","",_xll.BDP($A169&amp;" Corp","INDUSTRY_SECTOR"))</f>
        <v/>
      </c>
      <c r="I169" s="101">
        <f>IF($A169="","",IFERROR(_xll.BDP($A169&amp;" Corp","MIN_PIECE")/1000,""))</f>
        <v/>
      </c>
      <c r="J169" s="31">
        <f>IF($A169="","",_xll.BDP($A169&amp;" Corp","PX_LAST"))</f>
        <v/>
      </c>
      <c r="K169" s="31">
        <f>IF($A169="","",_xll.BDP($A169&amp;" Corp","YAS_BOND_YLD","YAS_YLD_FLAG=15"))</f>
        <v/>
      </c>
      <c r="L169" s="31">
        <f>IF($A169="","",K169-_xll.BDP($A169&amp;" Corp","YAS_BOND_YLD","YAS_YLD_FLAG=15","SETTLE_DT",Company_desc!$A$1))</f>
        <v/>
      </c>
      <c r="M169" s="31">
        <f>IF($A169="","",K169-_xll.BDP($A169&amp;" Corp","YAS_BOND_YLD","YAS_YLD_FLAG=15","SETTLE_DT",Company_desc!$A$2))</f>
        <v/>
      </c>
      <c r="N169" s="79">
        <f>IF($A169="","",_xll.BDP($A169&amp;" Corp","YAS_OAS_SPRD"))</f>
        <v/>
      </c>
      <c r="O169" s="67">
        <f>IF($A169="","",_xll.BDP($A169&amp;" Corp","YAS_MOD_DUR"))</f>
        <v/>
      </c>
      <c r="P169" s="80">
        <f>IF($A169="","",IFERROR(INDEX(Sheet1!$P:$P,MATCH($A169,Sheet1!$A:$A,0)),""))</f>
        <v/>
      </c>
      <c r="Q169" s="75">
        <f>IF($A169="","",IFERROR(INDEX(Company_desc!$C:$C,MATCH($A169,Company_desc!$A:$A,0)),IFERROR(INDEX(Sheet1!$Q:$Q,MATCH($A169,Sheet1!$A:$A,0)),"")))</f>
        <v/>
      </c>
      <c r="R169" s="75">
        <f>IF($A169="","",_xll.BDP($A169&amp;" Corp","CRNCY"))</f>
        <v/>
      </c>
      <c r="S169" s="75">
        <f>IF($A169="","",IFERROR(INDEX(Sheet1!$S:$S,MATCH($A169,Sheet1!$A:$A,0)),""))</f>
        <v/>
      </c>
      <c r="T169" s="75">
        <f>IF($A169="","",IFERROR(INDEX(Sheet1!$T:$T,MATCH($A169,Sheet1!$A:$A,0)),_xll.BDP($A169&amp;" Corp","RTG_SP")))</f>
        <v/>
      </c>
      <c r="U169" s="75">
        <f>IF($A169="","",IFERROR(INDEX(Sheet1!$U:$U,MATCH($A169,Sheet1!$A:$A,0)),""))</f>
        <v/>
      </c>
      <c r="W169" s="81">
        <f>IF($A169="","",N169-_xll.BDP($A169&amp;" Corp","YAS_OAS_SPRD","SETTLE_DT",Company_desc!$A$1))</f>
        <v/>
      </c>
      <c r="X169" s="81">
        <f>IF($A169="","",N169-_xll.BDP($A169&amp;" Corp","YAS_OAS_SPRD","SETTLE_DT",Company_desc!$A$2))</f>
        <v/>
      </c>
      <c r="Y169" s="80">
        <f>IF($A169="","",N169-_xll.BDP($A169&amp;" Corp","YAS_OAS_SPRD","SETTLE_DT",Company_desc!$D$1))</f>
        <v/>
      </c>
      <c r="Z169" s="82">
        <f>IF($A169="","",K169-_xll.BDP($A169&amp;" Corp","YAS_BOND_YLD","YAS_YLD_FLAG=15","SETTLE_DT",Company_desc!$D$1))</f>
        <v/>
      </c>
      <c r="AA169" s="80">
        <f>IF($A169="","",_xll.BDP($A169&amp;" Corp","YAS_OAS_SPRD","SETTLE_DT",Company_desc!$D$1))</f>
        <v/>
      </c>
    </row>
    <row r="170">
      <c r="B170" s="28">
        <f>IF($A170="","",IFERROR(INDEX(Sheet1!$B:$B,MATCH($A170,Sheet1!$A:$A,0)),""))</f>
        <v/>
      </c>
      <c r="C170" s="29">
        <f>IF($A170="","",PROPER(_xll.BDP($A170&amp;" Corp","NAME")))</f>
        <v/>
      </c>
      <c r="D170" s="84">
        <f>IF($A170="","",_xll.BDP($A170&amp;" Corp","CPN"))</f>
        <v/>
      </c>
      <c r="E170" s="84">
        <f>IF($A170="","",_xll.BDP($A170&amp;" Corp","PAYMENT_RANK"))</f>
        <v/>
      </c>
      <c r="F170" s="102">
        <f>IF($A170="","",_xll.BDP($A170&amp;" Corp","MATURITY"))</f>
        <v/>
      </c>
      <c r="G170" s="43">
        <f>IF($A170="","",PROPER(_xll.BDP($A170&amp;" Corp","COUNTRY_FULL_NAME")))</f>
        <v/>
      </c>
      <c r="H170" s="29">
        <f>IF($A170="","",_xll.BDP($A170&amp;" Corp","INDUSTRY_SECTOR"))</f>
        <v/>
      </c>
      <c r="I170" s="103">
        <f>IF($A170="","",IFERROR(_xll.BDP($A170&amp;" Corp","MIN_PIECE")/1000,""))</f>
        <v/>
      </c>
      <c r="J170" s="31">
        <f>IF($A170="","",_xll.BDP($A170&amp;" Corp","PX_LAST"))</f>
        <v/>
      </c>
      <c r="K170" s="31">
        <f>IF($A170="","",_xll.BDP($A170&amp;" Corp","YAS_BOND_YLD","YAS_YLD_FLAG=15"))</f>
        <v/>
      </c>
      <c r="L170" s="31">
        <f>IF($A170="","",K170-_xll.BDP($A170&amp;" Corp","YAS_BOND_YLD","YAS_YLD_FLAG=15","SETTLE_DT",Company_desc!$A$1))</f>
        <v/>
      </c>
      <c r="M170" s="31">
        <f>IF($A170="","",K170-_xll.BDP($A170&amp;" Corp","YAS_BOND_YLD","YAS_YLD_FLAG=15","SETTLE_DT",Company_desc!$A$2))</f>
        <v/>
      </c>
      <c r="N170" s="79">
        <f>IF($A170="","",_xll.BDP($A170&amp;" Corp","YAS_OAS_SPRD"))</f>
        <v/>
      </c>
      <c r="O170" s="67">
        <f>IF($A170="","",_xll.BDP($A170&amp;" Corp","YAS_MOD_DUR"))</f>
        <v/>
      </c>
      <c r="P170" s="79">
        <f>IF($A170="","",IFERROR(INDEX(Sheet1!$P:$P,MATCH($A170,Sheet1!$A:$A,0)),""))</f>
        <v/>
      </c>
      <c r="Q170" s="27">
        <f>IF($A170="","",IFERROR(INDEX(Company_desc!$C:$C,MATCH($A170,Company_desc!$A:$A,0)),IFERROR(INDEX(Sheet1!$Q:$Q,MATCH($A170,Sheet1!$A:$A,0)),"")))</f>
        <v/>
      </c>
      <c r="R170" s="27">
        <f>IF($A170="","",_xll.BDP($A170&amp;" Corp","CRNCY"))</f>
        <v/>
      </c>
      <c r="S170" s="27">
        <f>IF($A170="","",IFERROR(INDEX(Sheet1!$S:$S,MATCH($A170,Sheet1!$A:$A,0)),""))</f>
        <v/>
      </c>
      <c r="T170" s="47">
        <f>IF($A170="","",IFERROR(INDEX(Sheet1!$T:$T,MATCH($A170,Sheet1!$A:$A,0)),_xll.BDP($A170&amp;" Corp","RTG_SP")))</f>
        <v/>
      </c>
      <c r="U170" s="75">
        <f>IF($A170="","",IFERROR(INDEX(Sheet1!$U:$U,MATCH($A170,Sheet1!$A:$A,0)),""))</f>
        <v/>
      </c>
      <c r="W170" s="81">
        <f>IF($A170="","",N170-_xll.BDP($A170&amp;" Corp","YAS_OAS_SPRD","SETTLE_DT",Company_desc!$A$1))</f>
        <v/>
      </c>
      <c r="X170" s="81">
        <f>IF($A170="","",N170-_xll.BDP($A170&amp;" Corp","YAS_OAS_SPRD","SETTLE_DT",Company_desc!$A$2))</f>
        <v/>
      </c>
      <c r="Y170" s="80">
        <f>IF($A170="","",N170-_xll.BDP($A170&amp;" Corp","YAS_OAS_SPRD","SETTLE_DT",Company_desc!$D$1))</f>
        <v/>
      </c>
      <c r="Z170" s="82">
        <f>IF($A170="","",K170-_xll.BDP($A170&amp;" Corp","YAS_BOND_YLD","YAS_YLD_FLAG=15","SETTLE_DT",Company_desc!$D$1))</f>
        <v/>
      </c>
      <c r="AA170" s="80">
        <f>IF($A170="","",_xll.BDP($A170&amp;" Corp","YAS_OAS_SPRD","SETTLE_DT",Company_desc!$D$1))</f>
        <v/>
      </c>
    </row>
    <row r="171">
      <c r="B171" s="75">
        <f>IF($A171="","",IFERROR(INDEX(Sheet1!$B:$B,MATCH($A171,Sheet1!$A:$A,0)),""))</f>
        <v/>
      </c>
      <c r="C171" s="75">
        <f>IF($A171="","",PROPER(_xll.BDP($A171&amp;" Corp","NAME")))</f>
        <v/>
      </c>
      <c r="D171" s="76">
        <f>IF($A171="","",_xll.BDP($A171&amp;" Corp","CPN"))</f>
        <v/>
      </c>
      <c r="E171" s="75">
        <f>IF($A171="","",_xll.BDP($A171&amp;" Corp","PAYMENT_RANK"))</f>
        <v/>
      </c>
      <c r="F171" s="100">
        <f>IF($A171="","",_xll.BDP($A171&amp;" Corp","MATURITY"))</f>
        <v/>
      </c>
      <c r="G171" s="75">
        <f>IF($A171="","",PROPER(_xll.BDP($A171&amp;" Corp","COUNTRY_FULL_NAME")))</f>
        <v/>
      </c>
      <c r="H171" s="75">
        <f>IF($A171="","",_xll.BDP($A171&amp;" Corp","INDUSTRY_SECTOR"))</f>
        <v/>
      </c>
      <c r="I171" s="101">
        <f>IF($A171="","",IFERROR(_xll.BDP($A171&amp;" Corp","MIN_PIECE")/1000,""))</f>
        <v/>
      </c>
      <c r="J171" s="31">
        <f>IF($A171="","",_xll.BDP($A171&amp;" Corp","PX_LAST"))</f>
        <v/>
      </c>
      <c r="K171" s="31">
        <f>IF($A171="","",_xll.BDP($A171&amp;" Corp","YAS_BOND_YLD","YAS_YLD_FLAG=15"))</f>
        <v/>
      </c>
      <c r="L171" s="31">
        <f>IF($A171="","",K171-_xll.BDP($A171&amp;" Corp","YAS_BOND_YLD","YAS_YLD_FLAG=15","SETTLE_DT",Company_desc!$A$1))</f>
        <v/>
      </c>
      <c r="M171" s="31">
        <f>IF($A171="","",K171-_xll.BDP($A171&amp;" Corp","YAS_BOND_YLD","YAS_YLD_FLAG=15","SETTLE_DT",Company_desc!$A$2))</f>
        <v/>
      </c>
      <c r="N171" s="79">
        <f>IF($A171="","",_xll.BDP($A171&amp;" Corp","YAS_OAS_SPRD"))</f>
        <v/>
      </c>
      <c r="O171" s="67">
        <f>IF($A171="","",_xll.BDP($A171&amp;" Corp","YAS_MOD_DUR"))</f>
        <v/>
      </c>
      <c r="P171" s="80">
        <f>IF($A171="","",IFERROR(INDEX(Sheet1!$P:$P,MATCH($A171,Sheet1!$A:$A,0)),""))</f>
        <v/>
      </c>
      <c r="Q171" s="75">
        <f>IF($A171="","",IFERROR(INDEX(Company_desc!$C:$C,MATCH($A171,Company_desc!$A:$A,0)),IFERROR(INDEX(Sheet1!$Q:$Q,MATCH($A171,Sheet1!$A:$A,0)),"")))</f>
        <v/>
      </c>
      <c r="R171" s="75">
        <f>IF($A171="","",_xll.BDP($A171&amp;" Corp","CRNCY"))</f>
        <v/>
      </c>
      <c r="S171" s="75">
        <f>IF($A171="","",IFERROR(INDEX(Sheet1!$S:$S,MATCH($A171,Sheet1!$A:$A,0)),""))</f>
        <v/>
      </c>
      <c r="T171" s="75">
        <f>IF($A171="","",IFERROR(INDEX(Sheet1!$T:$T,MATCH($A171,Sheet1!$A:$A,0)),_xll.BDP($A171&amp;" Corp","RTG_SP")))</f>
        <v/>
      </c>
      <c r="U171" s="75">
        <f>IF($A171="","",IFERROR(INDEX(Sheet1!$U:$U,MATCH($A171,Sheet1!$A:$A,0)),""))</f>
        <v/>
      </c>
      <c r="W171" s="81">
        <f>IF($A171="","",N171-_xll.BDP($A171&amp;" Corp","YAS_OAS_SPRD","SETTLE_DT",Company_desc!$A$1))</f>
        <v/>
      </c>
      <c r="X171" s="81">
        <f>IF($A171="","",N171-_xll.BDP($A171&amp;" Corp","YAS_OAS_SPRD","SETTLE_DT",Company_desc!$A$2))</f>
        <v/>
      </c>
      <c r="Y171" s="80">
        <f>IF($A171="","",N171-_xll.BDP($A171&amp;" Corp","YAS_OAS_SPRD","SETTLE_DT",Company_desc!$D$1))</f>
        <v/>
      </c>
      <c r="Z171" s="82">
        <f>IF($A171="","",K171-_xll.BDP($A171&amp;" Corp","YAS_BOND_YLD","YAS_YLD_FLAG=15","SETTLE_DT",Company_desc!$D$1))</f>
        <v/>
      </c>
      <c r="AA171" s="80">
        <f>IF($A171="","",_xll.BDP($A171&amp;" Corp","YAS_OAS_SPRD","SETTLE_DT",Company_desc!$D$1))</f>
        <v/>
      </c>
    </row>
    <row r="172">
      <c r="B172" s="75">
        <f>IF($A172="","",IFERROR(INDEX(Sheet1!$B:$B,MATCH($A172,Sheet1!$A:$A,0)),""))</f>
        <v/>
      </c>
      <c r="C172" s="75">
        <f>IF($A172="","",PROPER(_xll.BDP($A172&amp;" Corp","NAME")))</f>
        <v/>
      </c>
      <c r="D172" s="76">
        <f>IF($A172="","",_xll.BDP($A172&amp;" Corp","CPN"))</f>
        <v/>
      </c>
      <c r="E172" s="75">
        <f>IF($A172="","",_xll.BDP($A172&amp;" Corp","PAYMENT_RANK"))</f>
        <v/>
      </c>
      <c r="F172" s="100">
        <f>IF($A172="","",_xll.BDP($A172&amp;" Corp","MATURITY"))</f>
        <v/>
      </c>
      <c r="G172" s="75">
        <f>IF($A172="","",PROPER(_xll.BDP($A172&amp;" Corp","COUNTRY_FULL_NAME")))</f>
        <v/>
      </c>
      <c r="H172" s="75">
        <f>IF($A172="","",_xll.BDP($A172&amp;" Corp","INDUSTRY_SECTOR"))</f>
        <v/>
      </c>
      <c r="I172" s="101">
        <f>IF($A172="","",IFERROR(_xll.BDP($A172&amp;" Corp","MIN_PIECE")/1000,""))</f>
        <v/>
      </c>
      <c r="J172" s="31">
        <f>IF($A172="","",_xll.BDP($A172&amp;" Corp","PX_LAST"))</f>
        <v/>
      </c>
      <c r="K172" s="31">
        <f>IF($A172="","",_xll.BDP($A172&amp;" Corp","YAS_BOND_YLD","YAS_YLD_FLAG=15"))</f>
        <v/>
      </c>
      <c r="L172" s="31">
        <f>IF($A172="","",K172-_xll.BDP($A172&amp;" Corp","YAS_BOND_YLD","YAS_YLD_FLAG=15","SETTLE_DT",Company_desc!$A$1))</f>
        <v/>
      </c>
      <c r="M172" s="31">
        <f>IF($A172="","",K172-_xll.BDP($A172&amp;" Corp","YAS_BOND_YLD","YAS_YLD_FLAG=15","SETTLE_DT",Company_desc!$A$2))</f>
        <v/>
      </c>
      <c r="N172" s="79">
        <f>IF($A172="","",_xll.BDP($A172&amp;" Corp","YAS_OAS_SPRD"))</f>
        <v/>
      </c>
      <c r="O172" s="67">
        <f>IF($A172="","",_xll.BDP($A172&amp;" Corp","YAS_MOD_DUR"))</f>
        <v/>
      </c>
      <c r="P172" s="80">
        <f>IF($A172="","",IFERROR(INDEX(Sheet1!$P:$P,MATCH($A172,Sheet1!$A:$A,0)),""))</f>
        <v/>
      </c>
      <c r="Q172" s="75">
        <f>IF($A172="","",IFERROR(INDEX(Company_desc!$C:$C,MATCH($A172,Company_desc!$A:$A,0)),IFERROR(INDEX(Sheet1!$Q:$Q,MATCH($A172,Sheet1!$A:$A,0)),"")))</f>
        <v/>
      </c>
      <c r="R172" s="75">
        <f>IF($A172="","",_xll.BDP($A172&amp;" Corp","CRNCY"))</f>
        <v/>
      </c>
      <c r="S172" s="75">
        <f>IF($A172="","",IFERROR(INDEX(Sheet1!$S:$S,MATCH($A172,Sheet1!$A:$A,0)),""))</f>
        <v/>
      </c>
      <c r="T172" s="75">
        <f>IF($A172="","",IFERROR(INDEX(Sheet1!$T:$T,MATCH($A172,Sheet1!$A:$A,0)),_xll.BDP($A172&amp;" Corp","RTG_SP")))</f>
        <v/>
      </c>
      <c r="U172" s="75">
        <f>IF($A172="","",IFERROR(INDEX(Sheet1!$U:$U,MATCH($A172,Sheet1!$A:$A,0)),""))</f>
        <v/>
      </c>
      <c r="W172" s="81">
        <f>IF($A172="","",N172-_xll.BDP($A172&amp;" Corp","YAS_OAS_SPRD","SETTLE_DT",Company_desc!$A$1))</f>
        <v/>
      </c>
      <c r="X172" s="81">
        <f>IF($A172="","",N172-_xll.BDP($A172&amp;" Corp","YAS_OAS_SPRD","SETTLE_DT",Company_desc!$A$2))</f>
        <v/>
      </c>
      <c r="Y172" s="80">
        <f>IF($A172="","",N172-_xll.BDP($A172&amp;" Corp","YAS_OAS_SPRD","SETTLE_DT",Company_desc!$D$1))</f>
        <v/>
      </c>
      <c r="Z172" s="82">
        <f>IF($A172="","",K172-_xll.BDP($A172&amp;" Corp","YAS_BOND_YLD","YAS_YLD_FLAG=15","SETTLE_DT",Company_desc!$D$1))</f>
        <v/>
      </c>
      <c r="AA172" s="80">
        <f>IF($A172="","",_xll.BDP($A172&amp;" Corp","YAS_OAS_SPRD","SETTLE_DT",Company_desc!$D$1))</f>
        <v/>
      </c>
    </row>
    <row r="173">
      <c r="B173" s="75">
        <f>IF($A173="","",IFERROR(INDEX(Sheet1!$B:$B,MATCH($A173,Sheet1!$A:$A,0)),""))</f>
        <v/>
      </c>
      <c r="C173" s="75">
        <f>IF($A173="","",PROPER(_xll.BDP($A173&amp;" Corp","NAME")))</f>
        <v/>
      </c>
      <c r="D173" s="76">
        <f>IF($A173="","",_xll.BDP($A173&amp;" Corp","CPN"))</f>
        <v/>
      </c>
      <c r="E173" s="75">
        <f>IF($A173="","",_xll.BDP($A173&amp;" Corp","PAYMENT_RANK"))</f>
        <v/>
      </c>
      <c r="F173" s="100">
        <f>IF($A173="","",_xll.BDP($A173&amp;" Corp","MATURITY"))</f>
        <v/>
      </c>
      <c r="G173" s="75">
        <f>IF($A173="","",PROPER(_xll.BDP($A173&amp;" Corp","COUNTRY_FULL_NAME")))</f>
        <v/>
      </c>
      <c r="H173" s="75">
        <f>IF($A173="","",_xll.BDP($A173&amp;" Corp","INDUSTRY_SECTOR"))</f>
        <v/>
      </c>
      <c r="I173" s="101">
        <f>IF($A173="","",IFERROR(_xll.BDP($A173&amp;" Corp","MIN_PIECE")/1000,""))</f>
        <v/>
      </c>
      <c r="J173" s="31">
        <f>IF($A173="","",_xll.BDP($A173&amp;" Corp","PX_LAST"))</f>
        <v/>
      </c>
      <c r="K173" s="31">
        <f>IF($A173="","",_xll.BDP($A173&amp;" Corp","YAS_BOND_YLD","YAS_YLD_FLAG=15"))</f>
        <v/>
      </c>
      <c r="L173" s="31">
        <f>IF($A173="","",K173-_xll.BDP($A173&amp;" Corp","YAS_BOND_YLD","YAS_YLD_FLAG=15","SETTLE_DT",Company_desc!$A$1))</f>
        <v/>
      </c>
      <c r="M173" s="31">
        <f>IF($A173="","",K173-_xll.BDP($A173&amp;" Corp","YAS_BOND_YLD","YAS_YLD_FLAG=15","SETTLE_DT",Company_desc!$A$2))</f>
        <v/>
      </c>
      <c r="N173" s="79">
        <f>IF($A173="","",_xll.BDP($A173&amp;" Corp","YAS_OAS_SPRD"))</f>
        <v/>
      </c>
      <c r="O173" s="67">
        <f>IF($A173="","",_xll.BDP($A173&amp;" Corp","YAS_MOD_DUR"))</f>
        <v/>
      </c>
      <c r="P173" s="80">
        <f>IF($A173="","",IFERROR(INDEX(Sheet1!$P:$P,MATCH($A173,Sheet1!$A:$A,0)),""))</f>
        <v/>
      </c>
      <c r="Q173" s="75">
        <f>IF($A173="","",IFERROR(INDEX(Company_desc!$C:$C,MATCH($A173,Company_desc!$A:$A,0)),IFERROR(INDEX(Sheet1!$Q:$Q,MATCH($A173,Sheet1!$A:$A,0)),"")))</f>
        <v/>
      </c>
      <c r="R173" s="75">
        <f>IF($A173="","",_xll.BDP($A173&amp;" Corp","CRNCY"))</f>
        <v/>
      </c>
      <c r="S173" s="75">
        <f>IF($A173="","",IFERROR(INDEX(Sheet1!$S:$S,MATCH($A173,Sheet1!$A:$A,0)),""))</f>
        <v/>
      </c>
      <c r="T173" s="75">
        <f>IF($A173="","",IFERROR(INDEX(Sheet1!$T:$T,MATCH($A173,Sheet1!$A:$A,0)),_xll.BDP($A173&amp;" Corp","RTG_SP")))</f>
        <v/>
      </c>
      <c r="U173" s="75">
        <f>IF($A173="","",IFERROR(INDEX(Sheet1!$U:$U,MATCH($A173,Sheet1!$A:$A,0)),""))</f>
        <v/>
      </c>
      <c r="W173" s="81">
        <f>IF($A173="","",N173-_xll.BDP($A173&amp;" Corp","YAS_OAS_SPRD","SETTLE_DT",Company_desc!$A$1))</f>
        <v/>
      </c>
      <c r="X173" s="81">
        <f>IF($A173="","",N173-_xll.BDP($A173&amp;" Corp","YAS_OAS_SPRD","SETTLE_DT",Company_desc!$A$2))</f>
        <v/>
      </c>
      <c r="Y173" s="80">
        <f>IF($A173="","",N173-_xll.BDP($A173&amp;" Corp","YAS_OAS_SPRD","SETTLE_DT",Company_desc!$D$1))</f>
        <v/>
      </c>
      <c r="Z173" s="82">
        <f>IF($A173="","",K173-_xll.BDP($A173&amp;" Corp","YAS_BOND_YLD","YAS_YLD_FLAG=15","SETTLE_DT",Company_desc!$D$1))</f>
        <v/>
      </c>
      <c r="AA173" s="80">
        <f>IF($A173="","",_xll.BDP($A173&amp;" Corp","YAS_OAS_SPRD","SETTLE_DT",Company_desc!$D$1))</f>
        <v/>
      </c>
    </row>
    <row r="174">
      <c r="B174" s="75">
        <f>IF($A174="","",IFERROR(INDEX(Sheet1!$B:$B,MATCH($A174,Sheet1!$A:$A,0)),""))</f>
        <v/>
      </c>
      <c r="C174" s="75">
        <f>IF($A174="","",PROPER(_xll.BDP($A174&amp;" Corp","NAME")))</f>
        <v/>
      </c>
      <c r="D174" s="76">
        <f>IF($A174="","",_xll.BDP($A174&amp;" Corp","CPN"))</f>
        <v/>
      </c>
      <c r="E174" s="75">
        <f>IF($A174="","",_xll.BDP($A174&amp;" Corp","PAYMENT_RANK"))</f>
        <v/>
      </c>
      <c r="F174" s="100">
        <f>IF($A174="","",_xll.BDP($A174&amp;" Corp","MATURITY"))</f>
        <v/>
      </c>
      <c r="G174" s="75">
        <f>IF($A174="","",PROPER(_xll.BDP($A174&amp;" Corp","COUNTRY_FULL_NAME")))</f>
        <v/>
      </c>
      <c r="H174" s="75">
        <f>IF($A174="","",_xll.BDP($A174&amp;" Corp","INDUSTRY_SECTOR"))</f>
        <v/>
      </c>
      <c r="I174" s="101">
        <f>IF($A174="","",IFERROR(_xll.BDP($A174&amp;" Corp","MIN_PIECE")/1000,""))</f>
        <v/>
      </c>
      <c r="J174" s="31">
        <f>IF($A174="","",_xll.BDP($A174&amp;" Corp","PX_LAST"))</f>
        <v/>
      </c>
      <c r="K174" s="31">
        <f>IF($A174="","",_xll.BDP($A174&amp;" Corp","YAS_BOND_YLD","YAS_YLD_FLAG=15"))</f>
        <v/>
      </c>
      <c r="L174" s="31">
        <f>IF($A174="","",K174-_xll.BDP($A174&amp;" Corp","YAS_BOND_YLD","YAS_YLD_FLAG=15","SETTLE_DT",Company_desc!$A$1))</f>
        <v/>
      </c>
      <c r="M174" s="31">
        <f>IF($A174="","",K174-_xll.BDP($A174&amp;" Corp","YAS_BOND_YLD","YAS_YLD_FLAG=15","SETTLE_DT",Company_desc!$A$2))</f>
        <v/>
      </c>
      <c r="N174" s="79">
        <f>IF($A174="","",_xll.BDP($A174&amp;" Corp","YAS_OAS_SPRD"))</f>
        <v/>
      </c>
      <c r="O174" s="67">
        <f>IF($A174="","",_xll.BDP($A174&amp;" Corp","YAS_MOD_DUR"))</f>
        <v/>
      </c>
      <c r="P174" s="80">
        <f>IF($A174="","",IFERROR(INDEX(Sheet1!$P:$P,MATCH($A174,Sheet1!$A:$A,0)),""))</f>
        <v/>
      </c>
      <c r="Q174" s="75">
        <f>IF($A174="","",IFERROR(INDEX(Company_desc!$C:$C,MATCH($A174,Company_desc!$A:$A,0)),IFERROR(INDEX(Sheet1!$Q:$Q,MATCH($A174,Sheet1!$A:$A,0)),"")))</f>
        <v/>
      </c>
      <c r="R174" s="75">
        <f>IF($A174="","",_xll.BDP($A174&amp;" Corp","CRNCY"))</f>
        <v/>
      </c>
      <c r="S174" s="75">
        <f>IF($A174="","",IFERROR(INDEX(Sheet1!$S:$S,MATCH($A174,Sheet1!$A:$A,0)),""))</f>
        <v/>
      </c>
      <c r="T174" s="75">
        <f>IF($A174="","",IFERROR(INDEX(Sheet1!$T:$T,MATCH($A174,Sheet1!$A:$A,0)),_xll.BDP($A174&amp;" Corp","RTG_SP")))</f>
        <v/>
      </c>
      <c r="U174" s="75">
        <f>IF($A174="","",IFERROR(INDEX(Sheet1!$U:$U,MATCH($A174,Sheet1!$A:$A,0)),""))</f>
        <v/>
      </c>
      <c r="W174" s="81">
        <f>IF($A174="","",N174-_xll.BDP($A174&amp;" Corp","YAS_OAS_SPRD","SETTLE_DT",Company_desc!$A$1))</f>
        <v/>
      </c>
      <c r="X174" s="81">
        <f>IF($A174="","",N174-_xll.BDP($A174&amp;" Corp","YAS_OAS_SPRD","SETTLE_DT",Company_desc!$A$2))</f>
        <v/>
      </c>
      <c r="Y174" s="80">
        <f>IF($A174="","",N174-_xll.BDP($A174&amp;" Corp","YAS_OAS_SPRD","SETTLE_DT",Company_desc!$D$1))</f>
        <v/>
      </c>
      <c r="Z174" s="82">
        <f>IF($A174="","",K174-_xll.BDP($A174&amp;" Corp","YAS_BOND_YLD","YAS_YLD_FLAG=15","SETTLE_DT",Company_desc!$D$1))</f>
        <v/>
      </c>
      <c r="AA174" s="80">
        <f>IF($A174="","",_xll.BDP($A174&amp;" Corp","YAS_OAS_SPRD","SETTLE_DT",Company_desc!$D$1))</f>
        <v/>
      </c>
    </row>
    <row r="175">
      <c r="B175" s="75">
        <f>IF($A175="","",IFERROR(INDEX(Sheet1!$B:$B,MATCH($A175,Sheet1!$A:$A,0)),""))</f>
        <v/>
      </c>
      <c r="C175" s="75">
        <f>IF($A175="","",PROPER(_xll.BDP($A175&amp;" Corp","NAME")))</f>
        <v/>
      </c>
      <c r="D175" s="76">
        <f>IF($A175="","",_xll.BDP($A175&amp;" Corp","CPN"))</f>
        <v/>
      </c>
      <c r="E175" s="75">
        <f>IF($A175="","",_xll.BDP($A175&amp;" Corp","PAYMENT_RANK"))</f>
        <v/>
      </c>
      <c r="F175" s="100">
        <f>IF($A175="","",_xll.BDP($A175&amp;" Corp","MATURITY"))</f>
        <v/>
      </c>
      <c r="G175" s="75">
        <f>IF($A175="","",PROPER(_xll.BDP($A175&amp;" Corp","COUNTRY_FULL_NAME")))</f>
        <v/>
      </c>
      <c r="H175" s="75">
        <f>IF($A175="","",_xll.BDP($A175&amp;" Corp","INDUSTRY_SECTOR"))</f>
        <v/>
      </c>
      <c r="I175" s="101">
        <f>IF($A175="","",IFERROR(_xll.BDP($A175&amp;" Corp","MIN_PIECE")/1000,""))</f>
        <v/>
      </c>
      <c r="J175" s="31">
        <f>IF($A175="","",_xll.BDP($A175&amp;" Corp","PX_LAST"))</f>
        <v/>
      </c>
      <c r="K175" s="31">
        <f>IF($A175="","",_xll.BDP($A175&amp;" Corp","YAS_BOND_YLD","YAS_YLD_FLAG=15"))</f>
        <v/>
      </c>
      <c r="L175" s="31">
        <f>IF($A175="","",K175-_xll.BDP($A175&amp;" Corp","YAS_BOND_YLD","YAS_YLD_FLAG=15","SETTLE_DT",Company_desc!$A$1))</f>
        <v/>
      </c>
      <c r="M175" s="31">
        <f>IF($A175="","",K175-_xll.BDP($A175&amp;" Corp","YAS_BOND_YLD","YAS_YLD_FLAG=15","SETTLE_DT",Company_desc!$A$2))</f>
        <v/>
      </c>
      <c r="N175" s="79">
        <f>IF($A175="","",_xll.BDP($A175&amp;" Corp","YAS_OAS_SPRD"))</f>
        <v/>
      </c>
      <c r="O175" s="67">
        <f>IF($A175="","",_xll.BDP($A175&amp;" Corp","YAS_MOD_DUR"))</f>
        <v/>
      </c>
      <c r="P175" s="80">
        <f>IF($A175="","",IFERROR(INDEX(Sheet1!$P:$P,MATCH($A175,Sheet1!$A:$A,0)),""))</f>
        <v/>
      </c>
      <c r="Q175" s="75">
        <f>IF($A175="","",IFERROR(INDEX(Company_desc!$C:$C,MATCH($A175,Company_desc!$A:$A,0)),IFERROR(INDEX(Sheet1!$Q:$Q,MATCH($A175,Sheet1!$A:$A,0)),"")))</f>
        <v/>
      </c>
      <c r="R175" s="75">
        <f>IF($A175="","",_xll.BDP($A175&amp;" Corp","CRNCY"))</f>
        <v/>
      </c>
      <c r="S175" s="75">
        <f>IF($A175="","",IFERROR(INDEX(Sheet1!$S:$S,MATCH($A175,Sheet1!$A:$A,0)),""))</f>
        <v/>
      </c>
      <c r="T175" s="75">
        <f>IF($A175="","",IFERROR(INDEX(Sheet1!$T:$T,MATCH($A175,Sheet1!$A:$A,0)),_xll.BDP($A175&amp;" Corp","RTG_SP")))</f>
        <v/>
      </c>
      <c r="U175" s="75">
        <f>IF($A175="","",IFERROR(INDEX(Sheet1!$U:$U,MATCH($A175,Sheet1!$A:$A,0)),""))</f>
        <v/>
      </c>
      <c r="W175" s="81">
        <f>IF($A175="","",N175-_xll.BDP($A175&amp;" Corp","YAS_OAS_SPRD","SETTLE_DT",Company_desc!$A$1))</f>
        <v/>
      </c>
      <c r="X175" s="81">
        <f>IF($A175="","",N175-_xll.BDP($A175&amp;" Corp","YAS_OAS_SPRD","SETTLE_DT",Company_desc!$A$2))</f>
        <v/>
      </c>
      <c r="Y175" s="80">
        <f>IF($A175="","",N175-_xll.BDP($A175&amp;" Corp","YAS_OAS_SPRD","SETTLE_DT",Company_desc!$D$1))</f>
        <v/>
      </c>
      <c r="Z175" s="82">
        <f>IF($A175="","",K175-_xll.BDP($A175&amp;" Corp","YAS_BOND_YLD","YAS_YLD_FLAG=15","SETTLE_DT",Company_desc!$D$1))</f>
        <v/>
      </c>
      <c r="AA175" s="80">
        <f>IF($A175="","",_xll.BDP($A175&amp;" Corp","YAS_OAS_SPRD","SETTLE_DT",Company_desc!$D$1))</f>
        <v/>
      </c>
    </row>
    <row r="176">
      <c r="B176" s="75">
        <f>IF($A176="","",IFERROR(INDEX(Sheet1!$B:$B,MATCH($A176,Sheet1!$A:$A,0)),""))</f>
        <v/>
      </c>
      <c r="C176" s="75">
        <f>IF($A176="","",PROPER(_xll.BDP($A176&amp;" Corp","NAME")))</f>
        <v/>
      </c>
      <c r="D176" s="76">
        <f>IF($A176="","",_xll.BDP($A176&amp;" Corp","CPN"))</f>
        <v/>
      </c>
      <c r="E176" s="75">
        <f>IF($A176="","",_xll.BDP($A176&amp;" Corp","PAYMENT_RANK"))</f>
        <v/>
      </c>
      <c r="F176" s="100">
        <f>IF($A176="","",_xll.BDP($A176&amp;" Corp","MATURITY"))</f>
        <v/>
      </c>
      <c r="G176" s="75">
        <f>IF($A176="","",PROPER(_xll.BDP($A176&amp;" Corp","COUNTRY_FULL_NAME")))</f>
        <v/>
      </c>
      <c r="H176" s="75">
        <f>IF($A176="","",_xll.BDP($A176&amp;" Corp","INDUSTRY_SECTOR"))</f>
        <v/>
      </c>
      <c r="I176" s="101">
        <f>IF($A176="","",IFERROR(_xll.BDP($A176&amp;" Corp","MIN_PIECE")/1000,""))</f>
        <v/>
      </c>
      <c r="J176" s="31">
        <f>IF($A176="","",_xll.BDP($A176&amp;" Corp","PX_LAST"))</f>
        <v/>
      </c>
      <c r="K176" s="31">
        <f>IF($A176="","",_xll.BDP($A176&amp;" Corp","YAS_BOND_YLD","YAS_YLD_FLAG=15"))</f>
        <v/>
      </c>
      <c r="L176" s="31">
        <f>IF($A176="","",K176-_xll.BDP($A176&amp;" Corp","YAS_BOND_YLD","YAS_YLD_FLAG=15","SETTLE_DT",Company_desc!$A$1))</f>
        <v/>
      </c>
      <c r="M176" s="31">
        <f>IF($A176="","",K176-_xll.BDP($A176&amp;" Corp","YAS_BOND_YLD","YAS_YLD_FLAG=15","SETTLE_DT",Company_desc!$A$2))</f>
        <v/>
      </c>
      <c r="N176" s="79">
        <f>IF($A176="","",_xll.BDP($A176&amp;" Corp","YAS_OAS_SPRD"))</f>
        <v/>
      </c>
      <c r="O176" s="67">
        <f>IF($A176="","",_xll.BDP($A176&amp;" Corp","YAS_MOD_DUR"))</f>
        <v/>
      </c>
      <c r="P176" s="80">
        <f>IF($A176="","",IFERROR(INDEX(Sheet1!$P:$P,MATCH($A176,Sheet1!$A:$A,0)),""))</f>
        <v/>
      </c>
      <c r="Q176" s="75">
        <f>IF($A176="","",IFERROR(INDEX(Company_desc!$C:$C,MATCH($A176,Company_desc!$A:$A,0)),IFERROR(INDEX(Sheet1!$Q:$Q,MATCH($A176,Sheet1!$A:$A,0)),"")))</f>
        <v/>
      </c>
      <c r="R176" s="75">
        <f>IF($A176="","",_xll.BDP($A176&amp;" Corp","CRNCY"))</f>
        <v/>
      </c>
      <c r="S176" s="75">
        <f>IF($A176="","",IFERROR(INDEX(Sheet1!$S:$S,MATCH($A176,Sheet1!$A:$A,0)),""))</f>
        <v/>
      </c>
      <c r="T176" s="75">
        <f>IF($A176="","",IFERROR(INDEX(Sheet1!$T:$T,MATCH($A176,Sheet1!$A:$A,0)),_xll.BDP($A176&amp;" Corp","RTG_SP")))</f>
        <v/>
      </c>
      <c r="U176" s="75">
        <f>IF($A176="","",IFERROR(INDEX(Sheet1!$U:$U,MATCH($A176,Sheet1!$A:$A,0)),""))</f>
        <v/>
      </c>
      <c r="W176" s="81">
        <f>IF($A176="","",N176-_xll.BDP($A176&amp;" Corp","YAS_OAS_SPRD","SETTLE_DT",Company_desc!$A$1))</f>
        <v/>
      </c>
      <c r="X176" s="81">
        <f>IF($A176="","",N176-_xll.BDP($A176&amp;" Corp","YAS_OAS_SPRD","SETTLE_DT",Company_desc!$A$2))</f>
        <v/>
      </c>
      <c r="Y176" s="80">
        <f>IF($A176="","",N176-_xll.BDP($A176&amp;" Corp","YAS_OAS_SPRD","SETTLE_DT",Company_desc!$D$1))</f>
        <v/>
      </c>
      <c r="Z176" s="82">
        <f>IF($A176="","",K176-_xll.BDP($A176&amp;" Corp","YAS_BOND_YLD","YAS_YLD_FLAG=15","SETTLE_DT",Company_desc!$D$1))</f>
        <v/>
      </c>
      <c r="AA176" s="80">
        <f>IF($A176="","",_xll.BDP($A176&amp;" Corp","YAS_OAS_SPRD","SETTLE_DT",Company_desc!$D$1))</f>
        <v/>
      </c>
    </row>
    <row r="177">
      <c r="B177" s="75">
        <f>IF($A177="","",IFERROR(INDEX(Sheet1!$B:$B,MATCH($A177,Sheet1!$A:$A,0)),""))</f>
        <v/>
      </c>
      <c r="C177" s="75">
        <f>IF($A177="","",PROPER(_xll.BDP($A177&amp;" Corp","NAME")))</f>
        <v/>
      </c>
      <c r="D177" s="76">
        <f>IF($A177="","",_xll.BDP($A177&amp;" Corp","CPN"))</f>
        <v/>
      </c>
      <c r="E177" s="75">
        <f>IF($A177="","",_xll.BDP($A177&amp;" Corp","PAYMENT_RANK"))</f>
        <v/>
      </c>
      <c r="F177" s="100">
        <f>IF($A177="","",_xll.BDP($A177&amp;" Corp","MATURITY"))</f>
        <v/>
      </c>
      <c r="G177" s="75">
        <f>IF($A177="","",PROPER(_xll.BDP($A177&amp;" Corp","COUNTRY_FULL_NAME")))</f>
        <v/>
      </c>
      <c r="H177" s="75">
        <f>IF($A177="","",_xll.BDP($A177&amp;" Corp","INDUSTRY_SECTOR"))</f>
        <v/>
      </c>
      <c r="I177" s="101">
        <f>IF($A177="","",IFERROR(_xll.BDP($A177&amp;" Corp","MIN_PIECE")/1000,""))</f>
        <v/>
      </c>
      <c r="J177" s="31">
        <f>IF($A177="","",_xll.BDP($A177&amp;" Corp","PX_LAST"))</f>
        <v/>
      </c>
      <c r="K177" s="31">
        <f>IF($A177="","",_xll.BDP($A177&amp;" Corp","YAS_BOND_YLD","YAS_YLD_FLAG=15"))</f>
        <v/>
      </c>
      <c r="L177" s="31">
        <f>IF($A177="","",K177-_xll.BDP($A177&amp;" Corp","YAS_BOND_YLD","YAS_YLD_FLAG=15","SETTLE_DT",Company_desc!$A$1))</f>
        <v/>
      </c>
      <c r="M177" s="31">
        <f>IF($A177="","",K177-_xll.BDP($A177&amp;" Corp","YAS_BOND_YLD","YAS_YLD_FLAG=15","SETTLE_DT",Company_desc!$A$2))</f>
        <v/>
      </c>
      <c r="N177" s="79">
        <f>IF($A177="","",_xll.BDP($A177&amp;" Corp","YAS_OAS_SPRD"))</f>
        <v/>
      </c>
      <c r="O177" s="67">
        <f>IF($A177="","",_xll.BDP($A177&amp;" Corp","YAS_MOD_DUR"))</f>
        <v/>
      </c>
      <c r="P177" s="80">
        <f>IF($A177="","",IFERROR(INDEX(Sheet1!$P:$P,MATCH($A177,Sheet1!$A:$A,0)),""))</f>
        <v/>
      </c>
      <c r="Q177" s="75">
        <f>IF($A177="","",IFERROR(INDEX(Company_desc!$C:$C,MATCH($A177,Company_desc!$A:$A,0)),IFERROR(INDEX(Sheet1!$Q:$Q,MATCH($A177,Sheet1!$A:$A,0)),"")))</f>
        <v/>
      </c>
      <c r="R177" s="75">
        <f>IF($A177="","",_xll.BDP($A177&amp;" Corp","CRNCY"))</f>
        <v/>
      </c>
      <c r="S177" s="75">
        <f>IF($A177="","",IFERROR(INDEX(Sheet1!$S:$S,MATCH($A177,Sheet1!$A:$A,0)),""))</f>
        <v/>
      </c>
      <c r="T177" s="75">
        <f>IF($A177="","",IFERROR(INDEX(Sheet1!$T:$T,MATCH($A177,Sheet1!$A:$A,0)),_xll.BDP($A177&amp;" Corp","RTG_SP")))</f>
        <v/>
      </c>
      <c r="U177" s="75">
        <f>IF($A177="","",IFERROR(INDEX(Sheet1!$U:$U,MATCH($A177,Sheet1!$A:$A,0)),""))</f>
        <v/>
      </c>
      <c r="W177" s="81">
        <f>IF($A177="","",N177-_xll.BDP($A177&amp;" Corp","YAS_OAS_SPRD","SETTLE_DT",Company_desc!$A$1))</f>
        <v/>
      </c>
      <c r="X177" s="81">
        <f>IF($A177="","",N177-_xll.BDP($A177&amp;" Corp","YAS_OAS_SPRD","SETTLE_DT",Company_desc!$A$2))</f>
        <v/>
      </c>
      <c r="Y177" s="80">
        <f>IF($A177="","",N177-_xll.BDP($A177&amp;" Corp","YAS_OAS_SPRD","SETTLE_DT",Company_desc!$D$1))</f>
        <v/>
      </c>
      <c r="Z177" s="82">
        <f>IF($A177="","",K177-_xll.BDP($A177&amp;" Corp","YAS_BOND_YLD","YAS_YLD_FLAG=15","SETTLE_DT",Company_desc!$D$1))</f>
        <v/>
      </c>
      <c r="AA177" s="80">
        <f>IF($A177="","",_xll.BDP($A177&amp;" Corp","YAS_OAS_SPRD","SETTLE_DT",Company_desc!$D$1))</f>
        <v/>
      </c>
    </row>
    <row r="178">
      <c r="B178" s="75">
        <f>IF($A178="","",IFERROR(INDEX(Sheet1!$B:$B,MATCH($A178,Sheet1!$A:$A,0)),""))</f>
        <v/>
      </c>
      <c r="C178" s="75">
        <f>IF($A178="","",PROPER(_xll.BDP($A178&amp;" Corp","NAME")))</f>
        <v/>
      </c>
      <c r="D178" s="76">
        <f>IF($A178="","",_xll.BDP($A178&amp;" Corp","CPN"))</f>
        <v/>
      </c>
      <c r="E178" s="75">
        <f>IF($A178="","",_xll.BDP($A178&amp;" Corp","PAYMENT_RANK"))</f>
        <v/>
      </c>
      <c r="F178" s="100">
        <f>IF($A178="","",_xll.BDP($A178&amp;" Corp","MATURITY"))</f>
        <v/>
      </c>
      <c r="G178" s="75">
        <f>IF($A178="","",PROPER(_xll.BDP($A178&amp;" Corp","COUNTRY_FULL_NAME")))</f>
        <v/>
      </c>
      <c r="H178" s="75">
        <f>IF($A178="","",_xll.BDP($A178&amp;" Corp","INDUSTRY_SECTOR"))</f>
        <v/>
      </c>
      <c r="I178" s="101">
        <f>IF($A178="","",IFERROR(_xll.BDP($A178&amp;" Corp","MIN_PIECE")/1000,""))</f>
        <v/>
      </c>
      <c r="J178" s="31">
        <f>IF($A178="","",_xll.BDP($A178&amp;" Corp","PX_LAST"))</f>
        <v/>
      </c>
      <c r="K178" s="31">
        <f>IF($A178="","",_xll.BDP($A178&amp;" Corp","YAS_BOND_YLD","YAS_YLD_FLAG=15"))</f>
        <v/>
      </c>
      <c r="L178" s="31">
        <f>IF($A178="","",K178-_xll.BDP($A178&amp;" Corp","YAS_BOND_YLD","YAS_YLD_FLAG=15","SETTLE_DT",Company_desc!$A$1))</f>
        <v/>
      </c>
      <c r="M178" s="31">
        <f>IF($A178="","",K178-_xll.BDP($A178&amp;" Corp","YAS_BOND_YLD","YAS_YLD_FLAG=15","SETTLE_DT",Company_desc!$A$2))</f>
        <v/>
      </c>
      <c r="N178" s="79">
        <f>IF($A178="","",_xll.BDP($A178&amp;" Corp","YAS_OAS_SPRD"))</f>
        <v/>
      </c>
      <c r="O178" s="67">
        <f>IF($A178="","",_xll.BDP($A178&amp;" Corp","YAS_MOD_DUR"))</f>
        <v/>
      </c>
      <c r="P178" s="80">
        <f>IF($A178="","",IFERROR(INDEX(Sheet1!$P:$P,MATCH($A178,Sheet1!$A:$A,0)),""))</f>
        <v/>
      </c>
      <c r="Q178" s="75">
        <f>IF($A178="","",IFERROR(INDEX(Company_desc!$C:$C,MATCH($A178,Company_desc!$A:$A,0)),IFERROR(INDEX(Sheet1!$Q:$Q,MATCH($A178,Sheet1!$A:$A,0)),"")))</f>
        <v/>
      </c>
      <c r="R178" s="75">
        <f>IF($A178="","",_xll.BDP($A178&amp;" Corp","CRNCY"))</f>
        <v/>
      </c>
      <c r="S178" s="75">
        <f>IF($A178="","",IFERROR(INDEX(Sheet1!$S:$S,MATCH($A178,Sheet1!$A:$A,0)),""))</f>
        <v/>
      </c>
      <c r="T178" s="75">
        <f>IF($A178="","",IFERROR(INDEX(Sheet1!$T:$T,MATCH($A178,Sheet1!$A:$A,0)),_xll.BDP($A178&amp;" Corp","RTG_SP")))</f>
        <v/>
      </c>
      <c r="U178" s="75">
        <f>IF($A178="","",IFERROR(INDEX(Sheet1!$U:$U,MATCH($A178,Sheet1!$A:$A,0)),""))</f>
        <v/>
      </c>
      <c r="W178" s="81">
        <f>IF($A178="","",N178-_xll.BDP($A178&amp;" Corp","YAS_OAS_SPRD","SETTLE_DT",Company_desc!$A$1))</f>
        <v/>
      </c>
      <c r="X178" s="81">
        <f>IF($A178="","",N178-_xll.BDP($A178&amp;" Corp","YAS_OAS_SPRD","SETTLE_DT",Company_desc!$A$2))</f>
        <v/>
      </c>
      <c r="Y178" s="80">
        <f>IF($A178="","",N178-_xll.BDP($A178&amp;" Corp","YAS_OAS_SPRD","SETTLE_DT",Company_desc!$D$1))</f>
        <v/>
      </c>
      <c r="Z178" s="82">
        <f>IF($A178="","",K178-_xll.BDP($A178&amp;" Corp","YAS_BOND_YLD","YAS_YLD_FLAG=15","SETTLE_DT",Company_desc!$D$1))</f>
        <v/>
      </c>
      <c r="AA178" s="80">
        <f>IF($A178="","",_xll.BDP($A178&amp;" Corp","YAS_OAS_SPRD","SETTLE_DT",Company_desc!$D$1))</f>
        <v/>
      </c>
    </row>
    <row r="179">
      <c r="B179" s="75">
        <f>IF($A179="","",IFERROR(INDEX(Sheet1!$B:$B,MATCH($A179,Sheet1!$A:$A,0)),""))</f>
        <v/>
      </c>
      <c r="C179" s="75">
        <f>IF($A179="","",PROPER(_xll.BDP($A179&amp;" Corp","NAME")))</f>
        <v/>
      </c>
      <c r="D179" s="76">
        <f>IF($A179="","",_xll.BDP($A179&amp;" Corp","CPN"))</f>
        <v/>
      </c>
      <c r="E179" s="75">
        <f>IF($A179="","",_xll.BDP($A179&amp;" Corp","PAYMENT_RANK"))</f>
        <v/>
      </c>
      <c r="F179" s="100">
        <f>IF($A179="","",_xll.BDP($A179&amp;" Corp","MATURITY"))</f>
        <v/>
      </c>
      <c r="G179" s="75">
        <f>IF($A179="","",PROPER(_xll.BDP($A179&amp;" Corp","COUNTRY_FULL_NAME")))</f>
        <v/>
      </c>
      <c r="H179" s="75">
        <f>IF($A179="","",_xll.BDP($A179&amp;" Corp","INDUSTRY_SECTOR"))</f>
        <v/>
      </c>
      <c r="I179" s="101">
        <f>IF($A179="","",IFERROR(_xll.BDP($A179&amp;" Corp","MIN_PIECE")/1000,""))</f>
        <v/>
      </c>
      <c r="J179" s="31">
        <f>IF($A179="","",_xll.BDP($A179&amp;" Corp","PX_LAST"))</f>
        <v/>
      </c>
      <c r="K179" s="31">
        <f>IF($A179="","",_xll.BDP($A179&amp;" Corp","YAS_BOND_YLD","YAS_YLD_FLAG=15"))</f>
        <v/>
      </c>
      <c r="L179" s="31">
        <f>IF($A179="","",K179-_xll.BDP($A179&amp;" Corp","YAS_BOND_YLD","YAS_YLD_FLAG=15","SETTLE_DT",Company_desc!$A$1))</f>
        <v/>
      </c>
      <c r="M179" s="31">
        <f>IF($A179="","",K179-_xll.BDP($A179&amp;" Corp","YAS_BOND_YLD","YAS_YLD_FLAG=15","SETTLE_DT",Company_desc!$A$2))</f>
        <v/>
      </c>
      <c r="N179" s="79">
        <f>IF($A179="","",_xll.BDP($A179&amp;" Corp","YAS_OAS_SPRD"))</f>
        <v/>
      </c>
      <c r="O179" s="67">
        <f>IF($A179="","",_xll.BDP($A179&amp;" Corp","YAS_MOD_DUR"))</f>
        <v/>
      </c>
      <c r="P179" s="80">
        <f>IF($A179="","",IFERROR(INDEX(Sheet1!$P:$P,MATCH($A179,Sheet1!$A:$A,0)),""))</f>
        <v/>
      </c>
      <c r="Q179" s="75">
        <f>IF($A179="","",IFERROR(INDEX(Company_desc!$C:$C,MATCH($A179,Company_desc!$A:$A,0)),IFERROR(INDEX(Sheet1!$Q:$Q,MATCH($A179,Sheet1!$A:$A,0)),"")))</f>
        <v/>
      </c>
      <c r="R179" s="75">
        <f>IF($A179="","",_xll.BDP($A179&amp;" Corp","CRNCY"))</f>
        <v/>
      </c>
      <c r="S179" s="75">
        <f>IF($A179="","",IFERROR(INDEX(Sheet1!$S:$S,MATCH($A179,Sheet1!$A:$A,0)),""))</f>
        <v/>
      </c>
      <c r="T179" s="75">
        <f>IF($A179="","",IFERROR(INDEX(Sheet1!$T:$T,MATCH($A179,Sheet1!$A:$A,0)),_xll.BDP($A179&amp;" Corp","RTG_SP")))</f>
        <v/>
      </c>
      <c r="U179" s="75">
        <f>IF($A179="","",IFERROR(INDEX(Sheet1!$U:$U,MATCH($A179,Sheet1!$A:$A,0)),""))</f>
        <v/>
      </c>
      <c r="W179" s="81">
        <f>IF($A179="","",N179-_xll.BDP($A179&amp;" Corp","YAS_OAS_SPRD","SETTLE_DT",Company_desc!$A$1))</f>
        <v/>
      </c>
      <c r="X179" s="81">
        <f>IF($A179="","",N179-_xll.BDP($A179&amp;" Corp","YAS_OAS_SPRD","SETTLE_DT",Company_desc!$A$2))</f>
        <v/>
      </c>
      <c r="Y179" s="80">
        <f>IF($A179="","",N179-_xll.BDP($A179&amp;" Corp","YAS_OAS_SPRD","SETTLE_DT",Company_desc!$D$1))</f>
        <v/>
      </c>
      <c r="Z179" s="82">
        <f>IF($A179="","",K179-_xll.BDP($A179&amp;" Corp","YAS_BOND_YLD","YAS_YLD_FLAG=15","SETTLE_DT",Company_desc!$D$1))</f>
        <v/>
      </c>
      <c r="AA179" s="80">
        <f>IF($A179="","",_xll.BDP($A179&amp;" Corp","YAS_OAS_SPRD","SETTLE_DT",Company_desc!$D$1))</f>
        <v/>
      </c>
    </row>
    <row r="180">
      <c r="B180" s="75">
        <f>IF($A180="","",IFERROR(INDEX(Sheet1!$B:$B,MATCH($A180,Sheet1!$A:$A,0)),""))</f>
        <v/>
      </c>
      <c r="C180" s="75">
        <f>IF($A180="","",PROPER(_xll.BDP($A180&amp;" Corp","NAME")))</f>
        <v/>
      </c>
      <c r="D180" s="76">
        <f>IF($A180="","",_xll.BDP($A180&amp;" Corp","CPN"))</f>
        <v/>
      </c>
      <c r="E180" s="75">
        <f>IF($A180="","",_xll.BDP($A180&amp;" Corp","PAYMENT_RANK"))</f>
        <v/>
      </c>
      <c r="F180" s="100">
        <f>IF($A180="","",_xll.BDP($A180&amp;" Corp","MATURITY"))</f>
        <v/>
      </c>
      <c r="G180" s="75">
        <f>IF($A180="","",PROPER(_xll.BDP($A180&amp;" Corp","COUNTRY_FULL_NAME")))</f>
        <v/>
      </c>
      <c r="H180" s="75">
        <f>IF($A180="","",_xll.BDP($A180&amp;" Corp","INDUSTRY_SECTOR"))</f>
        <v/>
      </c>
      <c r="I180" s="101">
        <f>IF($A180="","",IFERROR(_xll.BDP($A180&amp;" Corp","MIN_PIECE")/1000,""))</f>
        <v/>
      </c>
      <c r="J180" s="31">
        <f>IF($A180="","",_xll.BDP($A180&amp;" Corp","PX_LAST"))</f>
        <v/>
      </c>
      <c r="K180" s="31">
        <f>IF($A180="","",_xll.BDP($A180&amp;" Corp","YAS_BOND_YLD","YAS_YLD_FLAG=15"))</f>
        <v/>
      </c>
      <c r="L180" s="31">
        <f>IF($A180="","",K180-_xll.BDP($A180&amp;" Corp","YAS_BOND_YLD","YAS_YLD_FLAG=15","SETTLE_DT",Company_desc!$A$1))</f>
        <v/>
      </c>
      <c r="M180" s="31">
        <f>IF($A180="","",K180-_xll.BDP($A180&amp;" Corp","YAS_BOND_YLD","YAS_YLD_FLAG=15","SETTLE_DT",Company_desc!$A$2))</f>
        <v/>
      </c>
      <c r="N180" s="79">
        <f>IF($A180="","",_xll.BDP($A180&amp;" Corp","YAS_OAS_SPRD"))</f>
        <v/>
      </c>
      <c r="O180" s="67">
        <f>IF($A180="","",_xll.BDP($A180&amp;" Corp","YAS_MOD_DUR"))</f>
        <v/>
      </c>
      <c r="P180" s="80">
        <f>IF($A180="","",IFERROR(INDEX(Sheet1!$P:$P,MATCH($A180,Sheet1!$A:$A,0)),""))</f>
        <v/>
      </c>
      <c r="Q180" s="75">
        <f>IF($A180="","",IFERROR(INDEX(Company_desc!$C:$C,MATCH($A180,Company_desc!$A:$A,0)),IFERROR(INDEX(Sheet1!$Q:$Q,MATCH($A180,Sheet1!$A:$A,0)),"")))</f>
        <v/>
      </c>
      <c r="R180" s="75">
        <f>IF($A180="","",_xll.BDP($A180&amp;" Corp","CRNCY"))</f>
        <v/>
      </c>
      <c r="S180" s="75">
        <f>IF($A180="","",IFERROR(INDEX(Sheet1!$S:$S,MATCH($A180,Sheet1!$A:$A,0)),""))</f>
        <v/>
      </c>
      <c r="T180" s="75">
        <f>IF($A180="","",IFERROR(INDEX(Sheet1!$T:$T,MATCH($A180,Sheet1!$A:$A,0)),_xll.BDP($A180&amp;" Corp","RTG_SP")))</f>
        <v/>
      </c>
      <c r="U180" s="75">
        <f>IF($A180="","",IFERROR(INDEX(Sheet1!$U:$U,MATCH($A180,Sheet1!$A:$A,0)),""))</f>
        <v/>
      </c>
      <c r="W180" s="81">
        <f>IF($A180="","",N180-_xll.BDP($A180&amp;" Corp","YAS_OAS_SPRD","SETTLE_DT",Company_desc!$A$1))</f>
        <v/>
      </c>
      <c r="X180" s="81">
        <f>IF($A180="","",N180-_xll.BDP($A180&amp;" Corp","YAS_OAS_SPRD","SETTLE_DT",Company_desc!$A$2))</f>
        <v/>
      </c>
      <c r="Y180" s="80">
        <f>IF($A180="","",N180-_xll.BDP($A180&amp;" Corp","YAS_OAS_SPRD","SETTLE_DT",Company_desc!$D$1))</f>
        <v/>
      </c>
      <c r="Z180" s="82">
        <f>IF($A180="","",K180-_xll.BDP($A180&amp;" Corp","YAS_BOND_YLD","YAS_YLD_FLAG=15","SETTLE_DT",Company_desc!$D$1))</f>
        <v/>
      </c>
      <c r="AA180" s="80">
        <f>IF($A180="","",_xll.BDP($A180&amp;" Corp","YAS_OAS_SPRD","SETTLE_DT",Company_desc!$D$1))</f>
        <v/>
      </c>
    </row>
    <row r="181">
      <c r="B181" s="75">
        <f>IF($A181="","",IFERROR(INDEX(Sheet1!$B:$B,MATCH($A181,Sheet1!$A:$A,0)),""))</f>
        <v/>
      </c>
      <c r="C181" s="75">
        <f>IF($A181="","",PROPER(_xll.BDP($A181&amp;" Corp","NAME")))</f>
        <v/>
      </c>
      <c r="D181" s="76">
        <f>IF($A181="","",_xll.BDP($A181&amp;" Corp","CPN"))</f>
        <v/>
      </c>
      <c r="E181" s="75">
        <f>IF($A181="","",_xll.BDP($A181&amp;" Corp","PAYMENT_RANK"))</f>
        <v/>
      </c>
      <c r="F181" s="100">
        <f>IF($A181="","",_xll.BDP($A181&amp;" Corp","MATURITY"))</f>
        <v/>
      </c>
      <c r="G181" s="75">
        <f>IF($A181="","",PROPER(_xll.BDP($A181&amp;" Corp","COUNTRY_FULL_NAME")))</f>
        <v/>
      </c>
      <c r="H181" s="75">
        <f>IF($A181="","",_xll.BDP($A181&amp;" Corp","INDUSTRY_SECTOR"))</f>
        <v/>
      </c>
      <c r="I181" s="101">
        <f>IF($A181="","",IFERROR(_xll.BDP($A181&amp;" Corp","MIN_PIECE")/1000,""))</f>
        <v/>
      </c>
      <c r="J181" s="31">
        <f>IF($A181="","",_xll.BDP($A181&amp;" Corp","PX_LAST"))</f>
        <v/>
      </c>
      <c r="K181" s="31">
        <f>IF($A181="","",_xll.BDP($A181&amp;" Corp","YAS_BOND_YLD","YAS_YLD_FLAG=15"))</f>
        <v/>
      </c>
      <c r="L181" s="31">
        <f>IF($A181="","",K181-_xll.BDP($A181&amp;" Corp","YAS_BOND_YLD","YAS_YLD_FLAG=15","SETTLE_DT",Company_desc!$A$1))</f>
        <v/>
      </c>
      <c r="M181" s="31">
        <f>IF($A181="","",K181-_xll.BDP($A181&amp;" Corp","YAS_BOND_YLD","YAS_YLD_FLAG=15","SETTLE_DT",Company_desc!$A$2))</f>
        <v/>
      </c>
      <c r="N181" s="79">
        <f>IF($A181="","",_xll.BDP($A181&amp;" Corp","YAS_OAS_SPRD"))</f>
        <v/>
      </c>
      <c r="O181" s="67">
        <f>IF($A181="","",_xll.BDP($A181&amp;" Corp","YAS_MOD_DUR"))</f>
        <v/>
      </c>
      <c r="P181" s="80">
        <f>IF($A181="","",IFERROR(INDEX(Sheet1!$P:$P,MATCH($A181,Sheet1!$A:$A,0)),""))</f>
        <v/>
      </c>
      <c r="Q181" s="75">
        <f>IF($A181="","",IFERROR(INDEX(Company_desc!$C:$C,MATCH($A181,Company_desc!$A:$A,0)),IFERROR(INDEX(Sheet1!$Q:$Q,MATCH($A181,Sheet1!$A:$A,0)),"")))</f>
        <v/>
      </c>
      <c r="R181" s="75">
        <f>IF($A181="","",_xll.BDP($A181&amp;" Corp","CRNCY"))</f>
        <v/>
      </c>
      <c r="S181" s="75">
        <f>IF($A181="","",IFERROR(INDEX(Sheet1!$S:$S,MATCH($A181,Sheet1!$A:$A,0)),""))</f>
        <v/>
      </c>
      <c r="T181" s="75">
        <f>IF($A181="","",IFERROR(INDEX(Sheet1!$T:$T,MATCH($A181,Sheet1!$A:$A,0)),_xll.BDP($A181&amp;" Corp","RTG_SP")))</f>
        <v/>
      </c>
      <c r="U181" s="75">
        <f>IF($A181="","",IFERROR(INDEX(Sheet1!$U:$U,MATCH($A181,Sheet1!$A:$A,0)),""))</f>
        <v/>
      </c>
      <c r="W181" s="81">
        <f>IF($A181="","",N181-_xll.BDP($A181&amp;" Corp","YAS_OAS_SPRD","SETTLE_DT",Company_desc!$A$1))</f>
        <v/>
      </c>
      <c r="X181" s="81">
        <f>IF($A181="","",N181-_xll.BDP($A181&amp;" Corp","YAS_OAS_SPRD","SETTLE_DT",Company_desc!$A$2))</f>
        <v/>
      </c>
      <c r="Y181" s="80">
        <f>IF($A181="","",N181-_xll.BDP($A181&amp;" Corp","YAS_OAS_SPRD","SETTLE_DT",Company_desc!$D$1))</f>
        <v/>
      </c>
      <c r="Z181" s="82">
        <f>IF($A181="","",K181-_xll.BDP($A181&amp;" Corp","YAS_BOND_YLD","YAS_YLD_FLAG=15","SETTLE_DT",Company_desc!$D$1))</f>
        <v/>
      </c>
      <c r="AA181" s="80">
        <f>IF($A181="","",_xll.BDP($A181&amp;" Corp","YAS_OAS_SPRD","SETTLE_DT",Company_desc!$D$1))</f>
        <v/>
      </c>
    </row>
    <row r="182">
      <c r="B182" s="75">
        <f>IF($A182="","",IFERROR(INDEX(Sheet1!$B:$B,MATCH($A182,Sheet1!$A:$A,0)),""))</f>
        <v/>
      </c>
      <c r="C182" s="75">
        <f>IF($A182="","",PROPER(_xll.BDP($A182&amp;" Corp","NAME")))</f>
        <v/>
      </c>
      <c r="D182" s="76">
        <f>IF($A182="","",_xll.BDP($A182&amp;" Corp","CPN"))</f>
        <v/>
      </c>
      <c r="E182" s="75">
        <f>IF($A182="","",_xll.BDP($A182&amp;" Corp","PAYMENT_RANK"))</f>
        <v/>
      </c>
      <c r="F182" s="100">
        <f>IF($A182="","",_xll.BDP($A182&amp;" Corp","MATURITY"))</f>
        <v/>
      </c>
      <c r="G182" s="75">
        <f>IF($A182="","",PROPER(_xll.BDP($A182&amp;" Corp","COUNTRY_FULL_NAME")))</f>
        <v/>
      </c>
      <c r="H182" s="75">
        <f>IF($A182="","",_xll.BDP($A182&amp;" Corp","INDUSTRY_SECTOR"))</f>
        <v/>
      </c>
      <c r="I182" s="101">
        <f>IF($A182="","",IFERROR(_xll.BDP($A182&amp;" Corp","MIN_PIECE")/1000,""))</f>
        <v/>
      </c>
      <c r="J182" s="31">
        <f>IF($A182="","",_xll.BDP($A182&amp;" Corp","PX_LAST"))</f>
        <v/>
      </c>
      <c r="K182" s="31">
        <f>IF($A182="","",_xll.BDP($A182&amp;" Corp","YAS_BOND_YLD","YAS_YLD_FLAG=15"))</f>
        <v/>
      </c>
      <c r="L182" s="31">
        <f>IF($A182="","",K182-_xll.BDP($A182&amp;" Corp","YAS_BOND_YLD","YAS_YLD_FLAG=15","SETTLE_DT",Company_desc!$A$1))</f>
        <v/>
      </c>
      <c r="M182" s="31">
        <f>IF($A182="","",K182-_xll.BDP($A182&amp;" Corp","YAS_BOND_YLD","YAS_YLD_FLAG=15","SETTLE_DT",Company_desc!$A$2))</f>
        <v/>
      </c>
      <c r="N182" s="79">
        <f>IF($A182="","",_xll.BDP($A182&amp;" Corp","YAS_OAS_SPRD"))</f>
        <v/>
      </c>
      <c r="O182" s="67">
        <f>IF($A182="","",_xll.BDP($A182&amp;" Corp","YAS_MOD_DUR"))</f>
        <v/>
      </c>
      <c r="P182" s="80">
        <f>IF($A182="","",IFERROR(INDEX(Sheet1!$P:$P,MATCH($A182,Sheet1!$A:$A,0)),""))</f>
        <v/>
      </c>
      <c r="Q182" s="75">
        <f>IF($A182="","",IFERROR(INDEX(Company_desc!$C:$C,MATCH($A182,Company_desc!$A:$A,0)),IFERROR(INDEX(Sheet1!$Q:$Q,MATCH($A182,Sheet1!$A:$A,0)),"")))</f>
        <v/>
      </c>
      <c r="R182" s="75">
        <f>IF($A182="","",_xll.BDP($A182&amp;" Corp","CRNCY"))</f>
        <v/>
      </c>
      <c r="S182" s="75">
        <f>IF($A182="","",IFERROR(INDEX(Sheet1!$S:$S,MATCH($A182,Sheet1!$A:$A,0)),""))</f>
        <v/>
      </c>
      <c r="T182" s="75">
        <f>IF($A182="","",IFERROR(INDEX(Sheet1!$T:$T,MATCH($A182,Sheet1!$A:$A,0)),_xll.BDP($A182&amp;" Corp","RTG_SP")))</f>
        <v/>
      </c>
      <c r="U182" s="75">
        <f>IF($A182="","",IFERROR(INDEX(Sheet1!$U:$U,MATCH($A182,Sheet1!$A:$A,0)),""))</f>
        <v/>
      </c>
      <c r="W182" s="81">
        <f>IF($A182="","",N182-_xll.BDP($A182&amp;" Corp","YAS_OAS_SPRD","SETTLE_DT",Company_desc!$A$1))</f>
        <v/>
      </c>
      <c r="X182" s="81">
        <f>IF($A182="","",N182-_xll.BDP($A182&amp;" Corp","YAS_OAS_SPRD","SETTLE_DT",Company_desc!$A$2))</f>
        <v/>
      </c>
      <c r="Y182" s="80">
        <f>IF($A182="","",N182-_xll.BDP($A182&amp;" Corp","YAS_OAS_SPRD","SETTLE_DT",Company_desc!$D$1))</f>
        <v/>
      </c>
      <c r="Z182" s="82">
        <f>IF($A182="","",K182-_xll.BDP($A182&amp;" Corp","YAS_BOND_YLD","YAS_YLD_FLAG=15","SETTLE_DT",Company_desc!$D$1))</f>
        <v/>
      </c>
      <c r="AA182" s="80">
        <f>IF($A182="","",_xll.BDP($A182&amp;" Corp","YAS_OAS_SPRD","SETTLE_DT",Company_desc!$D$1))</f>
        <v/>
      </c>
    </row>
    <row r="183">
      <c r="B183" s="75">
        <f>IF($A183="","",IFERROR(INDEX(Sheet1!$B:$B,MATCH($A183,Sheet1!$A:$A,0)),""))</f>
        <v/>
      </c>
      <c r="C183" s="75">
        <f>IF($A183="","",PROPER(_xll.BDP($A183&amp;" Corp","NAME")))</f>
        <v/>
      </c>
      <c r="D183" s="76">
        <f>IF($A183="","",_xll.BDP($A183&amp;" Corp","CPN"))</f>
        <v/>
      </c>
      <c r="E183" s="75">
        <f>IF($A183="","",_xll.BDP($A183&amp;" Corp","PAYMENT_RANK"))</f>
        <v/>
      </c>
      <c r="F183" s="100">
        <f>IF($A183="","",_xll.BDP($A183&amp;" Corp","MATURITY"))</f>
        <v/>
      </c>
      <c r="G183" s="75">
        <f>IF($A183="","",PROPER(_xll.BDP($A183&amp;" Corp","COUNTRY_FULL_NAME")))</f>
        <v/>
      </c>
      <c r="H183" s="75">
        <f>IF($A183="","",_xll.BDP($A183&amp;" Corp","INDUSTRY_SECTOR"))</f>
        <v/>
      </c>
      <c r="I183" s="101">
        <f>IF($A183="","",IFERROR(_xll.BDP($A183&amp;" Corp","MIN_PIECE")/1000,""))</f>
        <v/>
      </c>
      <c r="J183" s="31">
        <f>IF($A183="","",_xll.BDP($A183&amp;" Corp","PX_LAST"))</f>
        <v/>
      </c>
      <c r="K183" s="31">
        <f>IF($A183="","",_xll.BDP($A183&amp;" Corp","YAS_BOND_YLD","YAS_YLD_FLAG=15"))</f>
        <v/>
      </c>
      <c r="L183" s="31">
        <f>IF($A183="","",K183-_xll.BDP($A183&amp;" Corp","YAS_BOND_YLD","YAS_YLD_FLAG=15","SETTLE_DT",Company_desc!$A$1))</f>
        <v/>
      </c>
      <c r="M183" s="31">
        <f>IF($A183="","",K183-_xll.BDP($A183&amp;" Corp","YAS_BOND_YLD","YAS_YLD_FLAG=15","SETTLE_DT",Company_desc!$A$2))</f>
        <v/>
      </c>
      <c r="N183" s="79">
        <f>IF($A183="","",_xll.BDP($A183&amp;" Corp","YAS_OAS_SPRD"))</f>
        <v/>
      </c>
      <c r="O183" s="67">
        <f>IF($A183="","",_xll.BDP($A183&amp;" Corp","YAS_MOD_DUR"))</f>
        <v/>
      </c>
      <c r="P183" s="80">
        <f>IF($A183="","",IFERROR(INDEX(Sheet1!$P:$P,MATCH($A183,Sheet1!$A:$A,0)),""))</f>
        <v/>
      </c>
      <c r="Q183" s="75">
        <f>IF($A183="","",IFERROR(INDEX(Company_desc!$C:$C,MATCH($A183,Company_desc!$A:$A,0)),IFERROR(INDEX(Sheet1!$Q:$Q,MATCH($A183,Sheet1!$A:$A,0)),"")))</f>
        <v/>
      </c>
      <c r="R183" s="75">
        <f>IF($A183="","",_xll.BDP($A183&amp;" Corp","CRNCY"))</f>
        <v/>
      </c>
      <c r="S183" s="75">
        <f>IF($A183="","",IFERROR(INDEX(Sheet1!$S:$S,MATCH($A183,Sheet1!$A:$A,0)),""))</f>
        <v/>
      </c>
      <c r="T183" s="75">
        <f>IF($A183="","",IFERROR(INDEX(Sheet1!$T:$T,MATCH($A183,Sheet1!$A:$A,0)),_xll.BDP($A183&amp;" Corp","RTG_SP")))</f>
        <v/>
      </c>
      <c r="U183" s="75">
        <f>IF($A183="","",IFERROR(INDEX(Sheet1!$U:$U,MATCH($A183,Sheet1!$A:$A,0)),""))</f>
        <v/>
      </c>
      <c r="W183" s="81">
        <f>IF($A183="","",N183-_xll.BDP($A183&amp;" Corp","YAS_OAS_SPRD","SETTLE_DT",Company_desc!$A$1))</f>
        <v/>
      </c>
      <c r="X183" s="81">
        <f>IF($A183="","",N183-_xll.BDP($A183&amp;" Corp","YAS_OAS_SPRD","SETTLE_DT",Company_desc!$A$2))</f>
        <v/>
      </c>
      <c r="Y183" s="80">
        <f>IF($A183="","",N183-_xll.BDP($A183&amp;" Corp","YAS_OAS_SPRD","SETTLE_DT",Company_desc!$D$1))</f>
        <v/>
      </c>
      <c r="Z183" s="82">
        <f>IF($A183="","",K183-_xll.BDP($A183&amp;" Corp","YAS_BOND_YLD","YAS_YLD_FLAG=15","SETTLE_DT",Company_desc!$D$1))</f>
        <v/>
      </c>
      <c r="AA183" s="80">
        <f>IF($A183="","",_xll.BDP($A183&amp;" Corp","YAS_OAS_SPRD","SETTLE_DT",Company_desc!$D$1))</f>
        <v/>
      </c>
    </row>
    <row r="184">
      <c r="B184" s="75">
        <f>IF($A184="","",IFERROR(INDEX(Sheet1!$B:$B,MATCH($A184,Sheet1!$A:$A,0)),""))</f>
        <v/>
      </c>
      <c r="C184" s="75">
        <f>IF($A184="","",PROPER(_xll.BDP($A184&amp;" Corp","NAME")))</f>
        <v/>
      </c>
      <c r="D184" s="76">
        <f>IF($A184="","",_xll.BDP($A184&amp;" Corp","CPN"))</f>
        <v/>
      </c>
      <c r="E184" s="75">
        <f>IF($A184="","",_xll.BDP($A184&amp;" Corp","PAYMENT_RANK"))</f>
        <v/>
      </c>
      <c r="F184" s="100">
        <f>IF($A184="","",_xll.BDP($A184&amp;" Corp","MATURITY"))</f>
        <v/>
      </c>
      <c r="G184" s="75">
        <f>IF($A184="","",PROPER(_xll.BDP($A184&amp;" Corp","COUNTRY_FULL_NAME")))</f>
        <v/>
      </c>
      <c r="H184" s="75">
        <f>IF($A184="","",_xll.BDP($A184&amp;" Corp","INDUSTRY_SECTOR"))</f>
        <v/>
      </c>
      <c r="I184" s="101">
        <f>IF($A184="","",IFERROR(_xll.BDP($A184&amp;" Corp","MIN_PIECE")/1000,""))</f>
        <v/>
      </c>
      <c r="J184" s="31">
        <f>IF($A184="","",_xll.BDP($A184&amp;" Corp","PX_LAST"))</f>
        <v/>
      </c>
      <c r="K184" s="31">
        <f>IF($A184="","",_xll.BDP($A184&amp;" Corp","YAS_BOND_YLD","YAS_YLD_FLAG=15"))</f>
        <v/>
      </c>
      <c r="L184" s="31">
        <f>IF($A184="","",K184-_xll.BDP($A184&amp;" Corp","YAS_BOND_YLD","YAS_YLD_FLAG=15","SETTLE_DT",Company_desc!$A$1))</f>
        <v/>
      </c>
      <c r="M184" s="31">
        <f>IF($A184="","",K184-_xll.BDP($A184&amp;" Corp","YAS_BOND_YLD","YAS_YLD_FLAG=15","SETTLE_DT",Company_desc!$A$2))</f>
        <v/>
      </c>
      <c r="N184" s="79">
        <f>IF($A184="","",_xll.BDP($A184&amp;" Corp","YAS_OAS_SPRD"))</f>
        <v/>
      </c>
      <c r="O184" s="67">
        <f>IF($A184="","",_xll.BDP($A184&amp;" Corp","YAS_MOD_DUR"))</f>
        <v/>
      </c>
      <c r="P184" s="80">
        <f>IF($A184="","",IFERROR(INDEX(Sheet1!$P:$P,MATCH($A184,Sheet1!$A:$A,0)),""))</f>
        <v/>
      </c>
      <c r="Q184" s="75">
        <f>IF($A184="","",IFERROR(INDEX(Company_desc!$C:$C,MATCH($A184,Company_desc!$A:$A,0)),IFERROR(INDEX(Sheet1!$Q:$Q,MATCH($A184,Sheet1!$A:$A,0)),"")))</f>
        <v/>
      </c>
      <c r="R184" s="75">
        <f>IF($A184="","",_xll.BDP($A184&amp;" Corp","CRNCY"))</f>
        <v/>
      </c>
      <c r="S184" s="75">
        <f>IF($A184="","",IFERROR(INDEX(Sheet1!$S:$S,MATCH($A184,Sheet1!$A:$A,0)),""))</f>
        <v/>
      </c>
      <c r="T184" s="75">
        <f>IF($A184="","",IFERROR(INDEX(Sheet1!$T:$T,MATCH($A184,Sheet1!$A:$A,0)),_xll.BDP($A184&amp;" Corp","RTG_SP")))</f>
        <v/>
      </c>
      <c r="U184" s="75">
        <f>IF($A184="","",IFERROR(INDEX(Sheet1!$U:$U,MATCH($A184,Sheet1!$A:$A,0)),""))</f>
        <v/>
      </c>
      <c r="W184" s="81">
        <f>IF($A184="","",N184-_xll.BDP($A184&amp;" Corp","YAS_OAS_SPRD","SETTLE_DT",Company_desc!$A$1))</f>
        <v/>
      </c>
      <c r="X184" s="81">
        <f>IF($A184="","",N184-_xll.BDP($A184&amp;" Corp","YAS_OAS_SPRD","SETTLE_DT",Company_desc!$A$2))</f>
        <v/>
      </c>
      <c r="Y184" s="80">
        <f>IF($A184="","",N184-_xll.BDP($A184&amp;" Corp","YAS_OAS_SPRD","SETTLE_DT",Company_desc!$D$1))</f>
        <v/>
      </c>
      <c r="Z184" s="82">
        <f>IF($A184="","",K184-_xll.BDP($A184&amp;" Corp","YAS_BOND_YLD","YAS_YLD_FLAG=15","SETTLE_DT",Company_desc!$D$1))</f>
        <v/>
      </c>
      <c r="AA184" s="80">
        <f>IF($A184="","",_xll.BDP($A184&amp;" Corp","YAS_OAS_SPRD","SETTLE_DT",Company_desc!$D$1))</f>
        <v/>
      </c>
    </row>
    <row r="185">
      <c r="B185" s="75">
        <f>IF($A185="","",IFERROR(INDEX(Sheet1!$B:$B,MATCH($A185,Sheet1!$A:$A,0)),""))</f>
        <v/>
      </c>
      <c r="C185" s="75">
        <f>IF($A185="","",PROPER(_xll.BDP($A185&amp;" Corp","NAME")))</f>
        <v/>
      </c>
      <c r="D185" s="76">
        <f>IF($A185="","",_xll.BDP($A185&amp;" Corp","CPN"))</f>
        <v/>
      </c>
      <c r="E185" s="75">
        <f>IF($A185="","",_xll.BDP($A185&amp;" Corp","PAYMENT_RANK"))</f>
        <v/>
      </c>
      <c r="F185" s="100">
        <f>IF($A185="","",_xll.BDP($A185&amp;" Corp","MATURITY"))</f>
        <v/>
      </c>
      <c r="G185" s="75">
        <f>IF($A185="","",PROPER(_xll.BDP($A185&amp;" Corp","COUNTRY_FULL_NAME")))</f>
        <v/>
      </c>
      <c r="H185" s="75">
        <f>IF($A185="","",_xll.BDP($A185&amp;" Corp","INDUSTRY_SECTOR"))</f>
        <v/>
      </c>
      <c r="I185" s="101">
        <f>IF($A185="","",IFERROR(_xll.BDP($A185&amp;" Corp","MIN_PIECE")/1000,""))</f>
        <v/>
      </c>
      <c r="J185" s="31">
        <f>IF($A185="","",_xll.BDP($A185&amp;" Corp","PX_LAST"))</f>
        <v/>
      </c>
      <c r="K185" s="31">
        <f>IF($A185="","",_xll.BDP($A185&amp;" Corp","YAS_BOND_YLD","YAS_YLD_FLAG=15"))</f>
        <v/>
      </c>
      <c r="L185" s="31">
        <f>IF($A185="","",K185-_xll.BDP($A185&amp;" Corp","YAS_BOND_YLD","YAS_YLD_FLAG=15","SETTLE_DT",Company_desc!$A$1))</f>
        <v/>
      </c>
      <c r="M185" s="31">
        <f>IF($A185="","",K185-_xll.BDP($A185&amp;" Corp","YAS_BOND_YLD","YAS_YLD_FLAG=15","SETTLE_DT",Company_desc!$A$2))</f>
        <v/>
      </c>
      <c r="N185" s="79">
        <f>IF($A185="","",_xll.BDP($A185&amp;" Corp","YAS_OAS_SPRD"))</f>
        <v/>
      </c>
      <c r="O185" s="67">
        <f>IF($A185="","",_xll.BDP($A185&amp;" Corp","YAS_MOD_DUR"))</f>
        <v/>
      </c>
      <c r="P185" s="80">
        <f>IF($A185="","",IFERROR(INDEX(Sheet1!$P:$P,MATCH($A185,Sheet1!$A:$A,0)),""))</f>
        <v/>
      </c>
      <c r="Q185" s="75">
        <f>IF($A185="","",IFERROR(INDEX(Company_desc!$C:$C,MATCH($A185,Company_desc!$A:$A,0)),IFERROR(INDEX(Sheet1!$Q:$Q,MATCH($A185,Sheet1!$A:$A,0)),"")))</f>
        <v/>
      </c>
      <c r="R185" s="75">
        <f>IF($A185="","",_xll.BDP($A185&amp;" Corp","CRNCY"))</f>
        <v/>
      </c>
      <c r="S185" s="75">
        <f>IF($A185="","",IFERROR(INDEX(Sheet1!$S:$S,MATCH($A185,Sheet1!$A:$A,0)),""))</f>
        <v/>
      </c>
      <c r="T185" s="75">
        <f>IF($A185="","",IFERROR(INDEX(Sheet1!$T:$T,MATCH($A185,Sheet1!$A:$A,0)),_xll.BDP($A185&amp;" Corp","RTG_SP")))</f>
        <v/>
      </c>
      <c r="U185" s="75">
        <f>IF($A185="","",IFERROR(INDEX(Sheet1!$U:$U,MATCH($A185,Sheet1!$A:$A,0)),""))</f>
        <v/>
      </c>
      <c r="W185" s="81">
        <f>IF($A185="","",N185-_xll.BDP($A185&amp;" Corp","YAS_OAS_SPRD","SETTLE_DT",Company_desc!$A$1))</f>
        <v/>
      </c>
      <c r="X185" s="81">
        <f>IF($A185="","",N185-_xll.BDP($A185&amp;" Corp","YAS_OAS_SPRD","SETTLE_DT",Company_desc!$A$2))</f>
        <v/>
      </c>
      <c r="Y185" s="80">
        <f>IF($A185="","",N185-_xll.BDP($A185&amp;" Corp","YAS_OAS_SPRD","SETTLE_DT",Company_desc!$D$1))</f>
        <v/>
      </c>
      <c r="Z185" s="82">
        <f>IF($A185="","",K185-_xll.BDP($A185&amp;" Corp","YAS_BOND_YLD","YAS_YLD_FLAG=15","SETTLE_DT",Company_desc!$D$1))</f>
        <v/>
      </c>
      <c r="AA185" s="80">
        <f>IF($A185="","",_xll.BDP($A185&amp;" Corp","YAS_OAS_SPRD","SETTLE_DT",Company_desc!$D$1))</f>
        <v/>
      </c>
    </row>
    <row r="186">
      <c r="B186" s="75">
        <f>IF($A186="","",IFERROR(INDEX(Sheet1!$B:$B,MATCH($A186,Sheet1!$A:$A,0)),""))</f>
        <v/>
      </c>
      <c r="C186" s="75">
        <f>IF($A186="","",PROPER(_xll.BDP($A186&amp;" Corp","NAME")))</f>
        <v/>
      </c>
      <c r="D186" s="76">
        <f>IF($A186="","",_xll.BDP($A186&amp;" Corp","CPN"))</f>
        <v/>
      </c>
      <c r="E186" s="75">
        <f>IF($A186="","",_xll.BDP($A186&amp;" Corp","PAYMENT_RANK"))</f>
        <v/>
      </c>
      <c r="F186" s="100">
        <f>IF($A186="","",_xll.BDP($A186&amp;" Corp","MATURITY"))</f>
        <v/>
      </c>
      <c r="G186" s="75">
        <f>IF($A186="","",PROPER(_xll.BDP($A186&amp;" Corp","COUNTRY_FULL_NAME")))</f>
        <v/>
      </c>
      <c r="H186" s="75">
        <f>IF($A186="","",_xll.BDP($A186&amp;" Corp","INDUSTRY_SECTOR"))</f>
        <v/>
      </c>
      <c r="I186" s="101">
        <f>IF($A186="","",IFERROR(_xll.BDP($A186&amp;" Corp","MIN_PIECE")/1000,""))</f>
        <v/>
      </c>
      <c r="J186" s="31">
        <f>IF($A186="","",_xll.BDP($A186&amp;" Corp","PX_LAST"))</f>
        <v/>
      </c>
      <c r="K186" s="31">
        <f>IF($A186="","",_xll.BDP($A186&amp;" Corp","YAS_BOND_YLD","YAS_YLD_FLAG=15"))</f>
        <v/>
      </c>
      <c r="L186" s="31">
        <f>IF($A186="","",K186-_xll.BDP($A186&amp;" Corp","YAS_BOND_YLD","YAS_YLD_FLAG=15","SETTLE_DT",Company_desc!$A$1))</f>
        <v/>
      </c>
      <c r="M186" s="31">
        <f>IF($A186="","",K186-_xll.BDP($A186&amp;" Corp","YAS_BOND_YLD","YAS_YLD_FLAG=15","SETTLE_DT",Company_desc!$A$2))</f>
        <v/>
      </c>
      <c r="N186" s="79">
        <f>IF($A186="","",_xll.BDP($A186&amp;" Corp","YAS_OAS_SPRD"))</f>
        <v/>
      </c>
      <c r="O186" s="67">
        <f>IF($A186="","",_xll.BDP($A186&amp;" Corp","YAS_MOD_DUR"))</f>
        <v/>
      </c>
      <c r="P186" s="80">
        <f>IF($A186="","",IFERROR(INDEX(Sheet1!$P:$P,MATCH($A186,Sheet1!$A:$A,0)),""))</f>
        <v/>
      </c>
      <c r="Q186" s="75">
        <f>IF($A186="","",IFERROR(INDEX(Company_desc!$C:$C,MATCH($A186,Company_desc!$A:$A,0)),IFERROR(INDEX(Sheet1!$Q:$Q,MATCH($A186,Sheet1!$A:$A,0)),"")))</f>
        <v/>
      </c>
      <c r="R186" s="75">
        <f>IF($A186="","",_xll.BDP($A186&amp;" Corp","CRNCY"))</f>
        <v/>
      </c>
      <c r="S186" s="75">
        <f>IF($A186="","",IFERROR(INDEX(Sheet1!$S:$S,MATCH($A186,Sheet1!$A:$A,0)),""))</f>
        <v/>
      </c>
      <c r="T186" s="75">
        <f>IF($A186="","",IFERROR(INDEX(Sheet1!$T:$T,MATCH($A186,Sheet1!$A:$A,0)),_xll.BDP($A186&amp;" Corp","RTG_SP")))</f>
        <v/>
      </c>
      <c r="U186" s="75">
        <f>IF($A186="","",IFERROR(INDEX(Sheet1!$U:$U,MATCH($A186,Sheet1!$A:$A,0)),""))</f>
        <v/>
      </c>
      <c r="W186" s="81">
        <f>IF($A186="","",N186-_xll.BDP($A186&amp;" Corp","YAS_OAS_SPRD","SETTLE_DT",Company_desc!$A$1))</f>
        <v/>
      </c>
      <c r="X186" s="81">
        <f>IF($A186="","",N186-_xll.BDP($A186&amp;" Corp","YAS_OAS_SPRD","SETTLE_DT",Company_desc!$A$2))</f>
        <v/>
      </c>
      <c r="Y186" s="80">
        <f>IF($A186="","",N186-_xll.BDP($A186&amp;" Corp","YAS_OAS_SPRD","SETTLE_DT",Company_desc!$D$1))</f>
        <v/>
      </c>
      <c r="Z186" s="82">
        <f>IF($A186="","",K186-_xll.BDP($A186&amp;" Corp","YAS_BOND_YLD","YAS_YLD_FLAG=15","SETTLE_DT",Company_desc!$D$1))</f>
        <v/>
      </c>
      <c r="AA186" s="80">
        <f>IF($A186="","",_xll.BDP($A186&amp;" Corp","YAS_OAS_SPRD","SETTLE_DT",Company_desc!$D$1))</f>
        <v/>
      </c>
    </row>
    <row r="187">
      <c r="B187" s="75">
        <f>IF($A187="","",IFERROR(INDEX(Sheet1!$B:$B,MATCH($A187,Sheet1!$A:$A,0)),""))</f>
        <v/>
      </c>
      <c r="C187" s="75">
        <f>IF($A187="","",PROPER(_xll.BDP($A187&amp;" Corp","NAME")))</f>
        <v/>
      </c>
      <c r="D187" s="76">
        <f>IF($A187="","",_xll.BDP($A187&amp;" Corp","CPN"))</f>
        <v/>
      </c>
      <c r="E187" s="75">
        <f>IF($A187="","",_xll.BDP($A187&amp;" Corp","PAYMENT_RANK"))</f>
        <v/>
      </c>
      <c r="F187" s="100">
        <f>IF($A187="","",_xll.BDP($A187&amp;" Corp","MATURITY"))</f>
        <v/>
      </c>
      <c r="G187" s="75">
        <f>IF($A187="","",PROPER(_xll.BDP($A187&amp;" Corp","COUNTRY_FULL_NAME")))</f>
        <v/>
      </c>
      <c r="H187" s="75">
        <f>IF($A187="","",_xll.BDP($A187&amp;" Corp","INDUSTRY_SECTOR"))</f>
        <v/>
      </c>
      <c r="I187" s="101">
        <f>IF($A187="","",IFERROR(_xll.BDP($A187&amp;" Corp","MIN_PIECE")/1000,""))</f>
        <v/>
      </c>
      <c r="J187" s="31">
        <f>IF($A187="","",_xll.BDP($A187&amp;" Corp","PX_LAST"))</f>
        <v/>
      </c>
      <c r="K187" s="31">
        <f>IF($A187="","",_xll.BDP($A187&amp;" Corp","YAS_BOND_YLD","YAS_YLD_FLAG=15"))</f>
        <v/>
      </c>
      <c r="L187" s="31">
        <f>IF($A187="","",K187-_xll.BDP($A187&amp;" Corp","YAS_BOND_YLD","YAS_YLD_FLAG=15","SETTLE_DT",Company_desc!$A$1))</f>
        <v/>
      </c>
      <c r="M187" s="31">
        <f>IF($A187="","",K187-_xll.BDP($A187&amp;" Corp","YAS_BOND_YLD","YAS_YLD_FLAG=15","SETTLE_DT",Company_desc!$A$2))</f>
        <v/>
      </c>
      <c r="N187" s="79">
        <f>IF($A187="","",_xll.BDP($A187&amp;" Corp","YAS_OAS_SPRD"))</f>
        <v/>
      </c>
      <c r="O187" s="67">
        <f>IF($A187="","",_xll.BDP($A187&amp;" Corp","YAS_MOD_DUR"))</f>
        <v/>
      </c>
      <c r="P187" s="80">
        <f>IF($A187="","",IFERROR(INDEX(Sheet1!$P:$P,MATCH($A187,Sheet1!$A:$A,0)),""))</f>
        <v/>
      </c>
      <c r="Q187" s="75">
        <f>IF($A187="","",IFERROR(INDEX(Company_desc!$C:$C,MATCH($A187,Company_desc!$A:$A,0)),IFERROR(INDEX(Sheet1!$Q:$Q,MATCH($A187,Sheet1!$A:$A,0)),"")))</f>
        <v/>
      </c>
      <c r="R187" s="75">
        <f>IF($A187="","",_xll.BDP($A187&amp;" Corp","CRNCY"))</f>
        <v/>
      </c>
      <c r="S187" s="75">
        <f>IF($A187="","",IFERROR(INDEX(Sheet1!$S:$S,MATCH($A187,Sheet1!$A:$A,0)),""))</f>
        <v/>
      </c>
      <c r="T187" s="75">
        <f>IF($A187="","",IFERROR(INDEX(Sheet1!$T:$T,MATCH($A187,Sheet1!$A:$A,0)),_xll.BDP($A187&amp;" Corp","RTG_SP")))</f>
        <v/>
      </c>
      <c r="U187" s="75">
        <f>IF($A187="","",IFERROR(INDEX(Sheet1!$U:$U,MATCH($A187,Sheet1!$A:$A,0)),""))</f>
        <v/>
      </c>
      <c r="W187" s="81">
        <f>IF($A187="","",N187-_xll.BDP($A187&amp;" Corp","YAS_OAS_SPRD","SETTLE_DT",Company_desc!$A$1))</f>
        <v/>
      </c>
      <c r="X187" s="81">
        <f>IF($A187="","",N187-_xll.BDP($A187&amp;" Corp","YAS_OAS_SPRD","SETTLE_DT",Company_desc!$A$2))</f>
        <v/>
      </c>
      <c r="Y187" s="80">
        <f>IF($A187="","",N187-_xll.BDP($A187&amp;" Corp","YAS_OAS_SPRD","SETTLE_DT",Company_desc!$D$1))</f>
        <v/>
      </c>
      <c r="Z187" s="82">
        <f>IF($A187="","",K187-_xll.BDP($A187&amp;" Corp","YAS_BOND_YLD","YAS_YLD_FLAG=15","SETTLE_DT",Company_desc!$D$1))</f>
        <v/>
      </c>
      <c r="AA187" s="80">
        <f>IF($A187="","",_xll.BDP($A187&amp;" Corp","YAS_OAS_SPRD","SETTLE_DT",Company_desc!$D$1))</f>
        <v/>
      </c>
    </row>
    <row r="188">
      <c r="B188" s="75">
        <f>IF($A188="","",IFERROR(INDEX(Sheet1!$B:$B,MATCH($A188,Sheet1!$A:$A,0)),""))</f>
        <v/>
      </c>
      <c r="C188" s="75">
        <f>IF($A188="","",PROPER(_xll.BDP($A188&amp;" Corp","NAME")))</f>
        <v/>
      </c>
      <c r="D188" s="76">
        <f>IF($A188="","",_xll.BDP($A188&amp;" Corp","CPN"))</f>
        <v/>
      </c>
      <c r="E188" s="75">
        <f>IF($A188="","",_xll.BDP($A188&amp;" Corp","PAYMENT_RANK"))</f>
        <v/>
      </c>
      <c r="F188" s="100">
        <f>IF($A188="","",_xll.BDP($A188&amp;" Corp","MATURITY"))</f>
        <v/>
      </c>
      <c r="G188" s="75">
        <f>IF($A188="","",PROPER(_xll.BDP($A188&amp;" Corp","COUNTRY_FULL_NAME")))</f>
        <v/>
      </c>
      <c r="H188" s="75">
        <f>IF($A188="","",_xll.BDP($A188&amp;" Corp","INDUSTRY_SECTOR"))</f>
        <v/>
      </c>
      <c r="I188" s="101">
        <f>IF($A188="","",IFERROR(_xll.BDP($A188&amp;" Corp","MIN_PIECE")/1000,""))</f>
        <v/>
      </c>
      <c r="J188" s="31">
        <f>IF($A188="","",_xll.BDP($A188&amp;" Corp","PX_LAST"))</f>
        <v/>
      </c>
      <c r="K188" s="31">
        <f>IF($A188="","",_xll.BDP($A188&amp;" Corp","YAS_BOND_YLD","YAS_YLD_FLAG=15"))</f>
        <v/>
      </c>
      <c r="L188" s="31">
        <f>IF($A188="","",K188-_xll.BDP($A188&amp;" Corp","YAS_BOND_YLD","YAS_YLD_FLAG=15","SETTLE_DT",Company_desc!$A$1))</f>
        <v/>
      </c>
      <c r="M188" s="31">
        <f>IF($A188="","",K188-_xll.BDP($A188&amp;" Corp","YAS_BOND_YLD","YAS_YLD_FLAG=15","SETTLE_DT",Company_desc!$A$2))</f>
        <v/>
      </c>
      <c r="N188" s="79">
        <f>IF($A188="","",_xll.BDP($A188&amp;" Corp","YAS_OAS_SPRD"))</f>
        <v/>
      </c>
      <c r="O188" s="67">
        <f>IF($A188="","",_xll.BDP($A188&amp;" Corp","YAS_MOD_DUR"))</f>
        <v/>
      </c>
      <c r="P188" s="80">
        <f>IF($A188="","",IFERROR(INDEX(Sheet1!$P:$P,MATCH($A188,Sheet1!$A:$A,0)),""))</f>
        <v/>
      </c>
      <c r="Q188" s="75">
        <f>IF($A188="","",IFERROR(INDEX(Company_desc!$C:$C,MATCH($A188,Company_desc!$A:$A,0)),IFERROR(INDEX(Sheet1!$Q:$Q,MATCH($A188,Sheet1!$A:$A,0)),"")))</f>
        <v/>
      </c>
      <c r="R188" s="75">
        <f>IF($A188="","",_xll.BDP($A188&amp;" Corp","CRNCY"))</f>
        <v/>
      </c>
      <c r="S188" s="75">
        <f>IF($A188="","",IFERROR(INDEX(Sheet1!$S:$S,MATCH($A188,Sheet1!$A:$A,0)),""))</f>
        <v/>
      </c>
      <c r="T188" s="75">
        <f>IF($A188="","",IFERROR(INDEX(Sheet1!$T:$T,MATCH($A188,Sheet1!$A:$A,0)),_xll.BDP($A188&amp;" Corp","RTG_SP")))</f>
        <v/>
      </c>
      <c r="U188" s="75">
        <f>IF($A188="","",IFERROR(INDEX(Sheet1!$U:$U,MATCH($A188,Sheet1!$A:$A,0)),""))</f>
        <v/>
      </c>
      <c r="W188" s="81">
        <f>IF($A188="","",N188-_xll.BDP($A188&amp;" Corp","YAS_OAS_SPRD","SETTLE_DT",Company_desc!$A$1))</f>
        <v/>
      </c>
      <c r="X188" s="81">
        <f>IF($A188="","",N188-_xll.BDP($A188&amp;" Corp","YAS_OAS_SPRD","SETTLE_DT",Company_desc!$A$2))</f>
        <v/>
      </c>
      <c r="Y188" s="80">
        <f>IF($A188="","",N188-_xll.BDP($A188&amp;" Corp","YAS_OAS_SPRD","SETTLE_DT",Company_desc!$D$1))</f>
        <v/>
      </c>
      <c r="Z188" s="82">
        <f>IF($A188="","",K188-_xll.BDP($A188&amp;" Corp","YAS_BOND_YLD","YAS_YLD_FLAG=15","SETTLE_DT",Company_desc!$D$1))</f>
        <v/>
      </c>
      <c r="AA188" s="80">
        <f>IF($A188="","",_xll.BDP($A188&amp;" Corp","YAS_OAS_SPRD","SETTLE_DT",Company_desc!$D$1))</f>
        <v/>
      </c>
    </row>
    <row r="189">
      <c r="B189" s="75">
        <f>IF($A189="","",IFERROR(INDEX(Sheet1!$B:$B,MATCH($A189,Sheet1!$A:$A,0)),""))</f>
        <v/>
      </c>
      <c r="C189" s="75">
        <f>IF($A189="","",PROPER(_xll.BDP($A189&amp;" Corp","NAME")))</f>
        <v/>
      </c>
      <c r="D189" s="76">
        <f>IF($A189="","",_xll.BDP($A189&amp;" Corp","CPN"))</f>
        <v/>
      </c>
      <c r="E189" s="75">
        <f>IF($A189="","",_xll.BDP($A189&amp;" Corp","PAYMENT_RANK"))</f>
        <v/>
      </c>
      <c r="F189" s="100">
        <f>IF($A189="","",_xll.BDP($A189&amp;" Corp","MATURITY"))</f>
        <v/>
      </c>
      <c r="G189" s="75">
        <f>IF($A189="","",PROPER(_xll.BDP($A189&amp;" Corp","COUNTRY_FULL_NAME")))</f>
        <v/>
      </c>
      <c r="H189" s="75">
        <f>IF($A189="","",_xll.BDP($A189&amp;" Corp","INDUSTRY_SECTOR"))</f>
        <v/>
      </c>
      <c r="I189" s="101">
        <f>IF($A189="","",IFERROR(_xll.BDP($A189&amp;" Corp","MIN_PIECE")/1000,""))</f>
        <v/>
      </c>
      <c r="J189" s="31">
        <f>IF($A189="","",_xll.BDP($A189&amp;" Corp","PX_LAST"))</f>
        <v/>
      </c>
      <c r="K189" s="31">
        <f>IF($A189="","",_xll.BDP($A189&amp;" Corp","YAS_BOND_YLD","YAS_YLD_FLAG=15"))</f>
        <v/>
      </c>
      <c r="L189" s="31">
        <f>IF($A189="","",K189-_xll.BDP($A189&amp;" Corp","YAS_BOND_YLD","YAS_YLD_FLAG=15","SETTLE_DT",Company_desc!$A$1))</f>
        <v/>
      </c>
      <c r="M189" s="31">
        <f>IF($A189="","",K189-_xll.BDP($A189&amp;" Corp","YAS_BOND_YLD","YAS_YLD_FLAG=15","SETTLE_DT",Company_desc!$A$2))</f>
        <v/>
      </c>
      <c r="N189" s="79">
        <f>IF($A189="","",_xll.BDP($A189&amp;" Corp","YAS_OAS_SPRD"))</f>
        <v/>
      </c>
      <c r="O189" s="67">
        <f>IF($A189="","",_xll.BDP($A189&amp;" Corp","YAS_MOD_DUR"))</f>
        <v/>
      </c>
      <c r="P189" s="80">
        <f>IF($A189="","",IFERROR(INDEX(Sheet1!$P:$P,MATCH($A189,Sheet1!$A:$A,0)),""))</f>
        <v/>
      </c>
      <c r="Q189" s="75">
        <f>IF($A189="","",IFERROR(INDEX(Company_desc!$C:$C,MATCH($A189,Company_desc!$A:$A,0)),IFERROR(INDEX(Sheet1!$Q:$Q,MATCH($A189,Sheet1!$A:$A,0)),"")))</f>
        <v/>
      </c>
      <c r="R189" s="75">
        <f>IF($A189="","",_xll.BDP($A189&amp;" Corp","CRNCY"))</f>
        <v/>
      </c>
      <c r="S189" s="75">
        <f>IF($A189="","",IFERROR(INDEX(Sheet1!$S:$S,MATCH($A189,Sheet1!$A:$A,0)),""))</f>
        <v/>
      </c>
      <c r="T189" s="75">
        <f>IF($A189="","",IFERROR(INDEX(Sheet1!$T:$T,MATCH($A189,Sheet1!$A:$A,0)),_xll.BDP($A189&amp;" Corp","RTG_SP")))</f>
        <v/>
      </c>
      <c r="U189" s="75">
        <f>IF($A189="","",IFERROR(INDEX(Sheet1!$U:$U,MATCH($A189,Sheet1!$A:$A,0)),""))</f>
        <v/>
      </c>
      <c r="W189" s="81">
        <f>IF($A189="","",N189-_xll.BDP($A189&amp;" Corp","YAS_OAS_SPRD","SETTLE_DT",Company_desc!$A$1))</f>
        <v/>
      </c>
      <c r="X189" s="81">
        <f>IF($A189="","",N189-_xll.BDP($A189&amp;" Corp","YAS_OAS_SPRD","SETTLE_DT",Company_desc!$A$2))</f>
        <v/>
      </c>
      <c r="Y189" s="80">
        <f>IF($A189="","",N189-_xll.BDP($A189&amp;" Corp","YAS_OAS_SPRD","SETTLE_DT",Company_desc!$D$1))</f>
        <v/>
      </c>
      <c r="Z189" s="82">
        <f>IF($A189="","",K189-_xll.BDP($A189&amp;" Corp","YAS_BOND_YLD","YAS_YLD_FLAG=15","SETTLE_DT",Company_desc!$D$1))</f>
        <v/>
      </c>
      <c r="AA189" s="80">
        <f>IF($A189="","",_xll.BDP($A189&amp;" Corp","YAS_OAS_SPRD","SETTLE_DT",Company_desc!$D$1))</f>
        <v/>
      </c>
    </row>
    <row r="190">
      <c r="B190" s="75">
        <f>IF($A190="","",IFERROR(INDEX(Sheet1!$B:$B,MATCH($A190,Sheet1!$A:$A,0)),""))</f>
        <v/>
      </c>
      <c r="C190" s="75">
        <f>IF($A190="","",PROPER(_xll.BDP($A190&amp;" Corp","NAME")))</f>
        <v/>
      </c>
      <c r="D190" s="76">
        <f>IF($A190="","",_xll.BDP($A190&amp;" Corp","CPN"))</f>
        <v/>
      </c>
      <c r="E190" s="75">
        <f>IF($A190="","",_xll.BDP($A190&amp;" Corp","PAYMENT_RANK"))</f>
        <v/>
      </c>
      <c r="F190" s="100">
        <f>IF($A190="","",_xll.BDP($A190&amp;" Corp","MATURITY"))</f>
        <v/>
      </c>
      <c r="G190" s="75">
        <f>IF($A190="","",PROPER(_xll.BDP($A190&amp;" Corp","COUNTRY_FULL_NAME")))</f>
        <v/>
      </c>
      <c r="H190" s="75">
        <f>IF($A190="","",_xll.BDP($A190&amp;" Corp","INDUSTRY_SECTOR"))</f>
        <v/>
      </c>
      <c r="I190" s="101">
        <f>IF($A190="","",IFERROR(_xll.BDP($A190&amp;" Corp","MIN_PIECE")/1000,""))</f>
        <v/>
      </c>
      <c r="J190" s="31">
        <f>IF($A190="","",_xll.BDP($A190&amp;" Corp","PX_LAST"))</f>
        <v/>
      </c>
      <c r="K190" s="31">
        <f>IF($A190="","",_xll.BDP($A190&amp;" Corp","YAS_BOND_YLD","YAS_YLD_FLAG=15"))</f>
        <v/>
      </c>
      <c r="L190" s="31">
        <f>IF($A190="","",K190-_xll.BDP($A190&amp;" Corp","YAS_BOND_YLD","YAS_YLD_FLAG=15","SETTLE_DT",Company_desc!$A$1))</f>
        <v/>
      </c>
      <c r="M190" s="31">
        <f>IF($A190="","",K190-_xll.BDP($A190&amp;" Corp","YAS_BOND_YLD","YAS_YLD_FLAG=15","SETTLE_DT",Company_desc!$A$2))</f>
        <v/>
      </c>
      <c r="N190" s="79">
        <f>IF($A190="","",_xll.BDP($A190&amp;" Corp","YAS_OAS_SPRD"))</f>
        <v/>
      </c>
      <c r="O190" s="67">
        <f>IF($A190="","",_xll.BDP($A190&amp;" Corp","YAS_MOD_DUR"))</f>
        <v/>
      </c>
      <c r="P190" s="80">
        <f>IF($A190="","",IFERROR(INDEX(Sheet1!$P:$P,MATCH($A190,Sheet1!$A:$A,0)),""))</f>
        <v/>
      </c>
      <c r="Q190" s="75">
        <f>IF($A190="","",IFERROR(INDEX(Company_desc!$C:$C,MATCH($A190,Company_desc!$A:$A,0)),IFERROR(INDEX(Sheet1!$Q:$Q,MATCH($A190,Sheet1!$A:$A,0)),"")))</f>
        <v/>
      </c>
      <c r="R190" s="75">
        <f>IF($A190="","",_xll.BDP($A190&amp;" Corp","CRNCY"))</f>
        <v/>
      </c>
      <c r="S190" s="75">
        <f>IF($A190="","",IFERROR(INDEX(Sheet1!$S:$S,MATCH($A190,Sheet1!$A:$A,0)),""))</f>
        <v/>
      </c>
      <c r="T190" s="75">
        <f>IF($A190="","",IFERROR(INDEX(Sheet1!$T:$T,MATCH($A190,Sheet1!$A:$A,0)),_xll.BDP($A190&amp;" Corp","RTG_SP")))</f>
        <v/>
      </c>
      <c r="U190" s="75">
        <f>IF($A190="","",IFERROR(INDEX(Sheet1!$U:$U,MATCH($A190,Sheet1!$A:$A,0)),""))</f>
        <v/>
      </c>
      <c r="W190" s="81">
        <f>IF($A190="","",N190-_xll.BDP($A190&amp;" Corp","YAS_OAS_SPRD","SETTLE_DT",Company_desc!$A$1))</f>
        <v/>
      </c>
      <c r="X190" s="81">
        <f>IF($A190="","",N190-_xll.BDP($A190&amp;" Corp","YAS_OAS_SPRD","SETTLE_DT",Company_desc!$A$2))</f>
        <v/>
      </c>
      <c r="Y190" s="80">
        <f>IF($A190="","",N190-_xll.BDP($A190&amp;" Corp","YAS_OAS_SPRD","SETTLE_DT",Company_desc!$D$1))</f>
        <v/>
      </c>
      <c r="Z190" s="82">
        <f>IF($A190="","",K190-_xll.BDP($A190&amp;" Corp","YAS_BOND_YLD","YAS_YLD_FLAG=15","SETTLE_DT",Company_desc!$D$1))</f>
        <v/>
      </c>
      <c r="AA190" s="80">
        <f>IF($A190="","",_xll.BDP($A190&amp;" Corp","YAS_OAS_SPRD","SETTLE_DT",Company_desc!$D$1))</f>
        <v/>
      </c>
    </row>
    <row r="191">
      <c r="B191" s="75">
        <f>IF($A191="","",IFERROR(INDEX(Sheet1!$B:$B,MATCH($A191,Sheet1!$A:$A,0)),""))</f>
        <v/>
      </c>
      <c r="C191" s="75">
        <f>IF($A191="","",PROPER(_xll.BDP($A191&amp;" Corp","NAME")))</f>
        <v/>
      </c>
      <c r="D191" s="76">
        <f>IF($A191="","",_xll.BDP($A191&amp;" Corp","CPN"))</f>
        <v/>
      </c>
      <c r="E191" s="75">
        <f>IF($A191="","",_xll.BDP($A191&amp;" Corp","PAYMENT_RANK"))</f>
        <v/>
      </c>
      <c r="F191" s="100">
        <f>IF($A191="","",_xll.BDP($A191&amp;" Corp","MATURITY"))</f>
        <v/>
      </c>
      <c r="G191" s="75">
        <f>IF($A191="","",PROPER(_xll.BDP($A191&amp;" Corp","COUNTRY_FULL_NAME")))</f>
        <v/>
      </c>
      <c r="H191" s="75">
        <f>IF($A191="","",_xll.BDP($A191&amp;" Corp","INDUSTRY_SECTOR"))</f>
        <v/>
      </c>
      <c r="I191" s="101">
        <f>IF($A191="","",IFERROR(_xll.BDP($A191&amp;" Corp","MIN_PIECE")/1000,""))</f>
        <v/>
      </c>
      <c r="J191" s="31">
        <f>IF($A191="","",_xll.BDP($A191&amp;" Corp","PX_LAST"))</f>
        <v/>
      </c>
      <c r="K191" s="31">
        <f>IF($A191="","",_xll.BDP($A191&amp;" Corp","YAS_BOND_YLD","YAS_YLD_FLAG=15"))</f>
        <v/>
      </c>
      <c r="L191" s="31">
        <f>IF($A191="","",K191-_xll.BDP($A191&amp;" Corp","YAS_BOND_YLD","YAS_YLD_FLAG=15","SETTLE_DT",Company_desc!$A$1))</f>
        <v/>
      </c>
      <c r="M191" s="31">
        <f>IF($A191="","",K191-_xll.BDP($A191&amp;" Corp","YAS_BOND_YLD","YAS_YLD_FLAG=15","SETTLE_DT",Company_desc!$A$2))</f>
        <v/>
      </c>
      <c r="N191" s="79">
        <f>IF($A191="","",_xll.BDP($A191&amp;" Corp","YAS_OAS_SPRD"))</f>
        <v/>
      </c>
      <c r="O191" s="67">
        <f>IF($A191="","",_xll.BDP($A191&amp;" Corp","YAS_MOD_DUR"))</f>
        <v/>
      </c>
      <c r="P191" s="80">
        <f>IF($A191="","",IFERROR(INDEX(Sheet1!$P:$P,MATCH($A191,Sheet1!$A:$A,0)),""))</f>
        <v/>
      </c>
      <c r="Q191" s="75">
        <f>IF($A191="","",IFERROR(INDEX(Company_desc!$C:$C,MATCH($A191,Company_desc!$A:$A,0)),IFERROR(INDEX(Sheet1!$Q:$Q,MATCH($A191,Sheet1!$A:$A,0)),"")))</f>
        <v/>
      </c>
      <c r="R191" s="75">
        <f>IF($A191="","",_xll.BDP($A191&amp;" Corp","CRNCY"))</f>
        <v/>
      </c>
      <c r="S191" s="75">
        <f>IF($A191="","",IFERROR(INDEX(Sheet1!$S:$S,MATCH($A191,Sheet1!$A:$A,0)),""))</f>
        <v/>
      </c>
      <c r="T191" s="75">
        <f>IF($A191="","",IFERROR(INDEX(Sheet1!$T:$T,MATCH($A191,Sheet1!$A:$A,0)),_xll.BDP($A191&amp;" Corp","RTG_SP")))</f>
        <v/>
      </c>
      <c r="U191" s="75">
        <f>IF($A191="","",IFERROR(INDEX(Sheet1!$U:$U,MATCH($A191,Sheet1!$A:$A,0)),""))</f>
        <v/>
      </c>
      <c r="W191" s="81">
        <f>IF($A191="","",N191-_xll.BDP($A191&amp;" Corp","YAS_OAS_SPRD","SETTLE_DT",Company_desc!$A$1))</f>
        <v/>
      </c>
      <c r="X191" s="81">
        <f>IF($A191="","",N191-_xll.BDP($A191&amp;" Corp","YAS_OAS_SPRD","SETTLE_DT",Company_desc!$A$2))</f>
        <v/>
      </c>
      <c r="Y191" s="80">
        <f>IF($A191="","",N191-_xll.BDP($A191&amp;" Corp","YAS_OAS_SPRD","SETTLE_DT",Company_desc!$D$1))</f>
        <v/>
      </c>
      <c r="Z191" s="82">
        <f>IF($A191="","",K191-_xll.BDP($A191&amp;" Corp","YAS_BOND_YLD","YAS_YLD_FLAG=15","SETTLE_DT",Company_desc!$D$1))</f>
        <v/>
      </c>
      <c r="AA191" s="80">
        <f>IF($A191="","",_xll.BDP($A191&amp;" Corp","YAS_OAS_SPRD","SETTLE_DT",Company_desc!$D$1))</f>
        <v/>
      </c>
    </row>
    <row r="192">
      <c r="B192" s="75">
        <f>IF($A192="","",IFERROR(INDEX(Sheet1!$B:$B,MATCH($A192,Sheet1!$A:$A,0)),""))</f>
        <v/>
      </c>
      <c r="C192" s="75">
        <f>IF($A192="","",PROPER(_xll.BDP($A192&amp;" Corp","NAME")))</f>
        <v/>
      </c>
      <c r="D192" s="76">
        <f>IF($A192="","",_xll.BDP($A192&amp;" Corp","CPN"))</f>
        <v/>
      </c>
      <c r="E192" s="75">
        <f>IF($A192="","",_xll.BDP($A192&amp;" Corp","PAYMENT_RANK"))</f>
        <v/>
      </c>
      <c r="F192" s="100">
        <f>IF($A192="","",_xll.BDP($A192&amp;" Corp","MATURITY"))</f>
        <v/>
      </c>
      <c r="G192" s="75">
        <f>IF($A192="","",PROPER(_xll.BDP($A192&amp;" Corp","COUNTRY_FULL_NAME")))</f>
        <v/>
      </c>
      <c r="H192" s="75">
        <f>IF($A192="","",_xll.BDP($A192&amp;" Corp","INDUSTRY_SECTOR"))</f>
        <v/>
      </c>
      <c r="I192" s="101">
        <f>IF($A192="","",IFERROR(_xll.BDP($A192&amp;" Corp","MIN_PIECE")/1000,""))</f>
        <v/>
      </c>
      <c r="J192" s="31">
        <f>IF($A192="","",_xll.BDP($A192&amp;" Corp","PX_LAST"))</f>
        <v/>
      </c>
      <c r="K192" s="31">
        <f>IF($A192="","",_xll.BDP($A192&amp;" Corp","YAS_BOND_YLD","YAS_YLD_FLAG=15"))</f>
        <v/>
      </c>
      <c r="L192" s="31">
        <f>IF($A192="","",K192-_xll.BDP($A192&amp;" Corp","YAS_BOND_YLD","YAS_YLD_FLAG=15","SETTLE_DT",Company_desc!$A$1))</f>
        <v/>
      </c>
      <c r="M192" s="31">
        <f>IF($A192="","",K192-_xll.BDP($A192&amp;" Corp","YAS_BOND_YLD","YAS_YLD_FLAG=15","SETTLE_DT",Company_desc!$A$2))</f>
        <v/>
      </c>
      <c r="N192" s="79">
        <f>IF($A192="","",_xll.BDP($A192&amp;" Corp","YAS_OAS_SPRD"))</f>
        <v/>
      </c>
      <c r="O192" s="82">
        <f>IF($A192="","",_xll.BDP($A192&amp;" Corp","YAS_MOD_DUR"))</f>
        <v/>
      </c>
      <c r="P192" s="80">
        <f>IF($A192="","",IFERROR(INDEX(Sheet1!$P:$P,MATCH($A192,Sheet1!$A:$A,0)),""))</f>
        <v/>
      </c>
      <c r="Q192" s="75">
        <f>IF($A192="","",IFERROR(INDEX(Company_desc!$C:$C,MATCH($A192,Company_desc!$A:$A,0)),IFERROR(INDEX(Sheet1!$Q:$Q,MATCH($A192,Sheet1!$A:$A,0)),"")))</f>
        <v/>
      </c>
      <c r="R192" s="75">
        <f>IF($A192="","",_xll.BDP($A192&amp;" Corp","CRNCY"))</f>
        <v/>
      </c>
      <c r="S192" s="75">
        <f>IF($A192="","",IFERROR(INDEX(Sheet1!$S:$S,MATCH($A192,Sheet1!$A:$A,0)),""))</f>
        <v/>
      </c>
      <c r="T192" s="75">
        <f>IF($A192="","",IFERROR(INDEX(Sheet1!$T:$T,MATCH($A192,Sheet1!$A:$A,0)),_xll.BDP($A192&amp;" Corp","RTG_SP")))</f>
        <v/>
      </c>
      <c r="U192" s="75">
        <f>IF($A192="","",IFERROR(INDEX(Sheet1!$U:$U,MATCH($A192,Sheet1!$A:$A,0)),""))</f>
        <v/>
      </c>
      <c r="W192" s="81">
        <f>IF($A192="","",N192-_xll.BDP($A192&amp;" Corp","YAS_OAS_SPRD","SETTLE_DT",Company_desc!$A$1))</f>
        <v/>
      </c>
      <c r="X192" s="81">
        <f>IF($A192="","",N192-_xll.BDP($A192&amp;" Corp","YAS_OAS_SPRD","SETTLE_DT",Company_desc!$A$2))</f>
        <v/>
      </c>
      <c r="Y192" s="80">
        <f>IF($A192="","",N192-_xll.BDP($A192&amp;" Corp","YAS_OAS_SPRD","SETTLE_DT",Company_desc!$D$1))</f>
        <v/>
      </c>
      <c r="Z192" s="82">
        <f>IF($A192="","",K192-_xll.BDP($A192&amp;" Corp","YAS_BOND_YLD","YAS_YLD_FLAG=15","SETTLE_DT",Company_desc!$D$1))</f>
        <v/>
      </c>
      <c r="AA192" s="80">
        <f>IF($A192="","",_xll.BDP($A192&amp;" Corp","YAS_OAS_SPRD","SETTLE_DT",Company_desc!$D$1))</f>
        <v/>
      </c>
    </row>
    <row r="193">
      <c r="B193" s="75">
        <f>IF($A193="","",IFERROR(INDEX(Sheet1!$B:$B,MATCH($A193,Sheet1!$A:$A,0)),""))</f>
        <v/>
      </c>
      <c r="C193" s="75">
        <f>IF($A193="","",PROPER(_xll.BDP($A193&amp;" Corp","NAME")))</f>
        <v/>
      </c>
      <c r="D193" s="76">
        <f>IF($A193="","",_xll.BDP($A193&amp;" Corp","CPN"))</f>
        <v/>
      </c>
      <c r="E193" s="75">
        <f>IF($A193="","",_xll.BDP($A193&amp;" Corp","PAYMENT_RANK"))</f>
        <v/>
      </c>
      <c r="F193" s="100">
        <f>IF($A193="","",_xll.BDP($A193&amp;" Corp","MATURITY"))</f>
        <v/>
      </c>
      <c r="G193" s="75">
        <f>IF($A193="","",PROPER(_xll.BDP($A193&amp;" Corp","COUNTRY_FULL_NAME")))</f>
        <v/>
      </c>
      <c r="H193" s="75">
        <f>IF($A193="","",_xll.BDP($A193&amp;" Corp","INDUSTRY_SECTOR"))</f>
        <v/>
      </c>
      <c r="I193" s="101">
        <f>IF($A193="","",IFERROR(_xll.BDP($A193&amp;" Corp","MIN_PIECE")/1000,""))</f>
        <v/>
      </c>
      <c r="J193" s="31">
        <f>IF($A193="","",_xll.BDP($A193&amp;" Corp","PX_LAST"))</f>
        <v/>
      </c>
      <c r="K193" s="31">
        <f>IF($A193="","",_xll.BDP($A193&amp;" Corp","YAS_BOND_YLD","YAS_YLD_FLAG=15"))</f>
        <v/>
      </c>
      <c r="L193" s="31">
        <f>IF($A193="","",K193-_xll.BDP($A193&amp;" Corp","YAS_BOND_YLD","YAS_YLD_FLAG=15","SETTLE_DT",Company_desc!$A$1))</f>
        <v/>
      </c>
      <c r="M193" s="31">
        <f>IF($A193="","",K193-_xll.BDP($A193&amp;" Corp","YAS_BOND_YLD","YAS_YLD_FLAG=15","SETTLE_DT",Company_desc!$A$2))</f>
        <v/>
      </c>
      <c r="N193" s="79">
        <f>IF($A193="","",_xll.BDP($A193&amp;" Corp","YAS_OAS_SPRD"))</f>
        <v/>
      </c>
      <c r="O193" s="67">
        <f>IF($A193="","",_xll.BDP($A193&amp;" Corp","YAS_MOD_DUR"))</f>
        <v/>
      </c>
      <c r="P193" s="80">
        <f>IF($A193="","",IFERROR(INDEX(Sheet1!$P:$P,MATCH($A193,Sheet1!$A:$A,0)),""))</f>
        <v/>
      </c>
      <c r="Q193" s="75">
        <f>IF($A193="","",IFERROR(INDEX(Company_desc!$C:$C,MATCH($A193,Company_desc!$A:$A,0)),IFERROR(INDEX(Sheet1!$Q:$Q,MATCH($A193,Sheet1!$A:$A,0)),"")))</f>
        <v/>
      </c>
      <c r="R193" s="75">
        <f>IF($A193="","",_xll.BDP($A193&amp;" Corp","CRNCY"))</f>
        <v/>
      </c>
      <c r="S193" s="75">
        <f>IF($A193="","",IFERROR(INDEX(Sheet1!$S:$S,MATCH($A193,Sheet1!$A:$A,0)),""))</f>
        <v/>
      </c>
      <c r="T193" s="75">
        <f>IF($A193="","",IFERROR(INDEX(Sheet1!$T:$T,MATCH($A193,Sheet1!$A:$A,0)),_xll.BDP($A193&amp;" Corp","RTG_SP")))</f>
        <v/>
      </c>
      <c r="U193" s="75">
        <f>IF($A193="","",IFERROR(INDEX(Sheet1!$U:$U,MATCH($A193,Sheet1!$A:$A,0)),""))</f>
        <v/>
      </c>
      <c r="W193" s="81">
        <f>IF($A193="","",N193-_xll.BDP($A193&amp;" Corp","YAS_OAS_SPRD","SETTLE_DT",Company_desc!$A$1))</f>
        <v/>
      </c>
      <c r="X193" s="81">
        <f>IF($A193="","",N193-_xll.BDP($A193&amp;" Corp","YAS_OAS_SPRD","SETTLE_DT",Company_desc!$A$2))</f>
        <v/>
      </c>
      <c r="Y193" s="80">
        <f>IF($A193="","",N193-_xll.BDP($A193&amp;" Corp","YAS_OAS_SPRD","SETTLE_DT",Company_desc!$D$1))</f>
        <v/>
      </c>
      <c r="Z193" s="82">
        <f>IF($A193="","",K193-_xll.BDP($A193&amp;" Corp","YAS_BOND_YLD","YAS_YLD_FLAG=15","SETTLE_DT",Company_desc!$D$1))</f>
        <v/>
      </c>
      <c r="AA193" s="80">
        <f>IF($A193="","",_xll.BDP($A193&amp;" Corp","YAS_OAS_SPRD","SETTLE_DT",Company_desc!$D$1))</f>
        <v/>
      </c>
    </row>
    <row r="194">
      <c r="B194" s="75">
        <f>IF($A194="","",IFERROR(INDEX(Sheet1!$B:$B,MATCH($A194,Sheet1!$A:$A,0)),""))</f>
        <v/>
      </c>
      <c r="C194" s="75">
        <f>IF($A194="","",PROPER(_xll.BDP($A194&amp;" Corp","NAME")))</f>
        <v/>
      </c>
      <c r="D194" s="76">
        <f>IF($A194="","",_xll.BDP($A194&amp;" Corp","CPN"))</f>
        <v/>
      </c>
      <c r="E194" s="75">
        <f>IF($A194="","",_xll.BDP($A194&amp;" Corp","PAYMENT_RANK"))</f>
        <v/>
      </c>
      <c r="F194" s="100">
        <f>IF($A194="","",_xll.BDP($A194&amp;" Corp","MATURITY"))</f>
        <v/>
      </c>
      <c r="G194" s="75">
        <f>IF($A194="","",PROPER(_xll.BDP($A194&amp;" Corp","COUNTRY_FULL_NAME")))</f>
        <v/>
      </c>
      <c r="H194" s="75">
        <f>IF($A194="","",_xll.BDP($A194&amp;" Corp","INDUSTRY_SECTOR"))</f>
        <v/>
      </c>
      <c r="I194" s="101">
        <f>IF($A194="","",IFERROR(_xll.BDP($A194&amp;" Corp","MIN_PIECE")/1000,""))</f>
        <v/>
      </c>
      <c r="J194" s="31">
        <f>IF($A194="","",_xll.BDP($A194&amp;" Corp","PX_LAST"))</f>
        <v/>
      </c>
      <c r="K194" s="31">
        <f>IF($A194="","",_xll.BDP($A194&amp;" Corp","YAS_BOND_YLD","YAS_YLD_FLAG=15"))</f>
        <v/>
      </c>
      <c r="L194" s="31">
        <f>IF($A194="","",K194-_xll.BDP($A194&amp;" Corp","YAS_BOND_YLD","YAS_YLD_FLAG=15","SETTLE_DT",Company_desc!$A$1))</f>
        <v/>
      </c>
      <c r="M194" s="31">
        <f>IF($A194="","",K194-_xll.BDP($A194&amp;" Corp","YAS_BOND_YLD","YAS_YLD_FLAG=15","SETTLE_DT",Company_desc!$A$2))</f>
        <v/>
      </c>
      <c r="N194" s="79">
        <f>IF($A194="","",_xll.BDP($A194&amp;" Corp","YAS_OAS_SPRD"))</f>
        <v/>
      </c>
      <c r="O194" s="67">
        <f>IF($A194="","",_xll.BDP($A194&amp;" Corp","YAS_MOD_DUR"))</f>
        <v/>
      </c>
      <c r="P194" s="80">
        <f>IF($A194="","",IFERROR(INDEX(Sheet1!$P:$P,MATCH($A194,Sheet1!$A:$A,0)),""))</f>
        <v/>
      </c>
      <c r="Q194" s="75">
        <f>IF($A194="","",IFERROR(INDEX(Company_desc!$C:$C,MATCH($A194,Company_desc!$A:$A,0)),IFERROR(INDEX(Sheet1!$Q:$Q,MATCH($A194,Sheet1!$A:$A,0)),"")))</f>
        <v/>
      </c>
      <c r="R194" s="75">
        <f>IF($A194="","",_xll.BDP($A194&amp;" Corp","CRNCY"))</f>
        <v/>
      </c>
      <c r="S194" s="75">
        <f>IF($A194="","",IFERROR(INDEX(Sheet1!$S:$S,MATCH($A194,Sheet1!$A:$A,0)),""))</f>
        <v/>
      </c>
      <c r="T194" s="75">
        <f>IF($A194="","",IFERROR(INDEX(Sheet1!$T:$T,MATCH($A194,Sheet1!$A:$A,0)),_xll.BDP($A194&amp;" Corp","RTG_SP")))</f>
        <v/>
      </c>
      <c r="U194" s="75">
        <f>IF($A194="","",IFERROR(INDEX(Sheet1!$U:$U,MATCH($A194,Sheet1!$A:$A,0)),""))</f>
        <v/>
      </c>
      <c r="W194" s="81">
        <f>IF($A194="","",N194-_xll.BDP($A194&amp;" Corp","YAS_OAS_SPRD","SETTLE_DT",Company_desc!$A$1))</f>
        <v/>
      </c>
      <c r="X194" s="81">
        <f>IF($A194="","",N194-_xll.BDP($A194&amp;" Corp","YAS_OAS_SPRD","SETTLE_DT",Company_desc!$A$2))</f>
        <v/>
      </c>
      <c r="Y194" s="80">
        <f>IF($A194="","",N194-_xll.BDP($A194&amp;" Corp","YAS_OAS_SPRD","SETTLE_DT",Company_desc!$D$1))</f>
        <v/>
      </c>
      <c r="Z194" s="82">
        <f>IF($A194="","",K194-_xll.BDP($A194&amp;" Corp","YAS_BOND_YLD","YAS_YLD_FLAG=15","SETTLE_DT",Company_desc!$D$1))</f>
        <v/>
      </c>
      <c r="AA194" s="80">
        <f>IF($A194="","",_xll.BDP($A194&amp;" Corp","YAS_OAS_SPRD","SETTLE_DT",Company_desc!$D$1))</f>
        <v/>
      </c>
    </row>
    <row r="195">
      <c r="B195" s="75">
        <f>IF($A195="","",IFERROR(INDEX(Sheet1!$B:$B,MATCH($A195,Sheet1!$A:$A,0)),""))</f>
        <v/>
      </c>
      <c r="C195" s="75">
        <f>IF($A195="","",PROPER(_xll.BDP($A195&amp;" Corp","NAME")))</f>
        <v/>
      </c>
      <c r="D195" s="76">
        <f>IF($A195="","",_xll.BDP($A195&amp;" Corp","CPN"))</f>
        <v/>
      </c>
      <c r="E195" s="75">
        <f>IF($A195="","",_xll.BDP($A195&amp;" Corp","PAYMENT_RANK"))</f>
        <v/>
      </c>
      <c r="F195" s="100">
        <f>IF($A195="","",_xll.BDP($A195&amp;" Corp","MATURITY"))</f>
        <v/>
      </c>
      <c r="G195" s="75">
        <f>IF($A195="","",PROPER(_xll.BDP($A195&amp;" Corp","COUNTRY_FULL_NAME")))</f>
        <v/>
      </c>
      <c r="H195" s="75">
        <f>IF($A195="","",_xll.BDP($A195&amp;" Corp","INDUSTRY_SECTOR"))</f>
        <v/>
      </c>
      <c r="I195" s="101">
        <f>IF($A195="","",IFERROR(_xll.BDP($A195&amp;" Corp","MIN_PIECE")/1000,""))</f>
        <v/>
      </c>
      <c r="J195" s="31">
        <f>IF($A195="","",_xll.BDP($A195&amp;" Corp","PX_LAST"))</f>
        <v/>
      </c>
      <c r="K195" s="31">
        <f>IF($A195="","",_xll.BDP($A195&amp;" Corp","YAS_BOND_YLD","YAS_YLD_FLAG=15"))</f>
        <v/>
      </c>
      <c r="L195" s="31">
        <f>IF($A195="","",K195-_xll.BDP($A195&amp;" Corp","YAS_BOND_YLD","YAS_YLD_FLAG=15","SETTLE_DT",Company_desc!$A$1))</f>
        <v/>
      </c>
      <c r="M195" s="31">
        <f>IF($A195="","",K195-_xll.BDP($A195&amp;" Corp","YAS_BOND_YLD","YAS_YLD_FLAG=15","SETTLE_DT",Company_desc!$A$2))</f>
        <v/>
      </c>
      <c r="N195" s="79">
        <f>IF($A195="","",_xll.BDP($A195&amp;" Corp","YAS_OAS_SPRD"))</f>
        <v/>
      </c>
      <c r="O195" s="67">
        <f>IF($A195="","",_xll.BDP($A195&amp;" Corp","YAS_MOD_DUR"))</f>
        <v/>
      </c>
      <c r="P195" s="80">
        <f>IF($A195="","",IFERROR(INDEX(Sheet1!$P:$P,MATCH($A195,Sheet1!$A:$A,0)),""))</f>
        <v/>
      </c>
      <c r="Q195" s="75">
        <f>IF($A195="","",IFERROR(INDEX(Company_desc!$C:$C,MATCH($A195,Company_desc!$A:$A,0)),IFERROR(INDEX(Sheet1!$Q:$Q,MATCH($A195,Sheet1!$A:$A,0)),"")))</f>
        <v/>
      </c>
      <c r="R195" s="75">
        <f>IF($A195="","",_xll.BDP($A195&amp;" Corp","CRNCY"))</f>
        <v/>
      </c>
      <c r="S195" s="75">
        <f>IF($A195="","",IFERROR(INDEX(Sheet1!$S:$S,MATCH($A195,Sheet1!$A:$A,0)),""))</f>
        <v/>
      </c>
      <c r="T195" s="75">
        <f>IF($A195="","",IFERROR(INDEX(Sheet1!$T:$T,MATCH($A195,Sheet1!$A:$A,0)),_xll.BDP($A195&amp;" Corp","RTG_SP")))</f>
        <v/>
      </c>
      <c r="U195" s="75">
        <f>IF($A195="","",IFERROR(INDEX(Sheet1!$U:$U,MATCH($A195,Sheet1!$A:$A,0)),""))</f>
        <v/>
      </c>
      <c r="W195" s="81">
        <f>IF($A195="","",N195-_xll.BDP($A195&amp;" Corp","YAS_OAS_SPRD","SETTLE_DT",Company_desc!$A$1))</f>
        <v/>
      </c>
      <c r="X195" s="81">
        <f>IF($A195="","",N195-_xll.BDP($A195&amp;" Corp","YAS_OAS_SPRD","SETTLE_DT",Company_desc!$A$2))</f>
        <v/>
      </c>
      <c r="Y195" s="80">
        <f>IF($A195="","",N195-_xll.BDP($A195&amp;" Corp","YAS_OAS_SPRD","SETTLE_DT",Company_desc!$D$1))</f>
        <v/>
      </c>
      <c r="Z195" s="82">
        <f>IF($A195="","",K195-_xll.BDP($A195&amp;" Corp","YAS_BOND_YLD","YAS_YLD_FLAG=15","SETTLE_DT",Company_desc!$D$1))</f>
        <v/>
      </c>
      <c r="AA195" s="80">
        <f>IF($A195="","",_xll.BDP($A195&amp;" Corp","YAS_OAS_SPRD","SETTLE_DT",Company_desc!$D$1))</f>
        <v/>
      </c>
    </row>
    <row r="196">
      <c r="B196" s="75">
        <f>IF($A196="","",IFERROR(INDEX(Sheet1!$B:$B,MATCH($A196,Sheet1!$A:$A,0)),""))</f>
        <v/>
      </c>
      <c r="C196" s="75">
        <f>IF($A196="","",PROPER(_xll.BDP($A196&amp;" Corp","NAME")))</f>
        <v/>
      </c>
      <c r="D196" s="76">
        <f>IF($A196="","",_xll.BDP($A196&amp;" Corp","CPN"))</f>
        <v/>
      </c>
      <c r="E196" s="75">
        <f>IF($A196="","",_xll.BDP($A196&amp;" Corp","PAYMENT_RANK"))</f>
        <v/>
      </c>
      <c r="F196" s="100">
        <f>IF($A196="","",_xll.BDP($A196&amp;" Corp","MATURITY"))</f>
        <v/>
      </c>
      <c r="G196" s="75">
        <f>IF($A196="","",PROPER(_xll.BDP($A196&amp;" Corp","COUNTRY_FULL_NAME")))</f>
        <v/>
      </c>
      <c r="H196" s="75">
        <f>IF($A196="","",_xll.BDP($A196&amp;" Corp","INDUSTRY_SECTOR"))</f>
        <v/>
      </c>
      <c r="I196" s="101">
        <f>IF($A196="","",IFERROR(_xll.BDP($A196&amp;" Corp","MIN_PIECE")/1000,""))</f>
        <v/>
      </c>
      <c r="J196" s="31">
        <f>IF($A196="","",_xll.BDP($A196&amp;" Corp","PX_LAST"))</f>
        <v/>
      </c>
      <c r="K196" s="31">
        <f>IF($A196="","",_xll.BDP($A196&amp;" Corp","YAS_BOND_YLD","YAS_YLD_FLAG=15"))</f>
        <v/>
      </c>
      <c r="L196" s="31">
        <f>IF($A196="","",K196-_xll.BDP($A196&amp;" Corp","YAS_BOND_YLD","YAS_YLD_FLAG=15","SETTLE_DT",Company_desc!$A$1))</f>
        <v/>
      </c>
      <c r="M196" s="31">
        <f>IF($A196="","",K196-_xll.BDP($A196&amp;" Corp","YAS_BOND_YLD","YAS_YLD_FLAG=15","SETTLE_DT",Company_desc!$A$2))</f>
        <v/>
      </c>
      <c r="N196" s="79">
        <f>IF($A196="","",_xll.BDP($A196&amp;" Corp","YAS_OAS_SPRD"))</f>
        <v/>
      </c>
      <c r="O196" s="82">
        <f>IF($A196="","",_xll.BDP($A196&amp;" Corp","YAS_MOD_DUR"))</f>
        <v/>
      </c>
      <c r="P196" s="80">
        <f>IF($A196="","",IFERROR(INDEX(Sheet1!$P:$P,MATCH($A196,Sheet1!$A:$A,0)),""))</f>
        <v/>
      </c>
      <c r="Q196" s="75">
        <f>IF($A196="","",IFERROR(INDEX(Company_desc!$C:$C,MATCH($A196,Company_desc!$A:$A,0)),IFERROR(INDEX(Sheet1!$Q:$Q,MATCH($A196,Sheet1!$A:$A,0)),"")))</f>
        <v/>
      </c>
      <c r="R196" s="75">
        <f>IF($A196="","",_xll.BDP($A196&amp;" Corp","CRNCY"))</f>
        <v/>
      </c>
      <c r="S196" s="75">
        <f>IF($A196="","",IFERROR(INDEX(Sheet1!$S:$S,MATCH($A196,Sheet1!$A:$A,0)),""))</f>
        <v/>
      </c>
      <c r="T196" s="75">
        <f>IF($A196="","",IFERROR(INDEX(Sheet1!$T:$T,MATCH($A196,Sheet1!$A:$A,0)),_xll.BDP($A196&amp;" Corp","RTG_SP")))</f>
        <v/>
      </c>
      <c r="U196" s="75">
        <f>IF($A196="","",IFERROR(INDEX(Sheet1!$U:$U,MATCH($A196,Sheet1!$A:$A,0)),""))</f>
        <v/>
      </c>
      <c r="W196" s="81">
        <f>IF($A196="","",N196-_xll.BDP($A196&amp;" Corp","YAS_OAS_SPRD","SETTLE_DT",Company_desc!$A$1))</f>
        <v/>
      </c>
      <c r="X196" s="81">
        <f>IF($A196="","",N196-_xll.BDP($A196&amp;" Corp","YAS_OAS_SPRD","SETTLE_DT",Company_desc!$A$2))</f>
        <v/>
      </c>
      <c r="Y196" s="80">
        <f>IF($A196="","",N196-_xll.BDP($A196&amp;" Corp","YAS_OAS_SPRD","SETTLE_DT",Company_desc!$D$1))</f>
        <v/>
      </c>
      <c r="Z196" s="82">
        <f>IF($A196="","",K196-_xll.BDP($A196&amp;" Corp","YAS_BOND_YLD","YAS_YLD_FLAG=15","SETTLE_DT",Company_desc!$D$1))</f>
        <v/>
      </c>
      <c r="AA196" s="80">
        <f>IF($A196="","",_xll.BDP($A196&amp;" Corp","YAS_OAS_SPRD","SETTLE_DT",Company_desc!$D$1))</f>
        <v/>
      </c>
    </row>
    <row r="197">
      <c r="B197" s="75">
        <f>IF($A197="","",IFERROR(INDEX(Sheet1!$B:$B,MATCH($A197,Sheet1!$A:$A,0)),""))</f>
        <v/>
      </c>
      <c r="C197" s="75">
        <f>IF($A197="","",PROPER(_xll.BDP($A197&amp;" Corp","NAME")))</f>
        <v/>
      </c>
      <c r="D197" s="76">
        <f>IF($A197="","",_xll.BDP($A197&amp;" Corp","CPN"))</f>
        <v/>
      </c>
      <c r="E197" s="75">
        <f>IF($A197="","",_xll.BDP($A197&amp;" Corp","PAYMENT_RANK"))</f>
        <v/>
      </c>
      <c r="F197" s="100">
        <f>IF($A197="","",_xll.BDP($A197&amp;" Corp","MATURITY"))</f>
        <v/>
      </c>
      <c r="G197" s="75">
        <f>IF($A197="","",PROPER(_xll.BDP($A197&amp;" Corp","COUNTRY_FULL_NAME")))</f>
        <v/>
      </c>
      <c r="H197" s="75">
        <f>IF($A197="","",_xll.BDP($A197&amp;" Corp","INDUSTRY_SECTOR"))</f>
        <v/>
      </c>
      <c r="I197" s="101">
        <f>IF($A197="","",IFERROR(_xll.BDP($A197&amp;" Corp","MIN_PIECE")/1000,""))</f>
        <v/>
      </c>
      <c r="J197" s="31">
        <f>IF($A197="","",_xll.BDP($A197&amp;" Corp","PX_LAST"))</f>
        <v/>
      </c>
      <c r="K197" s="31">
        <f>IF($A197="","",_xll.BDP($A197&amp;" Corp","YAS_BOND_YLD","YAS_YLD_FLAG=15"))</f>
        <v/>
      </c>
      <c r="L197" s="31">
        <f>IF($A197="","",K197-_xll.BDP($A197&amp;" Corp","YAS_BOND_YLD","YAS_YLD_FLAG=15","SETTLE_DT",Company_desc!$A$1))</f>
        <v/>
      </c>
      <c r="M197" s="31">
        <f>IF($A197="","",K197-_xll.BDP($A197&amp;" Corp","YAS_BOND_YLD","YAS_YLD_FLAG=15","SETTLE_DT",Company_desc!$A$2))</f>
        <v/>
      </c>
      <c r="N197" s="79">
        <f>IF($A197="","",_xll.BDP($A197&amp;" Corp","YAS_OAS_SPRD"))</f>
        <v/>
      </c>
      <c r="O197" s="82">
        <f>IF($A197="","",_xll.BDP($A197&amp;" Corp","YAS_MOD_DUR"))</f>
        <v/>
      </c>
      <c r="P197" s="80">
        <f>IF($A197="","",IFERROR(INDEX(Sheet1!$P:$P,MATCH($A197,Sheet1!$A:$A,0)),""))</f>
        <v/>
      </c>
      <c r="Q197" s="75">
        <f>IF($A197="","",IFERROR(INDEX(Company_desc!$C:$C,MATCH($A197,Company_desc!$A:$A,0)),IFERROR(INDEX(Sheet1!$Q:$Q,MATCH($A197,Sheet1!$A:$A,0)),"")))</f>
        <v/>
      </c>
      <c r="R197" s="75">
        <f>IF($A197="","",_xll.BDP($A197&amp;" Corp","CRNCY"))</f>
        <v/>
      </c>
      <c r="S197" s="75">
        <f>IF($A197="","",IFERROR(INDEX(Sheet1!$S:$S,MATCH($A197,Sheet1!$A:$A,0)),""))</f>
        <v/>
      </c>
      <c r="T197" s="75">
        <f>IF($A197="","",IFERROR(INDEX(Sheet1!$T:$T,MATCH($A197,Sheet1!$A:$A,0)),_xll.BDP($A197&amp;" Corp","RTG_SP")))</f>
        <v/>
      </c>
      <c r="U197" s="75">
        <f>IF($A197="","",IFERROR(INDEX(Sheet1!$U:$U,MATCH($A197,Sheet1!$A:$A,0)),""))</f>
        <v/>
      </c>
      <c r="W197" s="81">
        <f>IF($A197="","",N197-_xll.BDP($A197&amp;" Corp","YAS_OAS_SPRD","SETTLE_DT",Company_desc!$A$1))</f>
        <v/>
      </c>
      <c r="X197" s="81">
        <f>IF($A197="","",N197-_xll.BDP($A197&amp;" Corp","YAS_OAS_SPRD","SETTLE_DT",Company_desc!$A$2))</f>
        <v/>
      </c>
      <c r="Y197" s="80">
        <f>IF($A197="","",N197-_xll.BDP($A197&amp;" Corp","YAS_OAS_SPRD","SETTLE_DT",Company_desc!$D$1))</f>
        <v/>
      </c>
      <c r="Z197" s="82">
        <f>IF($A197="","",K197-_xll.BDP($A197&amp;" Corp","YAS_BOND_YLD","YAS_YLD_FLAG=15","SETTLE_DT",Company_desc!$D$1))</f>
        <v/>
      </c>
      <c r="AA197" s="80">
        <f>IF($A197="","",_xll.BDP($A197&amp;" Corp","YAS_OAS_SPRD","SETTLE_DT",Company_desc!$D$1))</f>
        <v/>
      </c>
    </row>
    <row r="198">
      <c r="B198" s="75">
        <f>IF($A198="","",IFERROR(INDEX(Sheet1!$B:$B,MATCH($A198,Sheet1!$A:$A,0)),""))</f>
        <v/>
      </c>
      <c r="C198" s="75">
        <f>IF($A198="","",PROPER(_xll.BDP($A198&amp;" Corp","NAME")))</f>
        <v/>
      </c>
      <c r="D198" s="76">
        <f>IF($A198="","",_xll.BDP($A198&amp;" Corp","CPN"))</f>
        <v/>
      </c>
      <c r="E198" s="75">
        <f>IF($A198="","",_xll.BDP($A198&amp;" Corp","PAYMENT_RANK"))</f>
        <v/>
      </c>
      <c r="F198" s="100">
        <f>IF($A198="","",_xll.BDP($A198&amp;" Corp","MATURITY"))</f>
        <v/>
      </c>
      <c r="G198" s="75">
        <f>IF($A198="","",PROPER(_xll.BDP($A198&amp;" Corp","COUNTRY_FULL_NAME")))</f>
        <v/>
      </c>
      <c r="H198" s="75">
        <f>IF($A198="","",_xll.BDP($A198&amp;" Corp","INDUSTRY_SECTOR"))</f>
        <v/>
      </c>
      <c r="I198" s="101">
        <f>IF($A198="","",IFERROR(_xll.BDP($A198&amp;" Corp","MIN_PIECE")/1000,""))</f>
        <v/>
      </c>
      <c r="J198" s="31">
        <f>IF($A198="","",_xll.BDP($A198&amp;" Corp","PX_LAST"))</f>
        <v/>
      </c>
      <c r="K198" s="31">
        <f>IF($A198="","",_xll.BDP($A198&amp;" Corp","YAS_BOND_YLD","YAS_YLD_FLAG=15"))</f>
        <v/>
      </c>
      <c r="L198" s="31">
        <f>IF($A198="","",K198-_xll.BDP($A198&amp;" Corp","YAS_BOND_YLD","YAS_YLD_FLAG=15","SETTLE_DT",Company_desc!$A$1))</f>
        <v/>
      </c>
      <c r="M198" s="31">
        <f>IF($A198="","",K198-_xll.BDP($A198&amp;" Corp","YAS_BOND_YLD","YAS_YLD_FLAG=15","SETTLE_DT",Company_desc!$A$2))</f>
        <v/>
      </c>
      <c r="N198" s="79">
        <f>IF($A198="","",_xll.BDP($A198&amp;" Corp","YAS_OAS_SPRD"))</f>
        <v/>
      </c>
      <c r="O198" s="67">
        <f>IF($A198="","",_xll.BDP($A198&amp;" Corp","YAS_MOD_DUR"))</f>
        <v/>
      </c>
      <c r="P198" s="80">
        <f>IF($A198="","",IFERROR(INDEX(Sheet1!$P:$P,MATCH($A198,Sheet1!$A:$A,0)),""))</f>
        <v/>
      </c>
      <c r="Q198" s="75">
        <f>IF($A198="","",IFERROR(INDEX(Company_desc!$C:$C,MATCH($A198,Company_desc!$A:$A,0)),IFERROR(INDEX(Sheet1!$Q:$Q,MATCH($A198,Sheet1!$A:$A,0)),"")))</f>
        <v/>
      </c>
      <c r="R198" s="75">
        <f>IF($A198="","",_xll.BDP($A198&amp;" Corp","CRNCY"))</f>
        <v/>
      </c>
      <c r="S198" s="75">
        <f>IF($A198="","",IFERROR(INDEX(Sheet1!$S:$S,MATCH($A198,Sheet1!$A:$A,0)),""))</f>
        <v/>
      </c>
      <c r="T198" s="75">
        <f>IF($A198="","",IFERROR(INDEX(Sheet1!$T:$T,MATCH($A198,Sheet1!$A:$A,0)),_xll.BDP($A198&amp;" Corp","RTG_SP")))</f>
        <v/>
      </c>
      <c r="U198" s="75">
        <f>IF($A198="","",IFERROR(INDEX(Sheet1!$U:$U,MATCH($A198,Sheet1!$A:$A,0)),""))</f>
        <v/>
      </c>
      <c r="W198" s="81">
        <f>IF($A198="","",N198-_xll.BDP($A198&amp;" Corp","YAS_OAS_SPRD","SETTLE_DT",Company_desc!$A$1))</f>
        <v/>
      </c>
      <c r="X198" s="81">
        <f>IF($A198="","",N198-_xll.BDP($A198&amp;" Corp","YAS_OAS_SPRD","SETTLE_DT",Company_desc!$A$2))</f>
        <v/>
      </c>
      <c r="Y198" s="80">
        <f>IF($A198="","",N198-_xll.BDP($A198&amp;" Corp","YAS_OAS_SPRD","SETTLE_DT",Company_desc!$D$1))</f>
        <v/>
      </c>
      <c r="Z198" s="82">
        <f>IF($A198="","",K198-_xll.BDP($A198&amp;" Corp","YAS_BOND_YLD","YAS_YLD_FLAG=15","SETTLE_DT",Company_desc!$D$1))</f>
        <v/>
      </c>
      <c r="AA198" s="80">
        <f>IF($A198="","",_xll.BDP($A198&amp;" Corp","YAS_OAS_SPRD","SETTLE_DT",Company_desc!$D$1))</f>
        <v/>
      </c>
    </row>
    <row r="199">
      <c r="B199" s="75">
        <f>IF($A199="","",IFERROR(INDEX(Sheet1!$B:$B,MATCH($A199,Sheet1!$A:$A,0)),""))</f>
        <v/>
      </c>
      <c r="C199" s="75">
        <f>IF($A199="","",PROPER(_xll.BDP($A199&amp;" Corp","NAME")))</f>
        <v/>
      </c>
      <c r="D199" s="76">
        <f>IF($A199="","",_xll.BDP($A199&amp;" Corp","CPN"))</f>
        <v/>
      </c>
      <c r="E199" s="75">
        <f>IF($A199="","",_xll.BDP($A199&amp;" Corp","PAYMENT_RANK"))</f>
        <v/>
      </c>
      <c r="F199" s="100">
        <f>IF($A199="","",_xll.BDP($A199&amp;" Corp","MATURITY"))</f>
        <v/>
      </c>
      <c r="G199" s="75">
        <f>IF($A199="","",PROPER(_xll.BDP($A199&amp;" Corp","COUNTRY_FULL_NAME")))</f>
        <v/>
      </c>
      <c r="H199" s="75">
        <f>IF($A199="","",_xll.BDP($A199&amp;" Corp","INDUSTRY_SECTOR"))</f>
        <v/>
      </c>
      <c r="I199" s="101">
        <f>IF($A199="","",IFERROR(_xll.BDP($A199&amp;" Corp","MIN_PIECE")/1000,""))</f>
        <v/>
      </c>
      <c r="J199" s="31">
        <f>IF($A199="","",_xll.BDP($A199&amp;" Corp","PX_LAST"))</f>
        <v/>
      </c>
      <c r="K199" s="31">
        <f>IF($A199="","",_xll.BDP($A199&amp;" Corp","YAS_BOND_YLD","YAS_YLD_FLAG=15"))</f>
        <v/>
      </c>
      <c r="L199" s="31">
        <f>IF($A199="","",K199-_xll.BDP($A199&amp;" Corp","YAS_BOND_YLD","YAS_YLD_FLAG=15","SETTLE_DT",Company_desc!$A$1))</f>
        <v/>
      </c>
      <c r="M199" s="31">
        <f>IF($A199="","",K199-_xll.BDP($A199&amp;" Corp","YAS_BOND_YLD","YAS_YLD_FLAG=15","SETTLE_DT",Company_desc!$A$2))</f>
        <v/>
      </c>
      <c r="N199" s="79">
        <f>IF($A199="","",_xll.BDP($A199&amp;" Corp","YAS_OAS_SPRD"))</f>
        <v/>
      </c>
      <c r="O199" s="67">
        <f>IF($A199="","",_xll.BDP($A199&amp;" Corp","YAS_MOD_DUR"))</f>
        <v/>
      </c>
      <c r="P199" s="80">
        <f>IF($A199="","",IFERROR(INDEX(Sheet1!$P:$P,MATCH($A199,Sheet1!$A:$A,0)),""))</f>
        <v/>
      </c>
      <c r="Q199" s="75">
        <f>IF($A199="","",IFERROR(INDEX(Company_desc!$C:$C,MATCH($A199,Company_desc!$A:$A,0)),IFERROR(INDEX(Sheet1!$Q:$Q,MATCH($A199,Sheet1!$A:$A,0)),"")))</f>
        <v/>
      </c>
      <c r="R199" s="75">
        <f>IF($A199="","",_xll.BDP($A199&amp;" Corp","CRNCY"))</f>
        <v/>
      </c>
      <c r="S199" s="75">
        <f>IF($A199="","",IFERROR(INDEX(Sheet1!$S:$S,MATCH($A199,Sheet1!$A:$A,0)),""))</f>
        <v/>
      </c>
      <c r="T199" s="75">
        <f>IF($A199="","",IFERROR(INDEX(Sheet1!$T:$T,MATCH($A199,Sheet1!$A:$A,0)),_xll.BDP($A199&amp;" Corp","RTG_SP")))</f>
        <v/>
      </c>
      <c r="U199" s="75">
        <f>IF($A199="","",IFERROR(INDEX(Sheet1!$U:$U,MATCH($A199,Sheet1!$A:$A,0)),""))</f>
        <v/>
      </c>
      <c r="W199" s="81">
        <f>IF($A199="","",N199-_xll.BDP($A199&amp;" Corp","YAS_OAS_SPRD","SETTLE_DT",Company_desc!$A$1))</f>
        <v/>
      </c>
      <c r="X199" s="81">
        <f>IF($A199="","",N199-_xll.BDP($A199&amp;" Corp","YAS_OAS_SPRD","SETTLE_DT",Company_desc!$A$2))</f>
        <v/>
      </c>
      <c r="Y199" s="80">
        <f>IF($A199="","",N199-_xll.BDP($A199&amp;" Corp","YAS_OAS_SPRD","SETTLE_DT",Company_desc!$D$1))</f>
        <v/>
      </c>
      <c r="Z199" s="82">
        <f>IF($A199="","",K199-_xll.BDP($A199&amp;" Corp","YAS_BOND_YLD","YAS_YLD_FLAG=15","SETTLE_DT",Company_desc!$D$1))</f>
        <v/>
      </c>
      <c r="AA199" s="80">
        <f>IF($A199="","",_xll.BDP($A199&amp;" Corp","YAS_OAS_SPRD","SETTLE_DT",Company_desc!$D$1))</f>
        <v/>
      </c>
    </row>
    <row r="200">
      <c r="B200" s="75">
        <f>IF($A200="","",IFERROR(INDEX(Sheet1!$B:$B,MATCH($A200,Sheet1!$A:$A,0)),""))</f>
        <v/>
      </c>
      <c r="C200" s="75">
        <f>IF($A200="","",PROPER(_xll.BDP($A200&amp;" Corp","NAME")))</f>
        <v/>
      </c>
      <c r="D200" s="76">
        <f>IF($A200="","",_xll.BDP($A200&amp;" Corp","CPN"))</f>
        <v/>
      </c>
      <c r="E200" s="75">
        <f>IF($A200="","",_xll.BDP($A200&amp;" Corp","PAYMENT_RANK"))</f>
        <v/>
      </c>
      <c r="F200" s="100">
        <f>IF($A200="","",_xll.BDP($A200&amp;" Corp","MATURITY"))</f>
        <v/>
      </c>
      <c r="G200" s="75">
        <f>IF($A200="","",PROPER(_xll.BDP($A200&amp;" Corp","COUNTRY_FULL_NAME")))</f>
        <v/>
      </c>
      <c r="H200" s="75">
        <f>IF($A200="","",_xll.BDP($A200&amp;" Corp","INDUSTRY_SECTOR"))</f>
        <v/>
      </c>
      <c r="I200" s="101">
        <f>IF($A200="","",IFERROR(_xll.BDP($A200&amp;" Corp","MIN_PIECE")/1000,""))</f>
        <v/>
      </c>
      <c r="J200" s="31">
        <f>IF($A200="","",_xll.BDP($A200&amp;" Corp","PX_LAST"))</f>
        <v/>
      </c>
      <c r="K200" s="31">
        <f>IF($A200="","",_xll.BDP($A200&amp;" Corp","YAS_BOND_YLD","YAS_YLD_FLAG=15"))</f>
        <v/>
      </c>
      <c r="L200" s="31">
        <f>IF($A200="","",K200-_xll.BDP($A200&amp;" Corp","YAS_BOND_YLD","YAS_YLD_FLAG=15","SETTLE_DT",Company_desc!$A$1))</f>
        <v/>
      </c>
      <c r="M200" s="31">
        <f>IF($A200="","",K200-_xll.BDP($A200&amp;" Corp","YAS_BOND_YLD","YAS_YLD_FLAG=15","SETTLE_DT",Company_desc!$A$2))</f>
        <v/>
      </c>
      <c r="N200" s="79">
        <f>IF($A200="","",_xll.BDP($A200&amp;" Corp","YAS_OAS_SPRD"))</f>
        <v/>
      </c>
      <c r="O200" s="67">
        <f>IF($A200="","",_xll.BDP($A200&amp;" Corp","YAS_MOD_DUR"))</f>
        <v/>
      </c>
      <c r="P200" s="80">
        <f>IF($A200="","",IFERROR(INDEX(Sheet1!$P:$P,MATCH($A200,Sheet1!$A:$A,0)),""))</f>
        <v/>
      </c>
      <c r="Q200" s="75">
        <f>IF($A200="","",IFERROR(INDEX(Company_desc!$C:$C,MATCH($A200,Company_desc!$A:$A,0)),IFERROR(INDEX(Sheet1!$Q:$Q,MATCH($A200,Sheet1!$A:$A,0)),"")))</f>
        <v/>
      </c>
      <c r="R200" s="75">
        <f>IF($A200="","",_xll.BDP($A200&amp;" Corp","CRNCY"))</f>
        <v/>
      </c>
      <c r="S200" s="75">
        <f>IF($A200="","",IFERROR(INDEX(Sheet1!$S:$S,MATCH($A200,Sheet1!$A:$A,0)),""))</f>
        <v/>
      </c>
      <c r="T200" s="75">
        <f>IF($A200="","",IFERROR(INDEX(Sheet1!$T:$T,MATCH($A200,Sheet1!$A:$A,0)),_xll.BDP($A200&amp;" Corp","RTG_SP")))</f>
        <v/>
      </c>
      <c r="U200" s="75">
        <f>IF($A200="","",IFERROR(INDEX(Sheet1!$U:$U,MATCH($A200,Sheet1!$A:$A,0)),""))</f>
        <v/>
      </c>
      <c r="W200" s="81">
        <f>IF($A200="","",N200-_xll.BDP($A200&amp;" Corp","YAS_OAS_SPRD","SETTLE_DT",Company_desc!$A$1))</f>
        <v/>
      </c>
      <c r="X200" s="81">
        <f>IF($A200="","",N200-_xll.BDP($A200&amp;" Corp","YAS_OAS_SPRD","SETTLE_DT",Company_desc!$A$2))</f>
        <v/>
      </c>
      <c r="Y200" s="80">
        <f>IF($A200="","",N200-_xll.BDP($A200&amp;" Corp","YAS_OAS_SPRD","SETTLE_DT",Company_desc!$D$1))</f>
        <v/>
      </c>
      <c r="Z200" s="82">
        <f>IF($A200="","",K200-_xll.BDP($A200&amp;" Corp","YAS_BOND_YLD","YAS_YLD_FLAG=15","SETTLE_DT",Company_desc!$D$1))</f>
        <v/>
      </c>
      <c r="AA200" s="80">
        <f>IF($A200="","",_xll.BDP($A200&amp;" Corp","YAS_OAS_SPRD","SETTLE_DT",Company_desc!$D$1))</f>
        <v/>
      </c>
    </row>
    <row r="201">
      <c r="B201" s="75">
        <f>IF($A201="","",IFERROR(INDEX(Sheet1!$B:$B,MATCH($A201,Sheet1!$A:$A,0)),""))</f>
        <v/>
      </c>
      <c r="C201" s="75">
        <f>IF($A201="","",PROPER(_xll.BDP($A201&amp;" Corp","NAME")))</f>
        <v/>
      </c>
      <c r="D201" s="76">
        <f>IF($A201="","",_xll.BDP($A201&amp;" Corp","CPN"))</f>
        <v/>
      </c>
      <c r="E201" s="75">
        <f>IF($A201="","",_xll.BDP($A201&amp;" Corp","PAYMENT_RANK"))</f>
        <v/>
      </c>
      <c r="F201" s="100">
        <f>IF($A201="","",_xll.BDP($A201&amp;" Corp","MATURITY"))</f>
        <v/>
      </c>
      <c r="G201" s="75">
        <f>IF($A201="","",PROPER(_xll.BDP($A201&amp;" Corp","COUNTRY_FULL_NAME")))</f>
        <v/>
      </c>
      <c r="H201" s="75">
        <f>IF($A201="","",_xll.BDP($A201&amp;" Corp","INDUSTRY_SECTOR"))</f>
        <v/>
      </c>
      <c r="I201" s="101">
        <f>IF($A201="","",IFERROR(_xll.BDP($A201&amp;" Corp","MIN_PIECE")/1000,""))</f>
        <v/>
      </c>
      <c r="J201" s="31">
        <f>IF($A201="","",_xll.BDP($A201&amp;" Corp","PX_LAST"))</f>
        <v/>
      </c>
      <c r="K201" s="31">
        <f>IF($A201="","",_xll.BDP($A201&amp;" Corp","YAS_BOND_YLD","YAS_YLD_FLAG=15"))</f>
        <v/>
      </c>
      <c r="L201" s="31">
        <f>IF($A201="","",K201-_xll.BDP($A201&amp;" Corp","YAS_BOND_YLD","YAS_YLD_FLAG=15","SETTLE_DT",Company_desc!$A$1))</f>
        <v/>
      </c>
      <c r="M201" s="31">
        <f>IF($A201="","",K201-_xll.BDP($A201&amp;" Corp","YAS_BOND_YLD","YAS_YLD_FLAG=15","SETTLE_DT",Company_desc!$A$2))</f>
        <v/>
      </c>
      <c r="N201" s="79">
        <f>IF($A201="","",_xll.BDP($A201&amp;" Corp","YAS_OAS_SPRD"))</f>
        <v/>
      </c>
      <c r="O201" s="67">
        <f>IF($A201="","",_xll.BDP($A201&amp;" Corp","YAS_MOD_DUR"))</f>
        <v/>
      </c>
      <c r="P201" s="80">
        <f>IF($A201="","",IFERROR(INDEX(Sheet1!$P:$P,MATCH($A201,Sheet1!$A:$A,0)),""))</f>
        <v/>
      </c>
      <c r="Q201" s="75">
        <f>IF($A201="","",IFERROR(INDEX(Company_desc!$C:$C,MATCH($A201,Company_desc!$A:$A,0)),IFERROR(INDEX(Sheet1!$Q:$Q,MATCH($A201,Sheet1!$A:$A,0)),"")))</f>
        <v/>
      </c>
      <c r="R201" s="75">
        <f>IF($A201="","",_xll.BDP($A201&amp;" Corp","CRNCY"))</f>
        <v/>
      </c>
      <c r="S201" s="75">
        <f>IF($A201="","",IFERROR(INDEX(Sheet1!$S:$S,MATCH($A201,Sheet1!$A:$A,0)),""))</f>
        <v/>
      </c>
      <c r="T201" s="75">
        <f>IF($A201="","",IFERROR(INDEX(Sheet1!$T:$T,MATCH($A201,Sheet1!$A:$A,0)),_xll.BDP($A201&amp;" Corp","RTG_SP")))</f>
        <v/>
      </c>
      <c r="U201" s="75">
        <f>IF($A201="","",IFERROR(INDEX(Sheet1!$U:$U,MATCH($A201,Sheet1!$A:$A,0)),""))</f>
        <v/>
      </c>
      <c r="W201" s="81">
        <f>IF($A201="","",N201-_xll.BDP($A201&amp;" Corp","YAS_OAS_SPRD","SETTLE_DT",Company_desc!$A$1))</f>
        <v/>
      </c>
      <c r="X201" s="81">
        <f>IF($A201="","",N201-_xll.BDP($A201&amp;" Corp","YAS_OAS_SPRD","SETTLE_DT",Company_desc!$A$2))</f>
        <v/>
      </c>
      <c r="Y201" s="80">
        <f>IF($A201="","",N201-_xll.BDP($A201&amp;" Corp","YAS_OAS_SPRD","SETTLE_DT",Company_desc!$D$1))</f>
        <v/>
      </c>
      <c r="Z201" s="82">
        <f>IF($A201="","",K201-_xll.BDP($A201&amp;" Corp","YAS_BOND_YLD","YAS_YLD_FLAG=15","SETTLE_DT",Company_desc!$D$1))</f>
        <v/>
      </c>
      <c r="AA201" s="80">
        <f>IF($A201="","",_xll.BDP($A201&amp;" Corp","YAS_OAS_SPRD","SETTLE_DT",Company_desc!$D$1))</f>
        <v/>
      </c>
    </row>
    <row r="202">
      <c r="B202" s="75">
        <f>IF($A202="","",IFERROR(INDEX(Sheet1!$B:$B,MATCH($A202,Sheet1!$A:$A,0)),""))</f>
        <v/>
      </c>
      <c r="C202" s="75">
        <f>IF($A202="","",PROPER(_xll.BDP($A202&amp;" Corp","NAME")))</f>
        <v/>
      </c>
      <c r="D202" s="76">
        <f>IF($A202="","",_xll.BDP($A202&amp;" Corp","CPN"))</f>
        <v/>
      </c>
      <c r="E202" s="75">
        <f>IF($A202="","",_xll.BDP($A202&amp;" Corp","PAYMENT_RANK"))</f>
        <v/>
      </c>
      <c r="F202" s="100">
        <f>IF($A202="","",_xll.BDP($A202&amp;" Corp","MATURITY"))</f>
        <v/>
      </c>
      <c r="G202" s="75">
        <f>IF($A202="","",PROPER(_xll.BDP($A202&amp;" Corp","COUNTRY_FULL_NAME")))</f>
        <v/>
      </c>
      <c r="H202" s="75">
        <f>IF($A202="","",_xll.BDP($A202&amp;" Corp","INDUSTRY_SECTOR"))</f>
        <v/>
      </c>
      <c r="I202" s="101">
        <f>IF($A202="","",IFERROR(_xll.BDP($A202&amp;" Corp","MIN_PIECE")/1000,""))</f>
        <v/>
      </c>
      <c r="J202" s="31">
        <f>IF($A202="","",_xll.BDP($A202&amp;" Corp","PX_LAST"))</f>
        <v/>
      </c>
      <c r="K202" s="31">
        <f>IF($A202="","",_xll.BDP($A202&amp;" Corp","YAS_BOND_YLD","YAS_YLD_FLAG=15"))</f>
        <v/>
      </c>
      <c r="L202" s="31">
        <f>IF($A202="","",K202-_xll.BDP($A202&amp;" Corp","YAS_BOND_YLD","YAS_YLD_FLAG=15","SETTLE_DT",Company_desc!$A$1))</f>
        <v/>
      </c>
      <c r="M202" s="31">
        <f>IF($A202="","",K202-_xll.BDP($A202&amp;" Corp","YAS_BOND_YLD","YAS_YLD_FLAG=15","SETTLE_DT",Company_desc!$A$2))</f>
        <v/>
      </c>
      <c r="N202" s="79">
        <f>IF($A202="","",_xll.BDP($A202&amp;" Corp","YAS_OAS_SPRD"))</f>
        <v/>
      </c>
      <c r="O202" s="67">
        <f>IF($A202="","",_xll.BDP($A202&amp;" Corp","YAS_MOD_DUR"))</f>
        <v/>
      </c>
      <c r="P202" s="80">
        <f>IF($A202="","",IFERROR(INDEX(Sheet1!$P:$P,MATCH($A202,Sheet1!$A:$A,0)),""))</f>
        <v/>
      </c>
      <c r="Q202" s="75">
        <f>IF($A202="","",IFERROR(INDEX(Company_desc!$C:$C,MATCH($A202,Company_desc!$A:$A,0)),IFERROR(INDEX(Sheet1!$Q:$Q,MATCH($A202,Sheet1!$A:$A,0)),"")))</f>
        <v/>
      </c>
      <c r="R202" s="75">
        <f>IF($A202="","",_xll.BDP($A202&amp;" Corp","CRNCY"))</f>
        <v/>
      </c>
      <c r="S202" s="75">
        <f>IF($A202="","",IFERROR(INDEX(Sheet1!$S:$S,MATCH($A202,Sheet1!$A:$A,0)),""))</f>
        <v/>
      </c>
      <c r="T202" s="75">
        <f>IF($A202="","",IFERROR(INDEX(Sheet1!$T:$T,MATCH($A202,Sheet1!$A:$A,0)),_xll.BDP($A202&amp;" Corp","RTG_SP")))</f>
        <v/>
      </c>
      <c r="U202" s="75">
        <f>IF($A202="","",IFERROR(INDEX(Sheet1!$U:$U,MATCH($A202,Sheet1!$A:$A,0)),""))</f>
        <v/>
      </c>
      <c r="W202" s="81">
        <f>IF($A202="","",N202-_xll.BDP($A202&amp;" Corp","YAS_OAS_SPRD","SETTLE_DT",Company_desc!$A$1))</f>
        <v/>
      </c>
      <c r="X202" s="81">
        <f>IF($A202="","",N202-_xll.BDP($A202&amp;" Corp","YAS_OAS_SPRD","SETTLE_DT",Company_desc!$A$2))</f>
        <v/>
      </c>
      <c r="Y202" s="80">
        <f>IF($A202="","",N202-_xll.BDP($A202&amp;" Corp","YAS_OAS_SPRD","SETTLE_DT",Company_desc!$D$1))</f>
        <v/>
      </c>
      <c r="Z202" s="82">
        <f>IF($A202="","",K202-_xll.BDP($A202&amp;" Corp","YAS_BOND_YLD","YAS_YLD_FLAG=15","SETTLE_DT",Company_desc!$D$1))</f>
        <v/>
      </c>
      <c r="AA202" s="80">
        <f>IF($A202="","",_xll.BDP($A202&amp;" Corp","YAS_OAS_SPRD","SETTLE_DT",Company_desc!$D$1))</f>
        <v/>
      </c>
    </row>
    <row r="203">
      <c r="B203" s="75">
        <f>IF($A203="","",IFERROR(INDEX(Sheet1!$B:$B,MATCH($A203,Sheet1!$A:$A,0)),""))</f>
        <v/>
      </c>
      <c r="C203" s="75">
        <f>IF($A203="","",PROPER(_xll.BDP($A203&amp;" Corp","NAME")))</f>
        <v/>
      </c>
      <c r="D203" s="76">
        <f>IF($A203="","",_xll.BDP($A203&amp;" Corp","CPN"))</f>
        <v/>
      </c>
      <c r="E203" s="75">
        <f>IF($A203="","",_xll.BDP($A203&amp;" Corp","PAYMENT_RANK"))</f>
        <v/>
      </c>
      <c r="F203" s="100">
        <f>IF($A203="","",_xll.BDP($A203&amp;" Corp","MATURITY"))</f>
        <v/>
      </c>
      <c r="G203" s="75">
        <f>IF($A203="","",PROPER(_xll.BDP($A203&amp;" Corp","COUNTRY_FULL_NAME")))</f>
        <v/>
      </c>
      <c r="H203" s="75">
        <f>IF($A203="","",_xll.BDP($A203&amp;" Corp","INDUSTRY_SECTOR"))</f>
        <v/>
      </c>
      <c r="I203" s="101">
        <f>IF($A203="","",IFERROR(_xll.BDP($A203&amp;" Corp","MIN_PIECE")/1000,""))</f>
        <v/>
      </c>
      <c r="J203" s="31">
        <f>IF($A203="","",_xll.BDP($A203&amp;" Corp","PX_LAST"))</f>
        <v/>
      </c>
      <c r="K203" s="31">
        <f>IF($A203="","",_xll.BDP($A203&amp;" Corp","YAS_BOND_YLD","YAS_YLD_FLAG=15"))</f>
        <v/>
      </c>
      <c r="L203" s="31">
        <f>IF($A203="","",K203-_xll.BDP($A203&amp;" Corp","YAS_BOND_YLD","YAS_YLD_FLAG=15","SETTLE_DT",Company_desc!$A$1))</f>
        <v/>
      </c>
      <c r="M203" s="31">
        <f>IF($A203="","",K203-_xll.BDP($A203&amp;" Corp","YAS_BOND_YLD","YAS_YLD_FLAG=15","SETTLE_DT",Company_desc!$A$2))</f>
        <v/>
      </c>
      <c r="N203" s="79">
        <f>IF($A203="","",_xll.BDP($A203&amp;" Corp","YAS_OAS_SPRD"))</f>
        <v/>
      </c>
      <c r="O203" s="67">
        <f>IF($A203="","",_xll.BDP($A203&amp;" Corp","YAS_MOD_DUR"))</f>
        <v/>
      </c>
      <c r="P203" s="80">
        <f>IF($A203="","",IFERROR(INDEX(Sheet1!$P:$P,MATCH($A203,Sheet1!$A:$A,0)),""))</f>
        <v/>
      </c>
      <c r="Q203" s="75">
        <f>IF($A203="","",IFERROR(INDEX(Company_desc!$C:$C,MATCH($A203,Company_desc!$A:$A,0)),IFERROR(INDEX(Sheet1!$Q:$Q,MATCH($A203,Sheet1!$A:$A,0)),"")))</f>
        <v/>
      </c>
      <c r="R203" s="75">
        <f>IF($A203="","",_xll.BDP($A203&amp;" Corp","CRNCY"))</f>
        <v/>
      </c>
      <c r="S203" s="75">
        <f>IF($A203="","",IFERROR(INDEX(Sheet1!$S:$S,MATCH($A203,Sheet1!$A:$A,0)),""))</f>
        <v/>
      </c>
      <c r="T203" s="75">
        <f>IF($A203="","",IFERROR(INDEX(Sheet1!$T:$T,MATCH($A203,Sheet1!$A:$A,0)),_xll.BDP($A203&amp;" Corp","RTG_SP")))</f>
        <v/>
      </c>
      <c r="U203" s="75">
        <f>IF($A203="","",IFERROR(INDEX(Sheet1!$U:$U,MATCH($A203,Sheet1!$A:$A,0)),""))</f>
        <v/>
      </c>
      <c r="W203" s="81">
        <f>IF($A203="","",N203-_xll.BDP($A203&amp;" Corp","YAS_OAS_SPRD","SETTLE_DT",Company_desc!$A$1))</f>
        <v/>
      </c>
      <c r="X203" s="81">
        <f>IF($A203="","",N203-_xll.BDP($A203&amp;" Corp","YAS_OAS_SPRD","SETTLE_DT",Company_desc!$A$2))</f>
        <v/>
      </c>
      <c r="Y203" s="80">
        <f>IF($A203="","",N203-_xll.BDP($A203&amp;" Corp","YAS_OAS_SPRD","SETTLE_DT",Company_desc!$D$1))</f>
        <v/>
      </c>
      <c r="Z203" s="82">
        <f>IF($A203="","",K203-_xll.BDP($A203&amp;" Corp","YAS_BOND_YLD","YAS_YLD_FLAG=15","SETTLE_DT",Company_desc!$D$1))</f>
        <v/>
      </c>
      <c r="AA203" s="80">
        <f>IF($A203="","",_xll.BDP($A203&amp;" Corp","YAS_OAS_SPRD","SETTLE_DT",Company_desc!$D$1))</f>
        <v/>
      </c>
    </row>
    <row r="204">
      <c r="A204" s="42" t="n"/>
      <c r="B204" s="75">
        <f>IF($A204="","",IFERROR(INDEX(Sheet1!$B:$B,MATCH($A204,Sheet1!$A:$A,0)),""))</f>
        <v/>
      </c>
      <c r="C204" s="75">
        <f>IF($A204="","",PROPER(_xll.BDP($A204&amp;" Corp","NAME")))</f>
        <v/>
      </c>
      <c r="D204" s="76">
        <f>IF($A204="","",_xll.BDP($A204&amp;" Corp","CPN"))</f>
        <v/>
      </c>
      <c r="E204" s="75">
        <f>IF($A204="","",_xll.BDP($A204&amp;" Corp","PAYMENT_RANK"))</f>
        <v/>
      </c>
      <c r="F204" s="100">
        <f>IF($A204="","",_xll.BDP($A204&amp;" Corp","MATURITY"))</f>
        <v/>
      </c>
      <c r="G204" s="75">
        <f>IF($A204="","",PROPER(_xll.BDP($A204&amp;" Corp","COUNTRY_FULL_NAME")))</f>
        <v/>
      </c>
      <c r="H204" s="75">
        <f>IF($A204="","",_xll.BDP($A204&amp;" Corp","INDUSTRY_SECTOR"))</f>
        <v/>
      </c>
      <c r="I204" s="101">
        <f>IF($A204="","",IFERROR(_xll.BDP($A204&amp;" Corp","MIN_PIECE")/1000,""))</f>
        <v/>
      </c>
      <c r="J204" s="31">
        <f>IF($A204="","",_xll.BDP($A204&amp;" Corp","PX_LAST"))</f>
        <v/>
      </c>
      <c r="K204" s="31">
        <f>IF($A204="","",_xll.BDP($A204&amp;" Corp","YAS_BOND_YLD","YAS_YLD_FLAG=15"))</f>
        <v/>
      </c>
      <c r="L204" s="31">
        <f>IF($A204="","",K204-_xll.BDP($A204&amp;" Corp","YAS_BOND_YLD","YAS_YLD_FLAG=15","SETTLE_DT",Company_desc!$A$1))</f>
        <v/>
      </c>
      <c r="M204" s="31">
        <f>IF($A204="","",K204-_xll.BDP($A204&amp;" Corp","YAS_BOND_YLD","YAS_YLD_FLAG=15","SETTLE_DT",Company_desc!$A$2))</f>
        <v/>
      </c>
      <c r="N204" s="79">
        <f>IF($A204="","",_xll.BDP($A204&amp;" Corp","YAS_OAS_SPRD"))</f>
        <v/>
      </c>
      <c r="O204" s="67">
        <f>IF($A204="","",_xll.BDP($A204&amp;" Corp","YAS_MOD_DUR"))</f>
        <v/>
      </c>
      <c r="P204" s="80">
        <f>IF($A204="","",IFERROR(INDEX(Sheet1!$P:$P,MATCH($A204,Sheet1!$A:$A,0)),""))</f>
        <v/>
      </c>
      <c r="Q204" s="75">
        <f>IF($A204="","",IFERROR(INDEX(Company_desc!$C:$C,MATCH($A204,Company_desc!$A:$A,0)),IFERROR(INDEX(Sheet1!$Q:$Q,MATCH($A204,Sheet1!$A:$A,0)),"")))</f>
        <v/>
      </c>
      <c r="R204" s="75">
        <f>IF($A204="","",_xll.BDP($A204&amp;" Corp","CRNCY"))</f>
        <v/>
      </c>
      <c r="S204" s="75">
        <f>IF($A204="","",IFERROR(INDEX(Sheet1!$S:$S,MATCH($A204,Sheet1!$A:$A,0)),""))</f>
        <v/>
      </c>
      <c r="T204" s="75">
        <f>IF($A204="","",IFERROR(INDEX(Sheet1!$T:$T,MATCH($A204,Sheet1!$A:$A,0)),_xll.BDP($A204&amp;" Corp","RTG_SP")))</f>
        <v/>
      </c>
      <c r="U204" s="75">
        <f>IF($A204="","",IFERROR(INDEX(Sheet1!$U:$U,MATCH($A204,Sheet1!$A:$A,0)),""))</f>
        <v/>
      </c>
      <c r="W204" s="81">
        <f>IF($A204="","",N204-_xll.BDP($A204&amp;" Corp","YAS_OAS_SPRD","SETTLE_DT",Company_desc!$A$1))</f>
        <v/>
      </c>
      <c r="X204" s="81">
        <f>IF($A204="","",N204-_xll.BDP($A204&amp;" Corp","YAS_OAS_SPRD","SETTLE_DT",Company_desc!$A$2))</f>
        <v/>
      </c>
      <c r="Y204" s="80">
        <f>IF($A204="","",N204-_xll.BDP($A204&amp;" Corp","YAS_OAS_SPRD","SETTLE_DT",Company_desc!$D$1))</f>
        <v/>
      </c>
      <c r="Z204" s="82">
        <f>IF($A204="","",K204-_xll.BDP($A204&amp;" Corp","YAS_BOND_YLD","YAS_YLD_FLAG=15","SETTLE_DT",Company_desc!$D$1))</f>
        <v/>
      </c>
      <c r="AA204" s="80">
        <f>IF($A204="","",_xll.BDP($A204&amp;" Corp","YAS_OAS_SPRD","SETTLE_DT",Company_desc!$D$1))</f>
        <v/>
      </c>
    </row>
    <row r="205">
      <c r="B205" s="75">
        <f>IF($A205="","",IFERROR(INDEX(Sheet1!$B:$B,MATCH($A205,Sheet1!$A:$A,0)),""))</f>
        <v/>
      </c>
      <c r="C205" s="75">
        <f>IF($A205="","",PROPER(_xll.BDP($A205&amp;" Corp","NAME")))</f>
        <v/>
      </c>
      <c r="D205" s="76">
        <f>IF($A205="","",_xll.BDP($A205&amp;" Corp","CPN"))</f>
        <v/>
      </c>
      <c r="E205" s="75">
        <f>IF($A205="","",_xll.BDP($A205&amp;" Corp","PAYMENT_RANK"))</f>
        <v/>
      </c>
      <c r="F205" s="100">
        <f>IF($A205="","",_xll.BDP($A205&amp;" Corp","MATURITY"))</f>
        <v/>
      </c>
      <c r="G205" s="75">
        <f>IF($A205="","",PROPER(_xll.BDP($A205&amp;" Corp","COUNTRY_FULL_NAME")))</f>
        <v/>
      </c>
      <c r="H205" s="75">
        <f>IF($A205="","",_xll.BDP($A205&amp;" Corp","INDUSTRY_SECTOR"))</f>
        <v/>
      </c>
      <c r="I205" s="101">
        <f>IF($A205="","",IFERROR(_xll.BDP($A205&amp;" Corp","MIN_PIECE")/1000,""))</f>
        <v/>
      </c>
      <c r="J205" s="31">
        <f>IF($A205="","",_xll.BDP($A205&amp;" Corp","PX_LAST"))</f>
        <v/>
      </c>
      <c r="K205" s="31">
        <f>IF($A205="","",_xll.BDP($A205&amp;" Corp","YAS_BOND_YLD","YAS_YLD_FLAG=15"))</f>
        <v/>
      </c>
      <c r="L205" s="31">
        <f>IF($A205="","",K205-_xll.BDP($A205&amp;" Corp","YAS_BOND_YLD","YAS_YLD_FLAG=15","SETTLE_DT",Company_desc!$A$1))</f>
        <v/>
      </c>
      <c r="M205" s="31">
        <f>IF($A205="","",K205-_xll.BDP($A205&amp;" Corp","YAS_BOND_YLD","YAS_YLD_FLAG=15","SETTLE_DT",Company_desc!$A$2))</f>
        <v/>
      </c>
      <c r="N205" s="79">
        <f>IF($A205="","",_xll.BDP($A205&amp;" Corp","YAS_OAS_SPRD"))</f>
        <v/>
      </c>
      <c r="O205" s="67">
        <f>IF($A205="","",_xll.BDP($A205&amp;" Corp","YAS_MOD_DUR"))</f>
        <v/>
      </c>
      <c r="P205" s="80">
        <f>IF($A205="","",IFERROR(INDEX(Sheet1!$P:$P,MATCH($A205,Sheet1!$A:$A,0)),""))</f>
        <v/>
      </c>
      <c r="Q205" s="75">
        <f>IF($A205="","",IFERROR(INDEX(Company_desc!$C:$C,MATCH($A205,Company_desc!$A:$A,0)),IFERROR(INDEX(Sheet1!$Q:$Q,MATCH($A205,Sheet1!$A:$A,0)),"")))</f>
        <v/>
      </c>
      <c r="R205" s="75">
        <f>IF($A205="","",_xll.BDP($A205&amp;" Corp","CRNCY"))</f>
        <v/>
      </c>
      <c r="S205" s="75">
        <f>IF($A205="","",IFERROR(INDEX(Sheet1!$S:$S,MATCH($A205,Sheet1!$A:$A,0)),""))</f>
        <v/>
      </c>
      <c r="T205" s="75">
        <f>IF($A205="","",IFERROR(INDEX(Sheet1!$T:$T,MATCH($A205,Sheet1!$A:$A,0)),_xll.BDP($A205&amp;" Corp","RTG_SP")))</f>
        <v/>
      </c>
      <c r="U205" s="75">
        <f>IF($A205="","",IFERROR(INDEX(Sheet1!$U:$U,MATCH($A205,Sheet1!$A:$A,0)),""))</f>
        <v/>
      </c>
      <c r="W205" s="81">
        <f>IF($A205="","",N205-_xll.BDP($A205&amp;" Corp","YAS_OAS_SPRD","SETTLE_DT",Company_desc!$A$1))</f>
        <v/>
      </c>
      <c r="X205" s="81">
        <f>IF($A205="","",N205-_xll.BDP($A205&amp;" Corp","YAS_OAS_SPRD","SETTLE_DT",Company_desc!$A$2))</f>
        <v/>
      </c>
      <c r="Y205" s="80">
        <f>IF($A205="","",N205-_xll.BDP($A205&amp;" Corp","YAS_OAS_SPRD","SETTLE_DT",Company_desc!$D$1))</f>
        <v/>
      </c>
      <c r="Z205" s="82">
        <f>IF($A205="","",K205-_xll.BDP($A205&amp;" Corp","YAS_BOND_YLD","YAS_YLD_FLAG=15","SETTLE_DT",Company_desc!$D$1))</f>
        <v/>
      </c>
      <c r="AA205" s="80">
        <f>IF($A205="","",_xll.BDP($A205&amp;" Corp","YAS_OAS_SPRD","SETTLE_DT",Company_desc!$D$1))</f>
        <v/>
      </c>
    </row>
    <row r="206">
      <c r="B206" s="75">
        <f>IF($A206="","",IFERROR(INDEX(Sheet1!$B:$B,MATCH($A206,Sheet1!$A:$A,0)),""))</f>
        <v/>
      </c>
      <c r="C206" s="75">
        <f>IF($A206="","",PROPER(_xll.BDP($A206&amp;" Corp","NAME")))</f>
        <v/>
      </c>
      <c r="D206" s="76">
        <f>IF($A206="","",_xll.BDP($A206&amp;" Corp","CPN"))</f>
        <v/>
      </c>
      <c r="E206" s="75">
        <f>IF($A206="","",_xll.BDP($A206&amp;" Corp","PAYMENT_RANK"))</f>
        <v/>
      </c>
      <c r="F206" s="100">
        <f>IF($A206="","",_xll.BDP($A206&amp;" Corp","MATURITY"))</f>
        <v/>
      </c>
      <c r="G206" s="75">
        <f>IF($A206="","",PROPER(_xll.BDP($A206&amp;" Corp","COUNTRY_FULL_NAME")))</f>
        <v/>
      </c>
      <c r="H206" s="75">
        <f>IF($A206="","",_xll.BDP($A206&amp;" Corp","INDUSTRY_SECTOR"))</f>
        <v/>
      </c>
      <c r="I206" s="101">
        <f>IF($A206="","",IFERROR(_xll.BDP($A206&amp;" Corp","MIN_PIECE")/1000,""))</f>
        <v/>
      </c>
      <c r="J206" s="31">
        <f>IF($A206="","",_xll.BDP($A206&amp;" Corp","PX_LAST"))</f>
        <v/>
      </c>
      <c r="K206" s="31">
        <f>IF($A206="","",_xll.BDP($A206&amp;" Corp","YAS_BOND_YLD","YAS_YLD_FLAG=15"))</f>
        <v/>
      </c>
      <c r="L206" s="31">
        <f>IF($A206="","",K206-_xll.BDP($A206&amp;" Corp","YAS_BOND_YLD","YAS_YLD_FLAG=15","SETTLE_DT",Company_desc!$A$1))</f>
        <v/>
      </c>
      <c r="M206" s="31">
        <f>IF($A206="","",K206-_xll.BDP($A206&amp;" Corp","YAS_BOND_YLD","YAS_YLD_FLAG=15","SETTLE_DT",Company_desc!$A$2))</f>
        <v/>
      </c>
      <c r="N206" s="79">
        <f>IF($A206="","",_xll.BDP($A206&amp;" Corp","YAS_OAS_SPRD"))</f>
        <v/>
      </c>
      <c r="O206" s="67">
        <f>IF($A206="","",_xll.BDP($A206&amp;" Corp","YAS_MOD_DUR"))</f>
        <v/>
      </c>
      <c r="P206" s="80">
        <f>IF($A206="","",IFERROR(INDEX(Sheet1!$P:$P,MATCH($A206,Sheet1!$A:$A,0)),""))</f>
        <v/>
      </c>
      <c r="Q206" s="75">
        <f>IF($A206="","",IFERROR(INDEX(Company_desc!$C:$C,MATCH($A206,Company_desc!$A:$A,0)),IFERROR(INDEX(Sheet1!$Q:$Q,MATCH($A206,Sheet1!$A:$A,0)),"")))</f>
        <v/>
      </c>
      <c r="R206" s="75">
        <f>IF($A206="","",_xll.BDP($A206&amp;" Corp","CRNCY"))</f>
        <v/>
      </c>
      <c r="S206" s="75">
        <f>IF($A206="","",IFERROR(INDEX(Sheet1!$S:$S,MATCH($A206,Sheet1!$A:$A,0)),""))</f>
        <v/>
      </c>
      <c r="T206" s="75">
        <f>IF($A206="","",IFERROR(INDEX(Sheet1!$T:$T,MATCH($A206,Sheet1!$A:$A,0)),_xll.BDP($A206&amp;" Corp","RTG_SP")))</f>
        <v/>
      </c>
      <c r="U206" s="75">
        <f>IF($A206="","",IFERROR(INDEX(Sheet1!$U:$U,MATCH($A206,Sheet1!$A:$A,0)),""))</f>
        <v/>
      </c>
      <c r="W206" s="81">
        <f>IF($A206="","",N206-_xll.BDP($A206&amp;" Corp","YAS_OAS_SPRD","SETTLE_DT",Company_desc!$A$1))</f>
        <v/>
      </c>
      <c r="X206" s="81">
        <f>IF($A206="","",N206-_xll.BDP($A206&amp;" Corp","YAS_OAS_SPRD","SETTLE_DT",Company_desc!$A$2))</f>
        <v/>
      </c>
      <c r="Y206" s="80">
        <f>IF($A206="","",N206-_xll.BDP($A206&amp;" Corp","YAS_OAS_SPRD","SETTLE_DT",Company_desc!$D$1))</f>
        <v/>
      </c>
      <c r="Z206" s="82">
        <f>IF($A206="","",K206-_xll.BDP($A206&amp;" Corp","YAS_BOND_YLD","YAS_YLD_FLAG=15","SETTLE_DT",Company_desc!$D$1))</f>
        <v/>
      </c>
      <c r="AA206" s="80">
        <f>IF($A206="","",_xll.BDP($A206&amp;" Corp","YAS_OAS_SPRD","SETTLE_DT",Company_desc!$D$1))</f>
        <v/>
      </c>
    </row>
    <row r="207">
      <c r="B207" s="75">
        <f>IF($A207="","",IFERROR(INDEX(Sheet1!$B:$B,MATCH($A207,Sheet1!$A:$A,0)),""))</f>
        <v/>
      </c>
      <c r="C207" s="75">
        <f>IF($A207="","",PROPER(_xll.BDP($A207&amp;" Corp","NAME")))</f>
        <v/>
      </c>
      <c r="D207" s="76">
        <f>IF($A207="","",_xll.BDP($A207&amp;" Corp","CPN"))</f>
        <v/>
      </c>
      <c r="E207" s="75">
        <f>IF($A207="","",_xll.BDP($A207&amp;" Corp","PAYMENT_RANK"))</f>
        <v/>
      </c>
      <c r="F207" s="100">
        <f>IF($A207="","",_xll.BDP($A207&amp;" Corp","MATURITY"))</f>
        <v/>
      </c>
      <c r="G207" s="75">
        <f>IF($A207="","",PROPER(_xll.BDP($A207&amp;" Corp","COUNTRY_FULL_NAME")))</f>
        <v/>
      </c>
      <c r="H207" s="75">
        <f>IF($A207="","",_xll.BDP($A207&amp;" Corp","INDUSTRY_SECTOR"))</f>
        <v/>
      </c>
      <c r="I207" s="101">
        <f>IF($A207="","",IFERROR(_xll.BDP($A207&amp;" Corp","MIN_PIECE")/1000,""))</f>
        <v/>
      </c>
      <c r="J207" s="31">
        <f>IF($A207="","",_xll.BDP($A207&amp;" Corp","PX_LAST"))</f>
        <v/>
      </c>
      <c r="K207" s="31">
        <f>IF($A207="","",_xll.BDP($A207&amp;" Corp","YAS_BOND_YLD","YAS_YLD_FLAG=15"))</f>
        <v/>
      </c>
      <c r="L207" s="31">
        <f>IF($A207="","",K207-_xll.BDP($A207&amp;" Corp","YAS_BOND_YLD","YAS_YLD_FLAG=15","SETTLE_DT",Company_desc!$A$1))</f>
        <v/>
      </c>
      <c r="M207" s="31">
        <f>IF($A207="","",K207-_xll.BDP($A207&amp;" Corp","YAS_BOND_YLD","YAS_YLD_FLAG=15","SETTLE_DT",Company_desc!$A$2))</f>
        <v/>
      </c>
      <c r="N207" s="79">
        <f>IF($A207="","",_xll.BDP($A207&amp;" Corp","YAS_OAS_SPRD"))</f>
        <v/>
      </c>
      <c r="O207" s="67">
        <f>IF($A207="","",_xll.BDP($A207&amp;" Corp","YAS_MOD_DUR"))</f>
        <v/>
      </c>
      <c r="P207" s="80">
        <f>IF($A207="","",IFERROR(INDEX(Sheet1!$P:$P,MATCH($A207,Sheet1!$A:$A,0)),""))</f>
        <v/>
      </c>
      <c r="Q207" s="75">
        <f>IF($A207="","",IFERROR(INDEX(Company_desc!$C:$C,MATCH($A207,Company_desc!$A:$A,0)),IFERROR(INDEX(Sheet1!$Q:$Q,MATCH($A207,Sheet1!$A:$A,0)),"")))</f>
        <v/>
      </c>
      <c r="R207" s="75">
        <f>IF($A207="","",_xll.BDP($A207&amp;" Corp","CRNCY"))</f>
        <v/>
      </c>
      <c r="S207" s="75">
        <f>IF($A207="","",IFERROR(INDEX(Sheet1!$S:$S,MATCH($A207,Sheet1!$A:$A,0)),""))</f>
        <v/>
      </c>
      <c r="T207" s="75">
        <f>IF($A207="","",IFERROR(INDEX(Sheet1!$T:$T,MATCH($A207,Sheet1!$A:$A,0)),_xll.BDP($A207&amp;" Corp","RTG_SP")))</f>
        <v/>
      </c>
      <c r="U207" s="83">
        <f>IF($A207="","",IFERROR(INDEX(Sheet1!$U:$U,MATCH($A207,Sheet1!$A:$A,0)),""))</f>
        <v/>
      </c>
      <c r="W207" s="81">
        <f>IF($A207="","",N207-_xll.BDP($A207&amp;" Corp","YAS_OAS_SPRD","SETTLE_DT",Company_desc!$A$1))</f>
        <v/>
      </c>
      <c r="X207" s="81">
        <f>IF($A207="","",N207-_xll.BDP($A207&amp;" Corp","YAS_OAS_SPRD","SETTLE_DT",Company_desc!$A$2))</f>
        <v/>
      </c>
      <c r="Y207" s="80">
        <f>IF($A207="","",N207-_xll.BDP($A207&amp;" Corp","YAS_OAS_SPRD","SETTLE_DT",Company_desc!$D$1))</f>
        <v/>
      </c>
      <c r="Z207" s="82">
        <f>IF($A207="","",K207-_xll.BDP($A207&amp;" Corp","YAS_BOND_YLD","YAS_YLD_FLAG=15","SETTLE_DT",Company_desc!$D$1))</f>
        <v/>
      </c>
      <c r="AA207" s="80">
        <f>IF($A207="","",_xll.BDP($A207&amp;" Corp","YAS_OAS_SPRD","SETTLE_DT",Company_desc!$D$1))</f>
        <v/>
      </c>
    </row>
    <row r="208">
      <c r="B208" s="75">
        <f>IF($A208="","",IFERROR(INDEX(Sheet1!$B:$B,MATCH($A208,Sheet1!$A:$A,0)),""))</f>
        <v/>
      </c>
      <c r="C208" s="75">
        <f>IF($A208="","",PROPER(_xll.BDP($A208&amp;" Corp","NAME")))</f>
        <v/>
      </c>
      <c r="D208" s="76">
        <f>IF($A208="","",_xll.BDP($A208&amp;" Corp","CPN"))</f>
        <v/>
      </c>
      <c r="E208" s="75">
        <f>IF($A208="","",_xll.BDP($A208&amp;" Corp","PAYMENT_RANK"))</f>
        <v/>
      </c>
      <c r="F208" s="100">
        <f>IF($A208="","",_xll.BDP($A208&amp;" Corp","MATURITY"))</f>
        <v/>
      </c>
      <c r="G208" s="75">
        <f>IF($A208="","",PROPER(_xll.BDP($A208&amp;" Corp","COUNTRY_FULL_NAME")))</f>
        <v/>
      </c>
      <c r="H208" s="75">
        <f>IF($A208="","",_xll.BDP($A208&amp;" Corp","INDUSTRY_SECTOR"))</f>
        <v/>
      </c>
      <c r="I208" s="101">
        <f>IF($A208="","",IFERROR(_xll.BDP($A208&amp;" Corp","MIN_PIECE")/1000,""))</f>
        <v/>
      </c>
      <c r="J208" s="31">
        <f>IF($A208="","",_xll.BDP($A208&amp;" Corp","PX_LAST"))</f>
        <v/>
      </c>
      <c r="K208" s="31">
        <f>IF($A208="","",_xll.BDP($A208&amp;" Corp","YAS_BOND_YLD","YAS_YLD_FLAG=15"))</f>
        <v/>
      </c>
      <c r="L208" s="31">
        <f>IF($A208="","",K208-_xll.BDP($A208&amp;" Corp","YAS_BOND_YLD","YAS_YLD_FLAG=15","SETTLE_DT",Company_desc!$A$1))</f>
        <v/>
      </c>
      <c r="M208" s="31">
        <f>IF($A208="","",K208-_xll.BDP($A208&amp;" Corp","YAS_BOND_YLD","YAS_YLD_FLAG=15","SETTLE_DT",Company_desc!$A$2))</f>
        <v/>
      </c>
      <c r="N208" s="79">
        <f>IF($A208="","",_xll.BDP($A208&amp;" Corp","YAS_OAS_SPRD"))</f>
        <v/>
      </c>
      <c r="O208" s="67">
        <f>IF($A208="","",_xll.BDP($A208&amp;" Corp","YAS_MOD_DUR"))</f>
        <v/>
      </c>
      <c r="P208" s="80">
        <f>IF($A208="","",IFERROR(INDEX(Sheet1!$P:$P,MATCH($A208,Sheet1!$A:$A,0)),""))</f>
        <v/>
      </c>
      <c r="Q208" s="75">
        <f>IF($A208="","",IFERROR(INDEX(Company_desc!$C:$C,MATCH($A208,Company_desc!$A:$A,0)),IFERROR(INDEX(Sheet1!$Q:$Q,MATCH($A208,Sheet1!$A:$A,0)),"")))</f>
        <v/>
      </c>
      <c r="R208" s="75">
        <f>IF($A208="","",_xll.BDP($A208&amp;" Corp","CRNCY"))</f>
        <v/>
      </c>
      <c r="S208" s="75">
        <f>IF($A208="","",IFERROR(INDEX(Sheet1!$S:$S,MATCH($A208,Sheet1!$A:$A,0)),""))</f>
        <v/>
      </c>
      <c r="T208" s="75">
        <f>IF($A208="","",IFERROR(INDEX(Sheet1!$T:$T,MATCH($A208,Sheet1!$A:$A,0)),_xll.BDP($A208&amp;" Corp","RTG_SP")))</f>
        <v/>
      </c>
      <c r="U208" s="75">
        <f>IF($A208="","",IFERROR(INDEX(Sheet1!$U:$U,MATCH($A208,Sheet1!$A:$A,0)),""))</f>
        <v/>
      </c>
      <c r="W208" s="81">
        <f>IF($A208="","",N208-_xll.BDP($A208&amp;" Corp","YAS_OAS_SPRD","SETTLE_DT",Company_desc!$A$1))</f>
        <v/>
      </c>
      <c r="X208" s="81">
        <f>IF($A208="","",N208-_xll.BDP($A208&amp;" Corp","YAS_OAS_SPRD","SETTLE_DT",Company_desc!$A$2))</f>
        <v/>
      </c>
      <c r="Y208" s="80">
        <f>IF($A208="","",N208-_xll.BDP($A208&amp;" Corp","YAS_OAS_SPRD","SETTLE_DT",Company_desc!$D$1))</f>
        <v/>
      </c>
      <c r="Z208" s="82">
        <f>IF($A208="","",K208-_xll.BDP($A208&amp;" Corp","YAS_BOND_YLD","YAS_YLD_FLAG=15","SETTLE_DT",Company_desc!$D$1))</f>
        <v/>
      </c>
      <c r="AA208" s="80">
        <f>IF($A208="","",_xll.BDP($A208&amp;" Corp","YAS_OAS_SPRD","SETTLE_DT",Company_desc!$D$1))</f>
        <v/>
      </c>
    </row>
    <row r="209">
      <c r="B209" s="75">
        <f>IF($A209="","",IFERROR(INDEX(Sheet1!$B:$B,MATCH($A209,Sheet1!$A:$A,0)),""))</f>
        <v/>
      </c>
      <c r="C209" s="75">
        <f>IF($A209="","",PROPER(_xll.BDP($A209&amp;" Corp","NAME")))</f>
        <v/>
      </c>
      <c r="D209" s="76">
        <f>IF($A209="","",_xll.BDP($A209&amp;" Corp","CPN"))</f>
        <v/>
      </c>
      <c r="E209" s="75">
        <f>IF($A209="","",_xll.BDP($A209&amp;" Corp","PAYMENT_RANK"))</f>
        <v/>
      </c>
      <c r="F209" s="100">
        <f>IF($A209="","",_xll.BDP($A209&amp;" Corp","MATURITY"))</f>
        <v/>
      </c>
      <c r="G209" s="75">
        <f>IF($A209="","",PROPER(_xll.BDP($A209&amp;" Corp","COUNTRY_FULL_NAME")))</f>
        <v/>
      </c>
      <c r="H209" s="75">
        <f>IF($A209="","",_xll.BDP($A209&amp;" Corp","INDUSTRY_SECTOR"))</f>
        <v/>
      </c>
      <c r="I209" s="101">
        <f>IF($A209="","",IFERROR(_xll.BDP($A209&amp;" Corp","MIN_PIECE")/1000,""))</f>
        <v/>
      </c>
      <c r="J209" s="31">
        <f>IF($A209="","",_xll.BDP($A209&amp;" Corp","PX_LAST"))</f>
        <v/>
      </c>
      <c r="K209" s="31">
        <f>IF($A209="","",_xll.BDP($A209&amp;" Corp","YAS_BOND_YLD","YAS_YLD_FLAG=15"))</f>
        <v/>
      </c>
      <c r="L209" s="31">
        <f>IF($A209="","",K209-_xll.BDP($A209&amp;" Corp","YAS_BOND_YLD","YAS_YLD_FLAG=15","SETTLE_DT",Company_desc!$A$1))</f>
        <v/>
      </c>
      <c r="M209" s="31">
        <f>IF($A209="","",K209-_xll.BDP($A209&amp;" Corp","YAS_BOND_YLD","YAS_YLD_FLAG=15","SETTLE_DT",Company_desc!$A$2))</f>
        <v/>
      </c>
      <c r="N209" s="79">
        <f>IF($A209="","",_xll.BDP($A209&amp;" Corp","YAS_OAS_SPRD"))</f>
        <v/>
      </c>
      <c r="O209" s="67">
        <f>IF($A209="","",_xll.BDP($A209&amp;" Corp","YAS_MOD_DUR"))</f>
        <v/>
      </c>
      <c r="P209" s="80">
        <f>IF($A209="","",IFERROR(INDEX(Sheet1!$P:$P,MATCH($A209,Sheet1!$A:$A,0)),""))</f>
        <v/>
      </c>
      <c r="Q209" s="75">
        <f>IF($A209="","",IFERROR(INDEX(Company_desc!$C:$C,MATCH($A209,Company_desc!$A:$A,0)),IFERROR(INDEX(Sheet1!$Q:$Q,MATCH($A209,Sheet1!$A:$A,0)),"")))</f>
        <v/>
      </c>
      <c r="R209" s="75">
        <f>IF($A209="","",_xll.BDP($A209&amp;" Corp","CRNCY"))</f>
        <v/>
      </c>
      <c r="S209" s="75">
        <f>IF($A209="","",IFERROR(INDEX(Sheet1!$S:$S,MATCH($A209,Sheet1!$A:$A,0)),""))</f>
        <v/>
      </c>
      <c r="T209" s="75">
        <f>IF($A209="","",IFERROR(INDEX(Sheet1!$T:$T,MATCH($A209,Sheet1!$A:$A,0)),_xll.BDP($A209&amp;" Corp","RTG_SP")))</f>
        <v/>
      </c>
      <c r="U209" s="75">
        <f>IF($A209="","",IFERROR(INDEX(Sheet1!$U:$U,MATCH($A209,Sheet1!$A:$A,0)),""))</f>
        <v/>
      </c>
      <c r="W209" s="81">
        <f>IF($A209="","",N209-_xll.BDP($A209&amp;" Corp","YAS_OAS_SPRD","SETTLE_DT",Company_desc!$A$1))</f>
        <v/>
      </c>
      <c r="X209" s="81">
        <f>IF($A209="","",N209-_xll.BDP($A209&amp;" Corp","YAS_OAS_SPRD","SETTLE_DT",Company_desc!$A$2))</f>
        <v/>
      </c>
      <c r="Y209" s="80">
        <f>IF($A209="","",N209-_xll.BDP($A209&amp;" Corp","YAS_OAS_SPRD","SETTLE_DT",Company_desc!$D$1))</f>
        <v/>
      </c>
      <c r="Z209" s="82">
        <f>IF($A209="","",K209-_xll.BDP($A209&amp;" Corp","YAS_BOND_YLD","YAS_YLD_FLAG=15","SETTLE_DT",Company_desc!$D$1))</f>
        <v/>
      </c>
      <c r="AA209" s="80">
        <f>IF($A209="","",_xll.BDP($A209&amp;" Corp","YAS_OAS_SPRD","SETTLE_DT",Company_desc!$D$1))</f>
        <v/>
      </c>
    </row>
    <row r="210">
      <c r="B210" s="75">
        <f>IF($A210="","",IFERROR(INDEX(Sheet1!$B:$B,MATCH($A210,Sheet1!$A:$A,0)),""))</f>
        <v/>
      </c>
      <c r="C210" s="75">
        <f>IF($A210="","",PROPER(_xll.BDP($A210&amp;" Corp","NAME")))</f>
        <v/>
      </c>
      <c r="D210" s="76">
        <f>IF($A210="","",_xll.BDP($A210&amp;" Corp","CPN"))</f>
        <v/>
      </c>
      <c r="E210" s="75">
        <f>IF($A210="","",_xll.BDP($A210&amp;" Corp","PAYMENT_RANK"))</f>
        <v/>
      </c>
      <c r="F210" s="100">
        <f>IF($A210="","",_xll.BDP($A210&amp;" Corp","MATURITY"))</f>
        <v/>
      </c>
      <c r="G210" s="75">
        <f>IF($A210="","",PROPER(_xll.BDP($A210&amp;" Corp","COUNTRY_FULL_NAME")))</f>
        <v/>
      </c>
      <c r="H210" s="75">
        <f>IF($A210="","",_xll.BDP($A210&amp;" Corp","INDUSTRY_SECTOR"))</f>
        <v/>
      </c>
      <c r="I210" s="101">
        <f>IF($A210="","",IFERROR(_xll.BDP($A210&amp;" Corp","MIN_PIECE")/1000,""))</f>
        <v/>
      </c>
      <c r="J210" s="31">
        <f>IF($A210="","",_xll.BDP($A210&amp;" Corp","PX_LAST"))</f>
        <v/>
      </c>
      <c r="K210" s="31">
        <f>IF($A210="","",_xll.BDP($A210&amp;" Corp","YAS_BOND_YLD","YAS_YLD_FLAG=15"))</f>
        <v/>
      </c>
      <c r="L210" s="31">
        <f>IF($A210="","",K210-_xll.BDP($A210&amp;" Corp","YAS_BOND_YLD","YAS_YLD_FLAG=15","SETTLE_DT",Company_desc!$A$1))</f>
        <v/>
      </c>
      <c r="M210" s="31">
        <f>IF($A210="","",K210-_xll.BDP($A210&amp;" Corp","YAS_BOND_YLD","YAS_YLD_FLAG=15","SETTLE_DT",Company_desc!$A$2))</f>
        <v/>
      </c>
      <c r="N210" s="79">
        <f>IF($A210="","",_xll.BDP($A210&amp;" Corp","YAS_OAS_SPRD"))</f>
        <v/>
      </c>
      <c r="O210" s="67">
        <f>IF($A210="","",_xll.BDP($A210&amp;" Corp","YAS_MOD_DUR"))</f>
        <v/>
      </c>
      <c r="P210" s="80">
        <f>IF($A210="","",IFERROR(INDEX(Sheet1!$P:$P,MATCH($A210,Sheet1!$A:$A,0)),""))</f>
        <v/>
      </c>
      <c r="Q210" s="75">
        <f>IF($A210="","",IFERROR(INDEX(Company_desc!$C:$C,MATCH($A210,Company_desc!$A:$A,0)),IFERROR(INDEX(Sheet1!$Q:$Q,MATCH($A210,Sheet1!$A:$A,0)),"")))</f>
        <v/>
      </c>
      <c r="R210" s="75">
        <f>IF($A210="","",_xll.BDP($A210&amp;" Corp","CRNCY"))</f>
        <v/>
      </c>
      <c r="S210" s="75">
        <f>IF($A210="","",IFERROR(INDEX(Sheet1!$S:$S,MATCH($A210,Sheet1!$A:$A,0)),""))</f>
        <v/>
      </c>
      <c r="T210" s="75">
        <f>IF($A210="","",IFERROR(INDEX(Sheet1!$T:$T,MATCH($A210,Sheet1!$A:$A,0)),_xll.BDP($A210&amp;" Corp","RTG_SP")))</f>
        <v/>
      </c>
      <c r="U210" s="75">
        <f>IF($A210="","",IFERROR(INDEX(Sheet1!$U:$U,MATCH($A210,Sheet1!$A:$A,0)),""))</f>
        <v/>
      </c>
      <c r="W210" s="81">
        <f>IF($A210="","",N210-_xll.BDP($A210&amp;" Corp","YAS_OAS_SPRD","SETTLE_DT",Company_desc!$A$1))</f>
        <v/>
      </c>
      <c r="X210" s="81">
        <f>IF($A210="","",N210-_xll.BDP($A210&amp;" Corp","YAS_OAS_SPRD","SETTLE_DT",Company_desc!$A$2))</f>
        <v/>
      </c>
      <c r="Y210" s="80">
        <f>IF($A210="","",N210-_xll.BDP($A210&amp;" Corp","YAS_OAS_SPRD","SETTLE_DT",Company_desc!$D$1))</f>
        <v/>
      </c>
      <c r="Z210" s="82">
        <f>IF($A210="","",K210-_xll.BDP($A210&amp;" Corp","YAS_BOND_YLD","YAS_YLD_FLAG=15","SETTLE_DT",Company_desc!$D$1))</f>
        <v/>
      </c>
      <c r="AA210" s="80">
        <f>IF($A210="","",_xll.BDP($A210&amp;" Corp","YAS_OAS_SPRD","SETTLE_DT",Company_desc!$D$1))</f>
        <v/>
      </c>
    </row>
    <row r="211">
      <c r="B211" s="75">
        <f>IF($A211="","",IFERROR(INDEX(Sheet1!$B:$B,MATCH($A211,Sheet1!$A:$A,0)),""))</f>
        <v/>
      </c>
      <c r="C211" s="75">
        <f>IF($A211="","",PROPER(_xll.BDP($A211&amp;" Corp","NAME")))</f>
        <v/>
      </c>
      <c r="D211" s="76">
        <f>IF($A211="","",_xll.BDP($A211&amp;" Corp","CPN"))</f>
        <v/>
      </c>
      <c r="E211" s="75">
        <f>IF($A211="","",_xll.BDP($A211&amp;" Corp","PAYMENT_RANK"))</f>
        <v/>
      </c>
      <c r="F211" s="100">
        <f>IF($A211="","",_xll.BDP($A211&amp;" Corp","MATURITY"))</f>
        <v/>
      </c>
      <c r="G211" s="75">
        <f>IF($A211="","",PROPER(_xll.BDP($A211&amp;" Corp","COUNTRY_FULL_NAME")))</f>
        <v/>
      </c>
      <c r="H211" s="75">
        <f>IF($A211="","",_xll.BDP($A211&amp;" Corp","INDUSTRY_SECTOR"))</f>
        <v/>
      </c>
      <c r="I211" s="101">
        <f>IF($A211="","",IFERROR(_xll.BDP($A211&amp;" Corp","MIN_PIECE")/1000,""))</f>
        <v/>
      </c>
      <c r="J211" s="31">
        <f>IF($A211="","",_xll.BDP($A211&amp;" Corp","PX_LAST"))</f>
        <v/>
      </c>
      <c r="K211" s="31">
        <f>IF($A211="","",_xll.BDP($A211&amp;" Corp","YAS_BOND_YLD","YAS_YLD_FLAG=15"))</f>
        <v/>
      </c>
      <c r="L211" s="31">
        <f>IF($A211="","",K211-_xll.BDP($A211&amp;" Corp","YAS_BOND_YLD","YAS_YLD_FLAG=15","SETTLE_DT",Company_desc!$A$1))</f>
        <v/>
      </c>
      <c r="M211" s="31">
        <f>IF($A211="","",K211-_xll.BDP($A211&amp;" Corp","YAS_BOND_YLD","YAS_YLD_FLAG=15","SETTLE_DT",Company_desc!$A$2))</f>
        <v/>
      </c>
      <c r="N211" s="79">
        <f>IF($A211="","",_xll.BDP($A211&amp;" Corp","YAS_OAS_SPRD"))</f>
        <v/>
      </c>
      <c r="O211" s="67">
        <f>IF($A211="","",_xll.BDP($A211&amp;" Corp","YAS_MOD_DUR"))</f>
        <v/>
      </c>
      <c r="P211" s="80">
        <f>IF($A211="","",IFERROR(INDEX(Sheet1!$P:$P,MATCH($A211,Sheet1!$A:$A,0)),""))</f>
        <v/>
      </c>
      <c r="Q211" s="75">
        <f>IF($A211="","",IFERROR(INDEX(Company_desc!$C:$C,MATCH($A211,Company_desc!$A:$A,0)),IFERROR(INDEX(Sheet1!$Q:$Q,MATCH($A211,Sheet1!$A:$A,0)),"")))</f>
        <v/>
      </c>
      <c r="R211" s="75">
        <f>IF($A211="","",_xll.BDP($A211&amp;" Corp","CRNCY"))</f>
        <v/>
      </c>
      <c r="S211" s="75">
        <f>IF($A211="","",IFERROR(INDEX(Sheet1!$S:$S,MATCH($A211,Sheet1!$A:$A,0)),""))</f>
        <v/>
      </c>
      <c r="T211" s="75">
        <f>IF($A211="","",IFERROR(INDEX(Sheet1!$T:$T,MATCH($A211,Sheet1!$A:$A,0)),_xll.BDP($A211&amp;" Corp","RTG_SP")))</f>
        <v/>
      </c>
      <c r="U211" s="75">
        <f>IF($A211="","",IFERROR(INDEX(Sheet1!$U:$U,MATCH($A211,Sheet1!$A:$A,0)),""))</f>
        <v/>
      </c>
      <c r="W211" s="81">
        <f>IF($A211="","",N211-_xll.BDP($A211&amp;" Corp","YAS_OAS_SPRD","SETTLE_DT",Company_desc!$A$1))</f>
        <v/>
      </c>
      <c r="X211" s="81">
        <f>IF($A211="","",N211-_xll.BDP($A211&amp;" Corp","YAS_OAS_SPRD","SETTLE_DT",Company_desc!$A$2))</f>
        <v/>
      </c>
      <c r="Y211" s="80">
        <f>IF($A211="","",N211-_xll.BDP($A211&amp;" Corp","YAS_OAS_SPRD","SETTLE_DT",Company_desc!$D$1))</f>
        <v/>
      </c>
      <c r="Z211" s="82">
        <f>IF($A211="","",K211-_xll.BDP($A211&amp;" Corp","YAS_BOND_YLD","YAS_YLD_FLAG=15","SETTLE_DT",Company_desc!$D$1))</f>
        <v/>
      </c>
      <c r="AA211" s="80">
        <f>IF($A211="","",_xll.BDP($A211&amp;" Corp","YAS_OAS_SPRD","SETTLE_DT",Company_desc!$D$1))</f>
        <v/>
      </c>
    </row>
    <row r="212">
      <c r="B212" s="75">
        <f>IF($A212="","",IFERROR(INDEX(Sheet1!$B:$B,MATCH($A212,Sheet1!$A:$A,0)),""))</f>
        <v/>
      </c>
      <c r="C212" s="75">
        <f>IF($A212="","",PROPER(_xll.BDP($A212&amp;" Corp","NAME")))</f>
        <v/>
      </c>
      <c r="D212" s="76">
        <f>IF($A212="","",_xll.BDP($A212&amp;" Corp","CPN"))</f>
        <v/>
      </c>
      <c r="E212" s="75">
        <f>IF($A212="","",_xll.BDP($A212&amp;" Corp","PAYMENT_RANK"))</f>
        <v/>
      </c>
      <c r="F212" s="100">
        <f>IF($A212="","",_xll.BDP($A212&amp;" Corp","MATURITY"))</f>
        <v/>
      </c>
      <c r="G212" s="75">
        <f>IF($A212="","",PROPER(_xll.BDP($A212&amp;" Corp","COUNTRY_FULL_NAME")))</f>
        <v/>
      </c>
      <c r="H212" s="75">
        <f>IF($A212="","",_xll.BDP($A212&amp;" Corp","INDUSTRY_SECTOR"))</f>
        <v/>
      </c>
      <c r="I212" s="101">
        <f>IF($A212="","",IFERROR(_xll.BDP($A212&amp;" Corp","MIN_PIECE")/1000,""))</f>
        <v/>
      </c>
      <c r="J212" s="31">
        <f>IF($A212="","",_xll.BDP($A212&amp;" Corp","PX_LAST"))</f>
        <v/>
      </c>
      <c r="K212" s="31">
        <f>IF($A212="","",_xll.BDP($A212&amp;" Corp","YAS_BOND_YLD","YAS_YLD_FLAG=15"))</f>
        <v/>
      </c>
      <c r="L212" s="31">
        <f>IF($A212="","",K212-_xll.BDP($A212&amp;" Corp","YAS_BOND_YLD","YAS_YLD_FLAG=15","SETTLE_DT",Company_desc!$A$1))</f>
        <v/>
      </c>
      <c r="M212" s="31">
        <f>IF($A212="","",K212-_xll.BDP($A212&amp;" Corp","YAS_BOND_YLD","YAS_YLD_FLAG=15","SETTLE_DT",Company_desc!$A$2))</f>
        <v/>
      </c>
      <c r="N212" s="79">
        <f>IF($A212="","",_xll.BDP($A212&amp;" Corp","YAS_OAS_SPRD"))</f>
        <v/>
      </c>
      <c r="O212" s="67">
        <f>IF($A212="","",_xll.BDP($A212&amp;" Corp","YAS_MOD_DUR"))</f>
        <v/>
      </c>
      <c r="P212" s="80">
        <f>IF($A212="","",IFERROR(INDEX(Sheet1!$P:$P,MATCH($A212,Sheet1!$A:$A,0)),""))</f>
        <v/>
      </c>
      <c r="Q212" s="75">
        <f>IF($A212="","",IFERROR(INDEX(Company_desc!$C:$C,MATCH($A212,Company_desc!$A:$A,0)),IFERROR(INDEX(Sheet1!$Q:$Q,MATCH($A212,Sheet1!$A:$A,0)),"")))</f>
        <v/>
      </c>
      <c r="R212" s="75">
        <f>IF($A212="","",_xll.BDP($A212&amp;" Corp","CRNCY"))</f>
        <v/>
      </c>
      <c r="S212" s="75">
        <f>IF($A212="","",IFERROR(INDEX(Sheet1!$S:$S,MATCH($A212,Sheet1!$A:$A,0)),""))</f>
        <v/>
      </c>
      <c r="T212" s="75">
        <f>IF($A212="","",IFERROR(INDEX(Sheet1!$T:$T,MATCH($A212,Sheet1!$A:$A,0)),_xll.BDP($A212&amp;" Corp","RTG_SP")))</f>
        <v/>
      </c>
      <c r="U212" s="75">
        <f>IF($A212="","",IFERROR(INDEX(Sheet1!$U:$U,MATCH($A212,Sheet1!$A:$A,0)),""))</f>
        <v/>
      </c>
      <c r="W212" s="81">
        <f>IF($A212="","",N212-_xll.BDP($A212&amp;" Corp","YAS_OAS_SPRD","SETTLE_DT",Company_desc!$A$1))</f>
        <v/>
      </c>
      <c r="X212" s="81">
        <f>IF($A212="","",N212-_xll.BDP($A212&amp;" Corp","YAS_OAS_SPRD","SETTLE_DT",Company_desc!$A$2))</f>
        <v/>
      </c>
      <c r="Y212" s="80">
        <f>IF($A212="","",N212-_xll.BDP($A212&amp;" Corp","YAS_OAS_SPRD","SETTLE_DT",Company_desc!$D$1))</f>
        <v/>
      </c>
      <c r="Z212" s="82">
        <f>IF($A212="","",K212-_xll.BDP($A212&amp;" Corp","YAS_BOND_YLD","YAS_YLD_FLAG=15","SETTLE_DT",Company_desc!$D$1))</f>
        <v/>
      </c>
      <c r="AA212" s="80">
        <f>IF($A212="","",_xll.BDP($A212&amp;" Corp","YAS_OAS_SPRD","SETTLE_DT",Company_desc!$D$1))</f>
        <v/>
      </c>
    </row>
    <row r="213">
      <c r="B213" s="75">
        <f>IF($A213="","",IFERROR(INDEX(Sheet1!$B:$B,MATCH($A213,Sheet1!$A:$A,0)),""))</f>
        <v/>
      </c>
      <c r="C213" s="75">
        <f>IF($A213="","",PROPER(_xll.BDP($A213&amp;" Corp","NAME")))</f>
        <v/>
      </c>
      <c r="D213" s="76">
        <f>IF($A213="","",_xll.BDP($A213&amp;" Corp","CPN"))</f>
        <v/>
      </c>
      <c r="E213" s="75">
        <f>IF($A213="","",_xll.BDP($A213&amp;" Corp","PAYMENT_RANK"))</f>
        <v/>
      </c>
      <c r="F213" s="100">
        <f>IF($A213="","",_xll.BDP($A213&amp;" Corp","MATURITY"))</f>
        <v/>
      </c>
      <c r="G213" s="75">
        <f>IF($A213="","",PROPER(_xll.BDP($A213&amp;" Corp","COUNTRY_FULL_NAME")))</f>
        <v/>
      </c>
      <c r="H213" s="75">
        <f>IF($A213="","",_xll.BDP($A213&amp;" Corp","INDUSTRY_SECTOR"))</f>
        <v/>
      </c>
      <c r="I213" s="101">
        <f>IF($A213="","",IFERROR(_xll.BDP($A213&amp;" Corp","MIN_PIECE")/1000,""))</f>
        <v/>
      </c>
      <c r="J213" s="31">
        <f>IF($A213="","",_xll.BDP($A213&amp;" Corp","PX_LAST"))</f>
        <v/>
      </c>
      <c r="K213" s="31">
        <f>IF($A213="","",_xll.BDP($A213&amp;" Corp","YAS_BOND_YLD","YAS_YLD_FLAG=15"))</f>
        <v/>
      </c>
      <c r="L213" s="31">
        <f>IF($A213="","",K213-_xll.BDP($A213&amp;" Corp","YAS_BOND_YLD","YAS_YLD_FLAG=15","SETTLE_DT",Company_desc!$A$1))</f>
        <v/>
      </c>
      <c r="M213" s="31">
        <f>IF($A213="","",K213-_xll.BDP($A213&amp;" Corp","YAS_BOND_YLD","YAS_YLD_FLAG=15","SETTLE_DT",Company_desc!$A$2))</f>
        <v/>
      </c>
      <c r="N213" s="79">
        <f>IF($A213="","",_xll.BDP($A213&amp;" Corp","YAS_OAS_SPRD"))</f>
        <v/>
      </c>
      <c r="O213" s="67">
        <f>IF($A213="","",_xll.BDP($A213&amp;" Corp","YAS_MOD_DUR"))</f>
        <v/>
      </c>
      <c r="P213" s="80">
        <f>IF($A213="","",IFERROR(INDEX(Sheet1!$P:$P,MATCH($A213,Sheet1!$A:$A,0)),""))</f>
        <v/>
      </c>
      <c r="Q213" s="75">
        <f>IF($A213="","",IFERROR(INDEX(Company_desc!$C:$C,MATCH($A213,Company_desc!$A:$A,0)),IFERROR(INDEX(Sheet1!$Q:$Q,MATCH($A213,Sheet1!$A:$A,0)),"")))</f>
        <v/>
      </c>
      <c r="R213" s="75">
        <f>IF($A213="","",_xll.BDP($A213&amp;" Corp","CRNCY"))</f>
        <v/>
      </c>
      <c r="S213" s="75">
        <f>IF($A213="","",IFERROR(INDEX(Sheet1!$S:$S,MATCH($A213,Sheet1!$A:$A,0)),""))</f>
        <v/>
      </c>
      <c r="T213" s="75">
        <f>IF($A213="","",IFERROR(INDEX(Sheet1!$T:$T,MATCH($A213,Sheet1!$A:$A,0)),_xll.BDP($A213&amp;" Corp","RTG_SP")))</f>
        <v/>
      </c>
      <c r="U213" s="75">
        <f>IF($A213="","",IFERROR(INDEX(Sheet1!$U:$U,MATCH($A213,Sheet1!$A:$A,0)),""))</f>
        <v/>
      </c>
      <c r="W213" s="81">
        <f>IF($A213="","",N213-_xll.BDP($A213&amp;" Corp","YAS_OAS_SPRD","SETTLE_DT",Company_desc!$A$1))</f>
        <v/>
      </c>
      <c r="X213" s="81">
        <f>IF($A213="","",N213-_xll.BDP($A213&amp;" Corp","YAS_OAS_SPRD","SETTLE_DT",Company_desc!$A$2))</f>
        <v/>
      </c>
      <c r="Y213" s="80">
        <f>IF($A213="","",N213-_xll.BDP($A213&amp;" Corp","YAS_OAS_SPRD","SETTLE_DT",Company_desc!$D$1))</f>
        <v/>
      </c>
      <c r="Z213" s="82">
        <f>IF($A213="","",K213-_xll.BDP($A213&amp;" Corp","YAS_BOND_YLD","YAS_YLD_FLAG=15","SETTLE_DT",Company_desc!$D$1))</f>
        <v/>
      </c>
      <c r="AA213" s="80">
        <f>IF($A213="","",_xll.BDP($A213&amp;" Corp","YAS_OAS_SPRD","SETTLE_DT",Company_desc!$D$1))</f>
        <v/>
      </c>
    </row>
    <row r="214">
      <c r="B214" s="75">
        <f>IF($A214="","",IFERROR(INDEX(Sheet1!$B:$B,MATCH($A214,Sheet1!$A:$A,0)),""))</f>
        <v/>
      </c>
      <c r="C214" s="75">
        <f>IF($A214="","",PROPER(_xll.BDP($A214&amp;" Corp","NAME")))</f>
        <v/>
      </c>
      <c r="D214" s="76">
        <f>IF($A214="","",_xll.BDP($A214&amp;" Corp","CPN"))</f>
        <v/>
      </c>
      <c r="E214" s="75">
        <f>IF($A214="","",_xll.BDP($A214&amp;" Corp","PAYMENT_RANK"))</f>
        <v/>
      </c>
      <c r="F214" s="100">
        <f>IF($A214="","",_xll.BDP($A214&amp;" Corp","MATURITY"))</f>
        <v/>
      </c>
      <c r="G214" s="75">
        <f>IF($A214="","",PROPER(_xll.BDP($A214&amp;" Corp","COUNTRY_FULL_NAME")))</f>
        <v/>
      </c>
      <c r="H214" s="75">
        <f>IF($A214="","",_xll.BDP($A214&amp;" Corp","INDUSTRY_SECTOR"))</f>
        <v/>
      </c>
      <c r="I214" s="101">
        <f>IF($A214="","",IFERROR(_xll.BDP($A214&amp;" Corp","MIN_PIECE")/1000,""))</f>
        <v/>
      </c>
      <c r="J214" s="31">
        <f>IF($A214="","",_xll.BDP($A214&amp;" Corp","PX_LAST"))</f>
        <v/>
      </c>
      <c r="K214" s="31">
        <f>IF($A214="","",_xll.BDP($A214&amp;" Corp","YAS_BOND_YLD","YAS_YLD_FLAG=15"))</f>
        <v/>
      </c>
      <c r="L214" s="31">
        <f>IF($A214="","",K214-_xll.BDP($A214&amp;" Corp","YAS_BOND_YLD","YAS_YLD_FLAG=15","SETTLE_DT",Company_desc!$A$1))</f>
        <v/>
      </c>
      <c r="M214" s="31">
        <f>IF($A214="","",K214-_xll.BDP($A214&amp;" Corp","YAS_BOND_YLD","YAS_YLD_FLAG=15","SETTLE_DT",Company_desc!$A$2))</f>
        <v/>
      </c>
      <c r="N214" s="79">
        <f>IF($A214="","",_xll.BDP($A214&amp;" Corp","YAS_OAS_SPRD"))</f>
        <v/>
      </c>
      <c r="O214" s="67">
        <f>IF($A214="","",_xll.BDP($A214&amp;" Corp","YAS_MOD_DUR"))</f>
        <v/>
      </c>
      <c r="P214" s="80">
        <f>IF($A214="","",IFERROR(INDEX(Sheet1!$P:$P,MATCH($A214,Sheet1!$A:$A,0)),""))</f>
        <v/>
      </c>
      <c r="Q214" s="75">
        <f>IF($A214="","",IFERROR(INDEX(Company_desc!$C:$C,MATCH($A214,Company_desc!$A:$A,0)),IFERROR(INDEX(Sheet1!$Q:$Q,MATCH($A214,Sheet1!$A:$A,0)),"")))</f>
        <v/>
      </c>
      <c r="R214" s="75">
        <f>IF($A214="","",_xll.BDP($A214&amp;" Corp","CRNCY"))</f>
        <v/>
      </c>
      <c r="S214" s="75">
        <f>IF($A214="","",IFERROR(INDEX(Sheet1!$S:$S,MATCH($A214,Sheet1!$A:$A,0)),""))</f>
        <v/>
      </c>
      <c r="T214" s="75">
        <f>IF($A214="","",IFERROR(INDEX(Sheet1!$T:$T,MATCH($A214,Sheet1!$A:$A,0)),_xll.BDP($A214&amp;" Corp","RTG_SP")))</f>
        <v/>
      </c>
      <c r="U214" s="75">
        <f>IF($A214="","",IFERROR(INDEX(Sheet1!$U:$U,MATCH($A214,Sheet1!$A:$A,0)),""))</f>
        <v/>
      </c>
      <c r="W214" s="81">
        <f>IF($A214="","",N214-_xll.BDP($A214&amp;" Corp","YAS_OAS_SPRD","SETTLE_DT",Company_desc!$A$1))</f>
        <v/>
      </c>
      <c r="X214" s="81">
        <f>IF($A214="","",N214-_xll.BDP($A214&amp;" Corp","YAS_OAS_SPRD","SETTLE_DT",Company_desc!$A$2))</f>
        <v/>
      </c>
      <c r="Y214" s="80">
        <f>IF($A214="","",N214-_xll.BDP($A214&amp;" Corp","YAS_OAS_SPRD","SETTLE_DT",Company_desc!$D$1))</f>
        <v/>
      </c>
      <c r="Z214" s="82">
        <f>IF($A214="","",K214-_xll.BDP($A214&amp;" Corp","YAS_BOND_YLD","YAS_YLD_FLAG=15","SETTLE_DT",Company_desc!$D$1))</f>
        <v/>
      </c>
      <c r="AA214" s="80">
        <f>IF($A214="","",_xll.BDP($A214&amp;" Corp","YAS_OAS_SPRD","SETTLE_DT",Company_desc!$D$1))</f>
        <v/>
      </c>
    </row>
    <row r="215">
      <c r="B215" s="75">
        <f>IF($A215="","",IFERROR(INDEX(Sheet1!$B:$B,MATCH($A215,Sheet1!$A:$A,0)),""))</f>
        <v/>
      </c>
      <c r="C215" s="75">
        <f>IF($A215="","",PROPER(_xll.BDP($A215&amp;" Corp","NAME")))</f>
        <v/>
      </c>
      <c r="D215" s="76">
        <f>IF($A215="","",_xll.BDP($A215&amp;" Corp","CPN"))</f>
        <v/>
      </c>
      <c r="E215" s="75">
        <f>IF($A215="","",_xll.BDP($A215&amp;" Corp","PAYMENT_RANK"))</f>
        <v/>
      </c>
      <c r="F215" s="100">
        <f>IF($A215="","",_xll.BDP($A215&amp;" Corp","MATURITY"))</f>
        <v/>
      </c>
      <c r="G215" s="75">
        <f>IF($A215="","",PROPER(_xll.BDP($A215&amp;" Corp","COUNTRY_FULL_NAME")))</f>
        <v/>
      </c>
      <c r="H215" s="75">
        <f>IF($A215="","",_xll.BDP($A215&amp;" Corp","INDUSTRY_SECTOR"))</f>
        <v/>
      </c>
      <c r="I215" s="101">
        <f>IF($A215="","",IFERROR(_xll.BDP($A215&amp;" Corp","MIN_PIECE")/1000,""))</f>
        <v/>
      </c>
      <c r="J215" s="31">
        <f>IF($A215="","",_xll.BDP($A215&amp;" Corp","PX_LAST"))</f>
        <v/>
      </c>
      <c r="K215" s="31">
        <f>IF($A215="","",_xll.BDP($A215&amp;" Corp","YAS_BOND_YLD","YAS_YLD_FLAG=15"))</f>
        <v/>
      </c>
      <c r="L215" s="31">
        <f>IF($A215="","",K215-_xll.BDP($A215&amp;" Corp","YAS_BOND_YLD","YAS_YLD_FLAG=15","SETTLE_DT",Company_desc!$A$1))</f>
        <v/>
      </c>
      <c r="M215" s="31">
        <f>IF($A215="","",K215-_xll.BDP($A215&amp;" Corp","YAS_BOND_YLD","YAS_YLD_FLAG=15","SETTLE_DT",Company_desc!$A$2))</f>
        <v/>
      </c>
      <c r="N215" s="79">
        <f>IF($A215="","",_xll.BDP($A215&amp;" Corp","YAS_OAS_SPRD"))</f>
        <v/>
      </c>
      <c r="O215" s="67">
        <f>IF($A215="","",_xll.BDP($A215&amp;" Corp","YAS_MOD_DUR"))</f>
        <v/>
      </c>
      <c r="P215" s="80">
        <f>IF($A215="","",IFERROR(INDEX(Sheet1!$P:$P,MATCH($A215,Sheet1!$A:$A,0)),""))</f>
        <v/>
      </c>
      <c r="Q215" s="75">
        <f>IF($A215="","",IFERROR(INDEX(Company_desc!$C:$C,MATCH($A215,Company_desc!$A:$A,0)),IFERROR(INDEX(Sheet1!$Q:$Q,MATCH($A215,Sheet1!$A:$A,0)),"")))</f>
        <v/>
      </c>
      <c r="R215" s="75">
        <f>IF($A215="","",_xll.BDP($A215&amp;" Corp","CRNCY"))</f>
        <v/>
      </c>
      <c r="S215" s="75">
        <f>IF($A215="","",IFERROR(INDEX(Sheet1!$S:$S,MATCH($A215,Sheet1!$A:$A,0)),""))</f>
        <v/>
      </c>
      <c r="T215" s="75">
        <f>IF($A215="","",IFERROR(INDEX(Sheet1!$T:$T,MATCH($A215,Sheet1!$A:$A,0)),_xll.BDP($A215&amp;" Corp","RTG_SP")))</f>
        <v/>
      </c>
      <c r="U215" s="75">
        <f>IF($A215="","",IFERROR(INDEX(Sheet1!$U:$U,MATCH($A215,Sheet1!$A:$A,0)),""))</f>
        <v/>
      </c>
      <c r="W215" s="81">
        <f>IF($A215="","",N215-_xll.BDP($A215&amp;" Corp","YAS_OAS_SPRD","SETTLE_DT",Company_desc!$A$1))</f>
        <v/>
      </c>
      <c r="X215" s="81">
        <f>IF($A215="","",N215-_xll.BDP($A215&amp;" Corp","YAS_OAS_SPRD","SETTLE_DT",Company_desc!$A$2))</f>
        <v/>
      </c>
      <c r="Y215" s="80">
        <f>IF($A215="","",N215-_xll.BDP($A215&amp;" Corp","YAS_OAS_SPRD","SETTLE_DT",Company_desc!$D$1))</f>
        <v/>
      </c>
      <c r="Z215" s="82">
        <f>IF($A215="","",K215-_xll.BDP($A215&amp;" Corp","YAS_BOND_YLD","YAS_YLD_FLAG=15","SETTLE_DT",Company_desc!$D$1))</f>
        <v/>
      </c>
      <c r="AA215" s="80">
        <f>IF($A215="","",_xll.BDP($A215&amp;" Corp","YAS_OAS_SPRD","SETTLE_DT",Company_desc!$D$1))</f>
        <v/>
      </c>
    </row>
    <row r="216">
      <c r="B216" s="75">
        <f>IF($A216="","",IFERROR(INDEX(Sheet1!$B:$B,MATCH($A216,Sheet1!$A:$A,0)),""))</f>
        <v/>
      </c>
      <c r="C216" s="75">
        <f>IF($A216="","",PROPER(_xll.BDP($A216&amp;" Corp","NAME")))</f>
        <v/>
      </c>
      <c r="D216" s="76">
        <f>IF($A216="","",_xll.BDP($A216&amp;" Corp","CPN"))</f>
        <v/>
      </c>
      <c r="E216" s="75">
        <f>IF($A216="","",_xll.BDP($A216&amp;" Corp","PAYMENT_RANK"))</f>
        <v/>
      </c>
      <c r="F216" s="100">
        <f>IF($A216="","",_xll.BDP($A216&amp;" Corp","MATURITY"))</f>
        <v/>
      </c>
      <c r="G216" s="75">
        <f>IF($A216="","",PROPER(_xll.BDP($A216&amp;" Corp","COUNTRY_FULL_NAME")))</f>
        <v/>
      </c>
      <c r="H216" s="75">
        <f>IF($A216="","",_xll.BDP($A216&amp;" Corp","INDUSTRY_SECTOR"))</f>
        <v/>
      </c>
      <c r="I216" s="101">
        <f>IF($A216="","",IFERROR(_xll.BDP($A216&amp;" Corp","MIN_PIECE")/1000,""))</f>
        <v/>
      </c>
      <c r="J216" s="31">
        <f>IF($A216="","",_xll.BDP($A216&amp;" Corp","PX_LAST"))</f>
        <v/>
      </c>
      <c r="K216" s="31">
        <f>IF($A216="","",_xll.BDP($A216&amp;" Corp","YAS_BOND_YLD","YAS_YLD_FLAG=15"))</f>
        <v/>
      </c>
      <c r="L216" s="31">
        <f>IF($A216="","",K216-_xll.BDP($A216&amp;" Corp","YAS_BOND_YLD","YAS_YLD_FLAG=15","SETTLE_DT",Company_desc!$A$1))</f>
        <v/>
      </c>
      <c r="M216" s="31">
        <f>IF($A216="","",K216-_xll.BDP($A216&amp;" Corp","YAS_BOND_YLD","YAS_YLD_FLAG=15","SETTLE_DT",Company_desc!$A$2))</f>
        <v/>
      </c>
      <c r="N216" s="79">
        <f>IF($A216="","",_xll.BDP($A216&amp;" Corp","YAS_OAS_SPRD"))</f>
        <v/>
      </c>
      <c r="O216" s="67">
        <f>IF($A216="","",_xll.BDP($A216&amp;" Corp","YAS_MOD_DUR"))</f>
        <v/>
      </c>
      <c r="P216" s="80">
        <f>IF($A216="","",IFERROR(INDEX(Sheet1!$P:$P,MATCH($A216,Sheet1!$A:$A,0)),""))</f>
        <v/>
      </c>
      <c r="Q216" s="75">
        <f>IF($A216="","",IFERROR(INDEX(Company_desc!$C:$C,MATCH($A216,Company_desc!$A:$A,0)),IFERROR(INDEX(Sheet1!$Q:$Q,MATCH($A216,Sheet1!$A:$A,0)),"")))</f>
        <v/>
      </c>
      <c r="R216" s="75">
        <f>IF($A216="","",_xll.BDP($A216&amp;" Corp","CRNCY"))</f>
        <v/>
      </c>
      <c r="S216" s="75">
        <f>IF($A216="","",IFERROR(INDEX(Sheet1!$S:$S,MATCH($A216,Sheet1!$A:$A,0)),""))</f>
        <v/>
      </c>
      <c r="T216" s="75">
        <f>IF($A216="","",IFERROR(INDEX(Sheet1!$T:$T,MATCH($A216,Sheet1!$A:$A,0)),_xll.BDP($A216&amp;" Corp","RTG_SP")))</f>
        <v/>
      </c>
      <c r="U216" s="75">
        <f>IF($A216="","",IFERROR(INDEX(Sheet1!$U:$U,MATCH($A216,Sheet1!$A:$A,0)),""))</f>
        <v/>
      </c>
      <c r="W216" s="81">
        <f>IF($A216="","",N216-_xll.BDP($A216&amp;" Corp","YAS_OAS_SPRD","SETTLE_DT",Company_desc!$A$1))</f>
        <v/>
      </c>
      <c r="X216" s="81">
        <f>IF($A216="","",N216-_xll.BDP($A216&amp;" Corp","YAS_OAS_SPRD","SETTLE_DT",Company_desc!$A$2))</f>
        <v/>
      </c>
      <c r="Y216" s="80">
        <f>IF($A216="","",N216-_xll.BDP($A216&amp;" Corp","YAS_OAS_SPRD","SETTLE_DT",Company_desc!$D$1))</f>
        <v/>
      </c>
      <c r="Z216" s="82">
        <f>IF($A216="","",K216-_xll.BDP($A216&amp;" Corp","YAS_BOND_YLD","YAS_YLD_FLAG=15","SETTLE_DT",Company_desc!$D$1))</f>
        <v/>
      </c>
      <c r="AA216" s="80">
        <f>IF($A216="","",_xll.BDP($A216&amp;" Corp","YAS_OAS_SPRD","SETTLE_DT",Company_desc!$D$1))</f>
        <v/>
      </c>
    </row>
    <row r="217">
      <c r="B217" s="75">
        <f>IF($A217="","",IFERROR(INDEX(Sheet1!$B:$B,MATCH($A217,Sheet1!$A:$A,0)),""))</f>
        <v/>
      </c>
      <c r="C217" s="75">
        <f>IF($A217="","",PROPER(_xll.BDP($A217&amp;" Corp","NAME")))</f>
        <v/>
      </c>
      <c r="D217" s="76">
        <f>IF($A217="","",_xll.BDP($A217&amp;" Corp","CPN"))</f>
        <v/>
      </c>
      <c r="E217" s="75">
        <f>IF($A217="","",_xll.BDP($A217&amp;" Corp","PAYMENT_RANK"))</f>
        <v/>
      </c>
      <c r="F217" s="100">
        <f>IF($A217="","",_xll.BDP($A217&amp;" Corp","MATURITY"))</f>
        <v/>
      </c>
      <c r="G217" s="75">
        <f>IF($A217="","",PROPER(_xll.BDP($A217&amp;" Corp","COUNTRY_FULL_NAME")))</f>
        <v/>
      </c>
      <c r="H217" s="75">
        <f>IF($A217="","",_xll.BDP($A217&amp;" Corp","INDUSTRY_SECTOR"))</f>
        <v/>
      </c>
      <c r="I217" s="101">
        <f>IF($A217="","",IFERROR(_xll.BDP($A217&amp;" Corp","MIN_PIECE")/1000,""))</f>
        <v/>
      </c>
      <c r="J217" s="31">
        <f>IF($A217="","",_xll.BDP($A217&amp;" Corp","PX_LAST"))</f>
        <v/>
      </c>
      <c r="K217" s="31">
        <f>IF($A217="","",_xll.BDP($A217&amp;" Corp","YAS_BOND_YLD","YAS_YLD_FLAG=15"))</f>
        <v/>
      </c>
      <c r="L217" s="31">
        <f>IF($A217="","",K217-_xll.BDP($A217&amp;" Corp","YAS_BOND_YLD","YAS_YLD_FLAG=15","SETTLE_DT",Company_desc!$A$1))</f>
        <v/>
      </c>
      <c r="M217" s="31">
        <f>IF($A217="","",K217-_xll.BDP($A217&amp;" Corp","YAS_BOND_YLD","YAS_YLD_FLAG=15","SETTLE_DT",Company_desc!$A$2))</f>
        <v/>
      </c>
      <c r="N217" s="79">
        <f>IF($A217="","",_xll.BDP($A217&amp;" Corp","YAS_OAS_SPRD"))</f>
        <v/>
      </c>
      <c r="O217" s="67">
        <f>IF($A217="","",_xll.BDP($A217&amp;" Corp","YAS_MOD_DUR"))</f>
        <v/>
      </c>
      <c r="P217" s="80">
        <f>IF($A217="","",IFERROR(INDEX(Sheet1!$P:$P,MATCH($A217,Sheet1!$A:$A,0)),""))</f>
        <v/>
      </c>
      <c r="Q217" s="75">
        <f>IF($A217="","",IFERROR(INDEX(Company_desc!$C:$C,MATCH($A217,Company_desc!$A:$A,0)),IFERROR(INDEX(Sheet1!$Q:$Q,MATCH($A217,Sheet1!$A:$A,0)),"")))</f>
        <v/>
      </c>
      <c r="R217" s="75">
        <f>IF($A217="","",_xll.BDP($A217&amp;" Corp","CRNCY"))</f>
        <v/>
      </c>
      <c r="S217" s="75">
        <f>IF($A217="","",IFERROR(INDEX(Sheet1!$S:$S,MATCH($A217,Sheet1!$A:$A,0)),""))</f>
        <v/>
      </c>
      <c r="T217" s="75">
        <f>IF($A217="","",IFERROR(INDEX(Sheet1!$T:$T,MATCH($A217,Sheet1!$A:$A,0)),_xll.BDP($A217&amp;" Corp","RTG_SP")))</f>
        <v/>
      </c>
      <c r="U217" s="75">
        <f>IF($A217="","",IFERROR(INDEX(Sheet1!$U:$U,MATCH($A217,Sheet1!$A:$A,0)),""))</f>
        <v/>
      </c>
      <c r="W217" s="81">
        <f>IF($A217="","",N217-_xll.BDP($A217&amp;" Corp","YAS_OAS_SPRD","SETTLE_DT",Company_desc!$A$1))</f>
        <v/>
      </c>
      <c r="X217" s="81">
        <f>IF($A217="","",N217-_xll.BDP($A217&amp;" Corp","YAS_OAS_SPRD","SETTLE_DT",Company_desc!$A$2))</f>
        <v/>
      </c>
      <c r="Y217" s="80">
        <f>IF($A217="","",N217-_xll.BDP($A217&amp;" Corp","YAS_OAS_SPRD","SETTLE_DT",Company_desc!$D$1))</f>
        <v/>
      </c>
      <c r="Z217" s="82">
        <f>IF($A217="","",K217-_xll.BDP($A217&amp;" Corp","YAS_BOND_YLD","YAS_YLD_FLAG=15","SETTLE_DT",Company_desc!$D$1))</f>
        <v/>
      </c>
      <c r="AA217" s="80">
        <f>IF($A217="","",_xll.BDP($A217&amp;" Corp","YAS_OAS_SPRD","SETTLE_DT",Company_desc!$D$1))</f>
        <v/>
      </c>
    </row>
    <row r="218">
      <c r="B218" s="75">
        <f>IF($A218="","",IFERROR(INDEX(Sheet1!$B:$B,MATCH($A218,Sheet1!$A:$A,0)),""))</f>
        <v/>
      </c>
      <c r="C218" s="75">
        <f>IF($A218="","",PROPER(_xll.BDP($A218&amp;" Corp","NAME")))</f>
        <v/>
      </c>
      <c r="D218" s="76">
        <f>IF($A218="","",_xll.BDP($A218&amp;" Corp","CPN"))</f>
        <v/>
      </c>
      <c r="E218" s="75">
        <f>IF($A218="","",_xll.BDP($A218&amp;" Corp","PAYMENT_RANK"))</f>
        <v/>
      </c>
      <c r="F218" s="100">
        <f>IF($A218="","",_xll.BDP($A218&amp;" Corp","MATURITY"))</f>
        <v/>
      </c>
      <c r="G218" s="75">
        <f>IF($A218="","",PROPER(_xll.BDP($A218&amp;" Corp","COUNTRY_FULL_NAME")))</f>
        <v/>
      </c>
      <c r="H218" s="75">
        <f>IF($A218="","",_xll.BDP($A218&amp;" Corp","INDUSTRY_SECTOR"))</f>
        <v/>
      </c>
      <c r="I218" s="101">
        <f>IF($A218="","",IFERROR(_xll.BDP($A218&amp;" Corp","MIN_PIECE")/1000,""))</f>
        <v/>
      </c>
      <c r="J218" s="31">
        <f>IF($A218="","",_xll.BDP($A218&amp;" Corp","PX_LAST"))</f>
        <v/>
      </c>
      <c r="K218" s="31">
        <f>IF($A218="","",_xll.BDP($A218&amp;" Corp","YAS_BOND_YLD","YAS_YLD_FLAG=15"))</f>
        <v/>
      </c>
      <c r="L218" s="31">
        <f>IF($A218="","",K218-_xll.BDP($A218&amp;" Corp","YAS_BOND_YLD","YAS_YLD_FLAG=15","SETTLE_DT",Company_desc!$A$1))</f>
        <v/>
      </c>
      <c r="M218" s="31">
        <f>IF($A218="","",K218-_xll.BDP($A218&amp;" Corp","YAS_BOND_YLD","YAS_YLD_FLAG=15","SETTLE_DT",Company_desc!$A$2))</f>
        <v/>
      </c>
      <c r="N218" s="79">
        <f>IF($A218="","",_xll.BDP($A218&amp;" Corp","YAS_OAS_SPRD"))</f>
        <v/>
      </c>
      <c r="O218" s="67">
        <f>IF($A218="","",_xll.BDP($A218&amp;" Corp","YAS_MOD_DUR"))</f>
        <v/>
      </c>
      <c r="P218" s="80">
        <f>IF($A218="","",IFERROR(INDEX(Sheet1!$P:$P,MATCH($A218,Sheet1!$A:$A,0)),""))</f>
        <v/>
      </c>
      <c r="Q218" s="75">
        <f>IF($A218="","",IFERROR(INDEX(Company_desc!$C:$C,MATCH($A218,Company_desc!$A:$A,0)),IFERROR(INDEX(Sheet1!$Q:$Q,MATCH($A218,Sheet1!$A:$A,0)),"")))</f>
        <v/>
      </c>
      <c r="R218" s="75">
        <f>IF($A218="","",_xll.BDP($A218&amp;" Corp","CRNCY"))</f>
        <v/>
      </c>
      <c r="S218" s="75">
        <f>IF($A218="","",IFERROR(INDEX(Sheet1!$S:$S,MATCH($A218,Sheet1!$A:$A,0)),""))</f>
        <v/>
      </c>
      <c r="T218" s="75">
        <f>IF($A218="","",IFERROR(INDEX(Sheet1!$T:$T,MATCH($A218,Sheet1!$A:$A,0)),_xll.BDP($A218&amp;" Corp","RTG_SP")))</f>
        <v/>
      </c>
      <c r="U218" s="75">
        <f>IF($A218="","",IFERROR(INDEX(Sheet1!$U:$U,MATCH($A218,Sheet1!$A:$A,0)),""))</f>
        <v/>
      </c>
      <c r="W218" s="81">
        <f>IF($A218="","",N218-_xll.BDP($A218&amp;" Corp","YAS_OAS_SPRD","SETTLE_DT",Company_desc!$A$1))</f>
        <v/>
      </c>
      <c r="X218" s="81">
        <f>IF($A218="","",N218-_xll.BDP($A218&amp;" Corp","YAS_OAS_SPRD","SETTLE_DT",Company_desc!$A$2))</f>
        <v/>
      </c>
      <c r="Y218" s="80">
        <f>IF($A218="","",N218-_xll.BDP($A218&amp;" Corp","YAS_OAS_SPRD","SETTLE_DT",Company_desc!$D$1))</f>
        <v/>
      </c>
      <c r="Z218" s="82">
        <f>IF($A218="","",K218-_xll.BDP($A218&amp;" Corp","YAS_BOND_YLD","YAS_YLD_FLAG=15","SETTLE_DT",Company_desc!$D$1))</f>
        <v/>
      </c>
      <c r="AA218" s="80">
        <f>IF($A218="","",_xll.BDP($A218&amp;" Corp","YAS_OAS_SPRD","SETTLE_DT",Company_desc!$D$1))</f>
        <v/>
      </c>
    </row>
    <row r="219">
      <c r="B219" s="75">
        <f>IF($A219="","",IFERROR(INDEX(Sheet1!$B:$B,MATCH($A219,Sheet1!$A:$A,0)),""))</f>
        <v/>
      </c>
      <c r="C219" s="75">
        <f>IF($A219="","",PROPER(_xll.BDP($A219&amp;" Corp","NAME")))</f>
        <v/>
      </c>
      <c r="D219" s="76">
        <f>IF($A219="","",_xll.BDP($A219&amp;" Corp","CPN"))</f>
        <v/>
      </c>
      <c r="E219" s="75">
        <f>IF($A219="","",_xll.BDP($A219&amp;" Corp","PAYMENT_RANK"))</f>
        <v/>
      </c>
      <c r="F219" s="100">
        <f>IF($A219="","",_xll.BDP($A219&amp;" Corp","MATURITY"))</f>
        <v/>
      </c>
      <c r="G219" s="75">
        <f>IF($A219="","",PROPER(_xll.BDP($A219&amp;" Corp","COUNTRY_FULL_NAME")))</f>
        <v/>
      </c>
      <c r="H219" s="75">
        <f>IF($A219="","",_xll.BDP($A219&amp;" Corp","INDUSTRY_SECTOR"))</f>
        <v/>
      </c>
      <c r="I219" s="101">
        <f>IF($A219="","",IFERROR(_xll.BDP($A219&amp;" Corp","MIN_PIECE")/1000,""))</f>
        <v/>
      </c>
      <c r="J219" s="31">
        <f>IF($A219="","",_xll.BDP($A219&amp;" Corp","PX_LAST"))</f>
        <v/>
      </c>
      <c r="K219" s="31">
        <f>IF($A219="","",_xll.BDP($A219&amp;" Corp","YAS_BOND_YLD","YAS_YLD_FLAG=15"))</f>
        <v/>
      </c>
      <c r="L219" s="31">
        <f>IF($A219="","",K219-_xll.BDP($A219&amp;" Corp","YAS_BOND_YLD","YAS_YLD_FLAG=15","SETTLE_DT",Company_desc!$A$1))</f>
        <v/>
      </c>
      <c r="M219" s="31">
        <f>IF($A219="","",K219-_xll.BDP($A219&amp;" Corp","YAS_BOND_YLD","YAS_YLD_FLAG=15","SETTLE_DT",Company_desc!$A$2))</f>
        <v/>
      </c>
      <c r="N219" s="79">
        <f>IF($A219="","",_xll.BDP($A219&amp;" Corp","YAS_OAS_SPRD"))</f>
        <v/>
      </c>
      <c r="O219" s="67">
        <f>IF($A219="","",_xll.BDP($A219&amp;" Corp","YAS_MOD_DUR"))</f>
        <v/>
      </c>
      <c r="P219" s="80">
        <f>IF($A219="","",IFERROR(INDEX(Sheet1!$P:$P,MATCH($A219,Sheet1!$A:$A,0)),""))</f>
        <v/>
      </c>
      <c r="Q219" s="75">
        <f>IF($A219="","",IFERROR(INDEX(Company_desc!$C:$C,MATCH($A219,Company_desc!$A:$A,0)),IFERROR(INDEX(Sheet1!$Q:$Q,MATCH($A219,Sheet1!$A:$A,0)),"")))</f>
        <v/>
      </c>
      <c r="R219" s="75">
        <f>IF($A219="","",_xll.BDP($A219&amp;" Corp","CRNCY"))</f>
        <v/>
      </c>
      <c r="S219" s="75">
        <f>IF($A219="","",IFERROR(INDEX(Sheet1!$S:$S,MATCH($A219,Sheet1!$A:$A,0)),""))</f>
        <v/>
      </c>
      <c r="T219" s="75">
        <f>IF($A219="","",IFERROR(INDEX(Sheet1!$T:$T,MATCH($A219,Sheet1!$A:$A,0)),_xll.BDP($A219&amp;" Corp","RTG_SP")))</f>
        <v/>
      </c>
      <c r="U219" s="75">
        <f>IF($A219="","",IFERROR(INDEX(Sheet1!$U:$U,MATCH($A219,Sheet1!$A:$A,0)),""))</f>
        <v/>
      </c>
      <c r="W219" s="81">
        <f>IF($A219="","",N219-_xll.BDP($A219&amp;" Corp","YAS_OAS_SPRD","SETTLE_DT",Company_desc!$A$1))</f>
        <v/>
      </c>
      <c r="X219" s="81">
        <f>IF($A219="","",N219-_xll.BDP($A219&amp;" Corp","YAS_OAS_SPRD","SETTLE_DT",Company_desc!$A$2))</f>
        <v/>
      </c>
      <c r="Y219" s="80">
        <f>IF($A219="","",N219-_xll.BDP($A219&amp;" Corp","YAS_OAS_SPRD","SETTLE_DT",Company_desc!$D$1))</f>
        <v/>
      </c>
      <c r="Z219" s="82">
        <f>IF($A219="","",K219-_xll.BDP($A219&amp;" Corp","YAS_BOND_YLD","YAS_YLD_FLAG=15","SETTLE_DT",Company_desc!$D$1))</f>
        <v/>
      </c>
      <c r="AA219" s="80">
        <f>IF($A219="","",_xll.BDP($A219&amp;" Corp","YAS_OAS_SPRD","SETTLE_DT",Company_desc!$D$1))</f>
        <v/>
      </c>
    </row>
    <row r="220">
      <c r="B220" s="75">
        <f>IF($A220="","",IFERROR(INDEX(Sheet1!$B:$B,MATCH($A220,Sheet1!$A:$A,0)),""))</f>
        <v/>
      </c>
      <c r="C220" s="75">
        <f>IF($A220="","",PROPER(_xll.BDP($A220&amp;" Corp","NAME")))</f>
        <v/>
      </c>
      <c r="D220" s="76">
        <f>IF($A220="","",_xll.BDP($A220&amp;" Corp","CPN"))</f>
        <v/>
      </c>
      <c r="E220" s="75">
        <f>IF($A220="","",_xll.BDP($A220&amp;" Corp","PAYMENT_RANK"))</f>
        <v/>
      </c>
      <c r="F220" s="100">
        <f>IF($A220="","",_xll.BDP($A220&amp;" Corp","MATURITY"))</f>
        <v/>
      </c>
      <c r="G220" s="75">
        <f>IF($A220="","",PROPER(_xll.BDP($A220&amp;" Corp","COUNTRY_FULL_NAME")))</f>
        <v/>
      </c>
      <c r="H220" s="75">
        <f>IF($A220="","",_xll.BDP($A220&amp;" Corp","INDUSTRY_SECTOR"))</f>
        <v/>
      </c>
      <c r="I220" s="101">
        <f>IF($A220="","",IFERROR(_xll.BDP($A220&amp;" Corp","MIN_PIECE")/1000,""))</f>
        <v/>
      </c>
      <c r="J220" s="31">
        <f>IF($A220="","",_xll.BDP($A220&amp;" Corp","PX_LAST"))</f>
        <v/>
      </c>
      <c r="K220" s="31">
        <f>IF($A220="","",_xll.BDP($A220&amp;" Corp","YAS_BOND_YLD","YAS_YLD_FLAG=15"))</f>
        <v/>
      </c>
      <c r="L220" s="31">
        <f>IF($A220="","",K220-_xll.BDP($A220&amp;" Corp","YAS_BOND_YLD","YAS_YLD_FLAG=15","SETTLE_DT",Company_desc!$A$1))</f>
        <v/>
      </c>
      <c r="M220" s="31">
        <f>IF($A220="","",K220-_xll.BDP($A220&amp;" Corp","YAS_BOND_YLD","YAS_YLD_FLAG=15","SETTLE_DT",Company_desc!$A$2))</f>
        <v/>
      </c>
      <c r="N220" s="79">
        <f>IF($A220="","",_xll.BDP($A220&amp;" Corp","YAS_OAS_SPRD"))</f>
        <v/>
      </c>
      <c r="O220" s="67">
        <f>IF($A220="","",_xll.BDP($A220&amp;" Corp","YAS_MOD_DUR"))</f>
        <v/>
      </c>
      <c r="P220" s="80">
        <f>IF($A220="","",IFERROR(INDEX(Sheet1!$P:$P,MATCH($A220,Sheet1!$A:$A,0)),""))</f>
        <v/>
      </c>
      <c r="Q220" s="75">
        <f>IF($A220="","",IFERROR(INDEX(Company_desc!$C:$C,MATCH($A220,Company_desc!$A:$A,0)),IFERROR(INDEX(Sheet1!$Q:$Q,MATCH($A220,Sheet1!$A:$A,0)),"")))</f>
        <v/>
      </c>
      <c r="R220" s="75">
        <f>IF($A220="","",_xll.BDP($A220&amp;" Corp","CRNCY"))</f>
        <v/>
      </c>
      <c r="S220" s="75">
        <f>IF($A220="","",IFERROR(INDEX(Sheet1!$S:$S,MATCH($A220,Sheet1!$A:$A,0)),""))</f>
        <v/>
      </c>
      <c r="T220" s="75">
        <f>IF($A220="","",IFERROR(INDEX(Sheet1!$T:$T,MATCH($A220,Sheet1!$A:$A,0)),_xll.BDP($A220&amp;" Corp","RTG_SP")))</f>
        <v/>
      </c>
      <c r="U220" s="75">
        <f>IF($A220="","",IFERROR(INDEX(Sheet1!$U:$U,MATCH($A220,Sheet1!$A:$A,0)),""))</f>
        <v/>
      </c>
      <c r="W220" s="81">
        <f>IF($A220="","",N220-_xll.BDP($A220&amp;" Corp","YAS_OAS_SPRD","SETTLE_DT",Company_desc!$A$1))</f>
        <v/>
      </c>
      <c r="X220" s="81">
        <f>IF($A220="","",N220-_xll.BDP($A220&amp;" Corp","YAS_OAS_SPRD","SETTLE_DT",Company_desc!$A$2))</f>
        <v/>
      </c>
      <c r="Y220" s="80">
        <f>IF($A220="","",N220-_xll.BDP($A220&amp;" Corp","YAS_OAS_SPRD","SETTLE_DT",Company_desc!$D$1))</f>
        <v/>
      </c>
      <c r="Z220" s="82">
        <f>IF($A220="","",K220-_xll.BDP($A220&amp;" Corp","YAS_BOND_YLD","YAS_YLD_FLAG=15","SETTLE_DT",Company_desc!$D$1))</f>
        <v/>
      </c>
      <c r="AA220" s="80">
        <f>IF($A220="","",_xll.BDP($A220&amp;" Corp","YAS_OAS_SPRD","SETTLE_DT",Company_desc!$D$1))</f>
        <v/>
      </c>
    </row>
    <row r="221">
      <c r="B221" s="75">
        <f>IF($A221="","",IFERROR(INDEX(Sheet1!$B:$B,MATCH($A221,Sheet1!$A:$A,0)),""))</f>
        <v/>
      </c>
      <c r="C221" s="75">
        <f>IF($A221="","",PROPER(_xll.BDP($A221&amp;" Corp","NAME")))</f>
        <v/>
      </c>
      <c r="D221" s="76">
        <f>IF($A221="","",_xll.BDP($A221&amp;" Corp","CPN"))</f>
        <v/>
      </c>
      <c r="E221" s="75">
        <f>IF($A221="","",_xll.BDP($A221&amp;" Corp","PAYMENT_RANK"))</f>
        <v/>
      </c>
      <c r="F221" s="100">
        <f>IF($A221="","",_xll.BDP($A221&amp;" Corp","MATURITY"))</f>
        <v/>
      </c>
      <c r="G221" s="75">
        <f>IF($A221="","",PROPER(_xll.BDP($A221&amp;" Corp","COUNTRY_FULL_NAME")))</f>
        <v/>
      </c>
      <c r="H221" s="75">
        <f>IF($A221="","",_xll.BDP($A221&amp;" Corp","INDUSTRY_SECTOR"))</f>
        <v/>
      </c>
      <c r="I221" s="101">
        <f>IF($A221="","",IFERROR(_xll.BDP($A221&amp;" Corp","MIN_PIECE")/1000,""))</f>
        <v/>
      </c>
      <c r="J221" s="31">
        <f>IF($A221="","",_xll.BDP($A221&amp;" Corp","PX_LAST"))</f>
        <v/>
      </c>
      <c r="K221" s="31">
        <f>IF($A221="","",_xll.BDP($A221&amp;" Corp","YAS_BOND_YLD","YAS_YLD_FLAG=15"))</f>
        <v/>
      </c>
      <c r="L221" s="31">
        <f>IF($A221="","",K221-_xll.BDP($A221&amp;" Corp","YAS_BOND_YLD","YAS_YLD_FLAG=15","SETTLE_DT",Company_desc!$A$1))</f>
        <v/>
      </c>
      <c r="M221" s="31">
        <f>IF($A221="","",K221-_xll.BDP($A221&amp;" Corp","YAS_BOND_YLD","YAS_YLD_FLAG=15","SETTLE_DT",Company_desc!$A$2))</f>
        <v/>
      </c>
      <c r="N221" s="79">
        <f>IF($A221="","",_xll.BDP($A221&amp;" Corp","YAS_OAS_SPRD"))</f>
        <v/>
      </c>
      <c r="O221" s="67">
        <f>IF($A221="","",_xll.BDP($A221&amp;" Corp","YAS_MOD_DUR"))</f>
        <v/>
      </c>
      <c r="P221" s="80">
        <f>IF($A221="","",IFERROR(INDEX(Sheet1!$P:$P,MATCH($A221,Sheet1!$A:$A,0)),""))</f>
        <v/>
      </c>
      <c r="Q221" s="75">
        <f>IF($A221="","",IFERROR(INDEX(Company_desc!$C:$C,MATCH($A221,Company_desc!$A:$A,0)),IFERROR(INDEX(Sheet1!$Q:$Q,MATCH($A221,Sheet1!$A:$A,0)),"")))</f>
        <v/>
      </c>
      <c r="R221" s="75">
        <f>IF($A221="","",_xll.BDP($A221&amp;" Corp","CRNCY"))</f>
        <v/>
      </c>
      <c r="S221" s="75">
        <f>IF($A221="","",IFERROR(INDEX(Sheet1!$S:$S,MATCH($A221,Sheet1!$A:$A,0)),""))</f>
        <v/>
      </c>
      <c r="T221" s="75">
        <f>IF($A221="","",IFERROR(INDEX(Sheet1!$T:$T,MATCH($A221,Sheet1!$A:$A,0)),_xll.BDP($A221&amp;" Corp","RTG_SP")))</f>
        <v/>
      </c>
      <c r="U221" s="75">
        <f>IF($A221="","",IFERROR(INDEX(Sheet1!$U:$U,MATCH($A221,Sheet1!$A:$A,0)),""))</f>
        <v/>
      </c>
      <c r="W221" s="81">
        <f>IF($A221="","",N221-_xll.BDP($A221&amp;" Corp","YAS_OAS_SPRD","SETTLE_DT",Company_desc!$A$1))</f>
        <v/>
      </c>
      <c r="X221" s="81">
        <f>IF($A221="","",N221-_xll.BDP($A221&amp;" Corp","YAS_OAS_SPRD","SETTLE_DT",Company_desc!$A$2))</f>
        <v/>
      </c>
      <c r="Y221" s="80">
        <f>IF($A221="","",N221-_xll.BDP($A221&amp;" Corp","YAS_OAS_SPRD","SETTLE_DT",Company_desc!$D$1))</f>
        <v/>
      </c>
      <c r="Z221" s="82">
        <f>IF($A221="","",K221-_xll.BDP($A221&amp;" Corp","YAS_BOND_YLD","YAS_YLD_FLAG=15","SETTLE_DT",Company_desc!$D$1))</f>
        <v/>
      </c>
      <c r="AA221" s="80">
        <f>IF($A221="","",_xll.BDP($A221&amp;" Corp","YAS_OAS_SPRD","SETTLE_DT",Company_desc!$D$1))</f>
        <v/>
      </c>
    </row>
    <row r="222">
      <c r="B222" s="75">
        <f>IF($A222="","",IFERROR(INDEX(Sheet1!$B:$B,MATCH($A222,Sheet1!$A:$A,0)),""))</f>
        <v/>
      </c>
      <c r="C222" s="75">
        <f>IF($A222="","",PROPER(_xll.BDP($A222&amp;" Corp","NAME")))</f>
        <v/>
      </c>
      <c r="D222" s="76">
        <f>IF($A222="","",_xll.BDP($A222&amp;" Corp","CPN"))</f>
        <v/>
      </c>
      <c r="E222" s="75">
        <f>IF($A222="","",_xll.BDP($A222&amp;" Corp","PAYMENT_RANK"))</f>
        <v/>
      </c>
      <c r="F222" s="100">
        <f>IF($A222="","",_xll.BDP($A222&amp;" Corp","MATURITY"))</f>
        <v/>
      </c>
      <c r="G222" s="75">
        <f>IF($A222="","",PROPER(_xll.BDP($A222&amp;" Corp","COUNTRY_FULL_NAME")))</f>
        <v/>
      </c>
      <c r="H222" s="75">
        <f>IF($A222="","",_xll.BDP($A222&amp;" Corp","INDUSTRY_SECTOR"))</f>
        <v/>
      </c>
      <c r="I222" s="101">
        <f>IF($A222="","",IFERROR(_xll.BDP($A222&amp;" Corp","MIN_PIECE")/1000,""))</f>
        <v/>
      </c>
      <c r="J222" s="31">
        <f>IF($A222="","",_xll.BDP($A222&amp;" Corp","PX_LAST"))</f>
        <v/>
      </c>
      <c r="K222" s="31">
        <f>IF($A222="","",_xll.BDP($A222&amp;" Corp","YAS_BOND_YLD","YAS_YLD_FLAG=15"))</f>
        <v/>
      </c>
      <c r="L222" s="31">
        <f>IF($A222="","",K222-_xll.BDP($A222&amp;" Corp","YAS_BOND_YLD","YAS_YLD_FLAG=15","SETTLE_DT",Company_desc!$A$1))</f>
        <v/>
      </c>
      <c r="M222" s="31">
        <f>IF($A222="","",K222-_xll.BDP($A222&amp;" Corp","YAS_BOND_YLD","YAS_YLD_FLAG=15","SETTLE_DT",Company_desc!$A$2))</f>
        <v/>
      </c>
      <c r="N222" s="79">
        <f>IF($A222="","",_xll.BDP($A222&amp;" Corp","YAS_OAS_SPRD"))</f>
        <v/>
      </c>
      <c r="O222" s="67">
        <f>IF($A222="","",_xll.BDP($A222&amp;" Corp","YAS_MOD_DUR"))</f>
        <v/>
      </c>
      <c r="P222" s="80">
        <f>IF($A222="","",IFERROR(INDEX(Sheet1!$P:$P,MATCH($A222,Sheet1!$A:$A,0)),""))</f>
        <v/>
      </c>
      <c r="Q222" s="75">
        <f>IF($A222="","",IFERROR(INDEX(Company_desc!$C:$C,MATCH($A222,Company_desc!$A:$A,0)),IFERROR(INDEX(Sheet1!$Q:$Q,MATCH($A222,Sheet1!$A:$A,0)),"")))</f>
        <v/>
      </c>
      <c r="R222" s="75">
        <f>IF($A222="","",_xll.BDP($A222&amp;" Corp","CRNCY"))</f>
        <v/>
      </c>
      <c r="S222" s="75">
        <f>IF($A222="","",IFERROR(INDEX(Sheet1!$S:$S,MATCH($A222,Sheet1!$A:$A,0)),""))</f>
        <v/>
      </c>
      <c r="T222" s="75">
        <f>IF($A222="","",IFERROR(INDEX(Sheet1!$T:$T,MATCH($A222,Sheet1!$A:$A,0)),_xll.BDP($A222&amp;" Corp","RTG_SP")))</f>
        <v/>
      </c>
      <c r="U222" s="75">
        <f>IF($A222="","",IFERROR(INDEX(Sheet1!$U:$U,MATCH($A222,Sheet1!$A:$A,0)),""))</f>
        <v/>
      </c>
      <c r="W222" s="81">
        <f>IF($A222="","",N222-_xll.BDP($A222&amp;" Corp","YAS_OAS_SPRD","SETTLE_DT",Company_desc!$A$1))</f>
        <v/>
      </c>
      <c r="X222" s="81">
        <f>IF($A222="","",N222-_xll.BDP($A222&amp;" Corp","YAS_OAS_SPRD","SETTLE_DT",Company_desc!$A$2))</f>
        <v/>
      </c>
      <c r="Y222" s="80">
        <f>IF($A222="","",N222-_xll.BDP($A222&amp;" Corp","YAS_OAS_SPRD","SETTLE_DT",Company_desc!$D$1))</f>
        <v/>
      </c>
      <c r="Z222" s="82">
        <f>IF($A222="","",K222-_xll.BDP($A222&amp;" Corp","YAS_BOND_YLD","YAS_YLD_FLAG=15","SETTLE_DT",Company_desc!$D$1))</f>
        <v/>
      </c>
      <c r="AA222" s="80">
        <f>IF($A222="","",_xll.BDP($A222&amp;" Corp","YAS_OAS_SPRD","SETTLE_DT",Company_desc!$D$1))</f>
        <v/>
      </c>
    </row>
    <row r="223">
      <c r="B223" s="75">
        <f>IF($A223="","",IFERROR(INDEX(Sheet1!$B:$B,MATCH($A223,Sheet1!$A:$A,0)),""))</f>
        <v/>
      </c>
      <c r="C223" s="75">
        <f>IF($A223="","",PROPER(_xll.BDP($A223&amp;" Corp","NAME")))</f>
        <v/>
      </c>
      <c r="D223" s="76">
        <f>IF($A223="","",_xll.BDP($A223&amp;" Corp","CPN"))</f>
        <v/>
      </c>
      <c r="E223" s="75">
        <f>IF($A223="","",_xll.BDP($A223&amp;" Corp","PAYMENT_RANK"))</f>
        <v/>
      </c>
      <c r="F223" s="100">
        <f>IF($A223="","",_xll.BDP($A223&amp;" Corp","MATURITY"))</f>
        <v/>
      </c>
      <c r="G223" s="75">
        <f>IF($A223="","",PROPER(_xll.BDP($A223&amp;" Corp","COUNTRY_FULL_NAME")))</f>
        <v/>
      </c>
      <c r="H223" s="75">
        <f>IF($A223="","",_xll.BDP($A223&amp;" Corp","INDUSTRY_SECTOR"))</f>
        <v/>
      </c>
      <c r="I223" s="101">
        <f>IF($A223="","",IFERROR(_xll.BDP($A223&amp;" Corp","MIN_PIECE")/1000,""))</f>
        <v/>
      </c>
      <c r="J223" s="31">
        <f>IF($A223="","",_xll.BDP($A223&amp;" Corp","PX_LAST"))</f>
        <v/>
      </c>
      <c r="K223" s="31">
        <f>IF($A223="","",_xll.BDP($A223&amp;" Corp","YAS_BOND_YLD","YAS_YLD_FLAG=15"))</f>
        <v/>
      </c>
      <c r="L223" s="31">
        <f>IF($A223="","",K223-_xll.BDP($A223&amp;" Corp","YAS_BOND_YLD","YAS_YLD_FLAG=15","SETTLE_DT",Company_desc!$A$1))</f>
        <v/>
      </c>
      <c r="M223" s="31">
        <f>IF($A223="","",K223-_xll.BDP($A223&amp;" Corp","YAS_BOND_YLD","YAS_YLD_FLAG=15","SETTLE_DT",Company_desc!$A$2))</f>
        <v/>
      </c>
      <c r="N223" s="79">
        <f>IF($A223="","",_xll.BDP($A223&amp;" Corp","YAS_OAS_SPRD"))</f>
        <v/>
      </c>
      <c r="O223" s="82">
        <f>IF($A223="","",_xll.BDP($A223&amp;" Corp","YAS_MOD_DUR"))</f>
        <v/>
      </c>
      <c r="P223" s="80">
        <f>IF($A223="","",IFERROR(INDEX(Sheet1!$P:$P,MATCH($A223,Sheet1!$A:$A,0)),""))</f>
        <v/>
      </c>
      <c r="Q223" s="75">
        <f>IF($A223="","",IFERROR(INDEX(Company_desc!$C:$C,MATCH($A223,Company_desc!$A:$A,0)),IFERROR(INDEX(Sheet1!$Q:$Q,MATCH($A223,Sheet1!$A:$A,0)),"")))</f>
        <v/>
      </c>
      <c r="R223" s="75">
        <f>IF($A223="","",_xll.BDP($A223&amp;" Corp","CRNCY"))</f>
        <v/>
      </c>
      <c r="S223" s="75">
        <f>IF($A223="","",IFERROR(INDEX(Sheet1!$S:$S,MATCH($A223,Sheet1!$A:$A,0)),""))</f>
        <v/>
      </c>
      <c r="T223" s="75">
        <f>IF($A223="","",IFERROR(INDEX(Sheet1!$T:$T,MATCH($A223,Sheet1!$A:$A,0)),_xll.BDP($A223&amp;" Corp","RTG_SP")))</f>
        <v/>
      </c>
      <c r="U223" s="75">
        <f>IF($A223="","",IFERROR(INDEX(Sheet1!$U:$U,MATCH($A223,Sheet1!$A:$A,0)),""))</f>
        <v/>
      </c>
      <c r="W223" s="81">
        <f>IF($A223="","",N223-_xll.BDP($A223&amp;" Corp","YAS_OAS_SPRD","SETTLE_DT",Company_desc!$A$1))</f>
        <v/>
      </c>
      <c r="X223" s="81">
        <f>IF($A223="","",N223-_xll.BDP($A223&amp;" Corp","YAS_OAS_SPRD","SETTLE_DT",Company_desc!$A$2))</f>
        <v/>
      </c>
      <c r="Y223" s="80">
        <f>IF($A223="","",N223-_xll.BDP($A223&amp;" Corp","YAS_OAS_SPRD","SETTLE_DT",Company_desc!$D$1))</f>
        <v/>
      </c>
      <c r="Z223" s="82">
        <f>IF($A223="","",K223-_xll.BDP($A223&amp;" Corp","YAS_BOND_YLD","YAS_YLD_FLAG=15","SETTLE_DT",Company_desc!$D$1))</f>
        <v/>
      </c>
      <c r="AA223" s="80">
        <f>IF($A223="","",_xll.BDP($A223&amp;" Corp","YAS_OAS_SPRD","SETTLE_DT",Company_desc!$D$1))</f>
        <v/>
      </c>
    </row>
    <row r="224">
      <c r="B224" s="28">
        <f>IF($A224="","",IFERROR(INDEX(Sheet1!$B:$B,MATCH($A224,Sheet1!$A:$A,0)),""))</f>
        <v/>
      </c>
      <c r="C224" s="29">
        <f>IF($A224="","",PROPER(_xll.BDP($A224&amp;" Corp","NAME")))</f>
        <v/>
      </c>
      <c r="D224" s="84">
        <f>IF($A224="","",_xll.BDP($A224&amp;" Corp","CPN"))</f>
        <v/>
      </c>
      <c r="E224" s="84">
        <f>IF($A224="","",_xll.BDP($A224&amp;" Corp","PAYMENT_RANK"))</f>
        <v/>
      </c>
      <c r="F224" s="102">
        <f>IF($A224="","",_xll.BDP($A224&amp;" Corp","MATURITY"))</f>
        <v/>
      </c>
      <c r="G224" s="43">
        <f>IF($A224="","",PROPER(_xll.BDP($A224&amp;" Corp","COUNTRY_FULL_NAME")))</f>
        <v/>
      </c>
      <c r="H224" s="29">
        <f>IF($A224="","",_xll.BDP($A224&amp;" Corp","INDUSTRY_SECTOR"))</f>
        <v/>
      </c>
      <c r="I224" s="103">
        <f>IF($A224="","",IFERROR(_xll.BDP($A224&amp;" Corp","MIN_PIECE")/1000,""))</f>
        <v/>
      </c>
      <c r="J224" s="31">
        <f>IF($A224="","",_xll.BDP($A224&amp;" Corp","PX_LAST"))</f>
        <v/>
      </c>
      <c r="K224" s="31">
        <f>IF($A224="","",_xll.BDP($A224&amp;" Corp","YAS_BOND_YLD","YAS_YLD_FLAG=15"))</f>
        <v/>
      </c>
      <c r="L224" s="31">
        <f>IF($A224="","",K224-_xll.BDP($A224&amp;" Corp","YAS_BOND_YLD","YAS_YLD_FLAG=15","SETTLE_DT",Company_desc!$A$1))</f>
        <v/>
      </c>
      <c r="M224" s="31">
        <f>IF($A224="","",K224-_xll.BDP($A224&amp;" Corp","YAS_BOND_YLD","YAS_YLD_FLAG=15","SETTLE_DT",Company_desc!$A$2))</f>
        <v/>
      </c>
      <c r="N224" s="79">
        <f>IF($A224="","",_xll.BDP($A224&amp;" Corp","YAS_OAS_SPRD"))</f>
        <v/>
      </c>
      <c r="O224" s="67">
        <f>IF($A224="","",_xll.BDP($A224&amp;" Corp","YAS_MOD_DUR"))</f>
        <v/>
      </c>
      <c r="P224" s="79">
        <f>IF($A224="","",IFERROR(INDEX(Sheet1!$P:$P,MATCH($A224,Sheet1!$A:$A,0)),""))</f>
        <v/>
      </c>
      <c r="Q224" s="27">
        <f>IF($A224="","",IFERROR(INDEX(Company_desc!$C:$C,MATCH($A224,Company_desc!$A:$A,0)),IFERROR(INDEX(Sheet1!$Q:$Q,MATCH($A224,Sheet1!$A:$A,0)),"")))</f>
        <v/>
      </c>
      <c r="R224" s="27">
        <f>IF($A224="","",_xll.BDP($A224&amp;" Corp","CRNCY"))</f>
        <v/>
      </c>
      <c r="S224" s="27">
        <f>IF($A224="","",IFERROR(INDEX(Sheet1!$S:$S,MATCH($A224,Sheet1!$A:$A,0)),""))</f>
        <v/>
      </c>
      <c r="T224" s="47">
        <f>IF($A224="","",IFERROR(INDEX(Sheet1!$T:$T,MATCH($A224,Sheet1!$A:$A,0)),_xll.BDP($A224&amp;" Corp","RTG_SP")))</f>
        <v/>
      </c>
      <c r="U224" s="75">
        <f>IF($A224="","",IFERROR(INDEX(Sheet1!$U:$U,MATCH($A224,Sheet1!$A:$A,0)),""))</f>
        <v/>
      </c>
      <c r="W224" s="81">
        <f>IF($A224="","",N224-_xll.BDP($A224&amp;" Corp","YAS_OAS_SPRD","SETTLE_DT",Company_desc!$A$1))</f>
        <v/>
      </c>
      <c r="X224" s="81">
        <f>IF($A224="","",N224-_xll.BDP($A224&amp;" Corp","YAS_OAS_SPRD","SETTLE_DT",Company_desc!$A$2))</f>
        <v/>
      </c>
      <c r="Y224" s="80">
        <f>IF($A224="","",N224-_xll.BDP($A224&amp;" Corp","YAS_OAS_SPRD","SETTLE_DT",Company_desc!$D$1))</f>
        <v/>
      </c>
      <c r="Z224" s="82">
        <f>IF($A224="","",K224-_xll.BDP($A224&amp;" Corp","YAS_BOND_YLD","YAS_YLD_FLAG=15","SETTLE_DT",Company_desc!$D$1))</f>
        <v/>
      </c>
      <c r="AA224" s="80">
        <f>IF($A224="","",_xll.BDP($A224&amp;" Corp","YAS_OAS_SPRD","SETTLE_DT",Company_desc!$D$1))</f>
        <v/>
      </c>
    </row>
    <row r="225">
      <c r="B225" s="75">
        <f>IF($A225="","",IFERROR(INDEX(Sheet1!$B:$B,MATCH($A225,Sheet1!$A:$A,0)),""))</f>
        <v/>
      </c>
      <c r="C225" s="75">
        <f>IF($A225="","",PROPER(_xll.BDP($A225&amp;" Corp","NAME")))</f>
        <v/>
      </c>
      <c r="D225" s="76">
        <f>IF($A225="","",_xll.BDP($A225&amp;" Corp","CPN"))</f>
        <v/>
      </c>
      <c r="E225" s="75">
        <f>IF($A225="","",_xll.BDP($A225&amp;" Corp","PAYMENT_RANK"))</f>
        <v/>
      </c>
      <c r="F225" s="100">
        <f>IF($A225="","",_xll.BDP($A225&amp;" Corp","MATURITY"))</f>
        <v/>
      </c>
      <c r="G225" s="75">
        <f>IF($A225="","",PROPER(_xll.BDP($A225&amp;" Corp","COUNTRY_FULL_NAME")))</f>
        <v/>
      </c>
      <c r="H225" s="75">
        <f>IF($A225="","",_xll.BDP($A225&amp;" Corp","INDUSTRY_SECTOR"))</f>
        <v/>
      </c>
      <c r="I225" s="101">
        <f>IF($A225="","",IFERROR(_xll.BDP($A225&amp;" Corp","MIN_PIECE")/1000,""))</f>
        <v/>
      </c>
      <c r="J225" s="31">
        <f>IF($A225="","",_xll.BDP($A225&amp;" Corp","PX_LAST"))</f>
        <v/>
      </c>
      <c r="K225" s="31">
        <f>IF($A225="","",_xll.BDP($A225&amp;" Corp","YAS_BOND_YLD","YAS_YLD_FLAG=15"))</f>
        <v/>
      </c>
      <c r="L225" s="31">
        <f>IF($A225="","",K225-_xll.BDP($A225&amp;" Corp","YAS_BOND_YLD","YAS_YLD_FLAG=15","SETTLE_DT",Company_desc!$A$1))</f>
        <v/>
      </c>
      <c r="M225" s="31">
        <f>IF($A225="","",K225-_xll.BDP($A225&amp;" Corp","YAS_BOND_YLD","YAS_YLD_FLAG=15","SETTLE_DT",Company_desc!$A$2))</f>
        <v/>
      </c>
      <c r="N225" s="79">
        <f>IF($A225="","",_xll.BDP($A225&amp;" Corp","YAS_OAS_SPRD"))</f>
        <v/>
      </c>
      <c r="O225" s="67">
        <f>IF($A225="","",_xll.BDP($A225&amp;" Corp","YAS_MOD_DUR"))</f>
        <v/>
      </c>
      <c r="P225" s="80">
        <f>IF($A225="","",IFERROR(INDEX(Sheet1!$P:$P,MATCH($A225,Sheet1!$A:$A,0)),""))</f>
        <v/>
      </c>
      <c r="Q225" s="75">
        <f>IF($A225="","",IFERROR(INDEX(Company_desc!$C:$C,MATCH($A225,Company_desc!$A:$A,0)),IFERROR(INDEX(Sheet1!$Q:$Q,MATCH($A225,Sheet1!$A:$A,0)),"")))</f>
        <v/>
      </c>
      <c r="R225" s="75">
        <f>IF($A225="","",_xll.BDP($A225&amp;" Corp","CRNCY"))</f>
        <v/>
      </c>
      <c r="S225" s="75">
        <f>IF($A225="","",IFERROR(INDEX(Sheet1!$S:$S,MATCH($A225,Sheet1!$A:$A,0)),""))</f>
        <v/>
      </c>
      <c r="T225" s="75">
        <f>IF($A225="","",IFERROR(INDEX(Sheet1!$T:$T,MATCH($A225,Sheet1!$A:$A,0)),_xll.BDP($A225&amp;" Corp","RTG_SP")))</f>
        <v/>
      </c>
      <c r="U225" s="75">
        <f>IF($A225="","",IFERROR(INDEX(Sheet1!$U:$U,MATCH($A225,Sheet1!$A:$A,0)),""))</f>
        <v/>
      </c>
      <c r="W225" s="81">
        <f>IF($A225="","",N225-_xll.BDP($A225&amp;" Corp","YAS_OAS_SPRD","SETTLE_DT",Company_desc!$A$1))</f>
        <v/>
      </c>
      <c r="X225" s="81">
        <f>IF($A225="","",N225-_xll.BDP($A225&amp;" Corp","YAS_OAS_SPRD","SETTLE_DT",Company_desc!$A$2))</f>
        <v/>
      </c>
      <c r="Y225" s="80">
        <f>IF($A225="","",N225-_xll.BDP($A225&amp;" Corp","YAS_OAS_SPRD","SETTLE_DT",Company_desc!$D$1))</f>
        <v/>
      </c>
      <c r="Z225" s="82">
        <f>IF($A225="","",K225-_xll.BDP($A225&amp;" Corp","YAS_BOND_YLD","YAS_YLD_FLAG=15","SETTLE_DT",Company_desc!$D$1))</f>
        <v/>
      </c>
      <c r="AA225" s="80">
        <f>IF($A225="","",_xll.BDP($A225&amp;" Corp","YAS_OAS_SPRD","SETTLE_DT",Company_desc!$D$1))</f>
        <v/>
      </c>
    </row>
    <row r="226">
      <c r="B226" s="75">
        <f>IF($A226="","",IFERROR(INDEX(Sheet1!$B:$B,MATCH($A226,Sheet1!$A:$A,0)),""))</f>
        <v/>
      </c>
      <c r="C226" s="75">
        <f>IF($A226="","",PROPER(_xll.BDP($A226&amp;" Corp","NAME")))</f>
        <v/>
      </c>
      <c r="D226" s="76">
        <f>IF($A226="","",_xll.BDP($A226&amp;" Corp","CPN"))</f>
        <v/>
      </c>
      <c r="E226" s="75">
        <f>IF($A226="","",_xll.BDP($A226&amp;" Corp","PAYMENT_RANK"))</f>
        <v/>
      </c>
      <c r="F226" s="100">
        <f>IF($A226="","",_xll.BDP($A226&amp;" Corp","MATURITY"))</f>
        <v/>
      </c>
      <c r="G226" s="75">
        <f>IF($A226="","",PROPER(_xll.BDP($A226&amp;" Corp","COUNTRY_FULL_NAME")))</f>
        <v/>
      </c>
      <c r="H226" s="75">
        <f>IF($A226="","",_xll.BDP($A226&amp;" Corp","INDUSTRY_SECTOR"))</f>
        <v/>
      </c>
      <c r="I226" s="101">
        <f>IF($A226="","",IFERROR(_xll.BDP($A226&amp;" Corp","MIN_PIECE")/1000,""))</f>
        <v/>
      </c>
      <c r="J226" s="31">
        <f>IF($A226="","",_xll.BDP($A226&amp;" Corp","PX_LAST"))</f>
        <v/>
      </c>
      <c r="K226" s="31">
        <f>IF($A226="","",_xll.BDP($A226&amp;" Corp","YAS_BOND_YLD","YAS_YLD_FLAG=15"))</f>
        <v/>
      </c>
      <c r="L226" s="31">
        <f>IF($A226="","",K226-_xll.BDP($A226&amp;" Corp","YAS_BOND_YLD","YAS_YLD_FLAG=15","SETTLE_DT",Company_desc!$A$1))</f>
        <v/>
      </c>
      <c r="M226" s="31">
        <f>IF($A226="","",K226-_xll.BDP($A226&amp;" Corp","YAS_BOND_YLD","YAS_YLD_FLAG=15","SETTLE_DT",Company_desc!$A$2))</f>
        <v/>
      </c>
      <c r="N226" s="79">
        <f>IF($A226="","",_xll.BDP($A226&amp;" Corp","YAS_OAS_SPRD"))</f>
        <v/>
      </c>
      <c r="O226" s="67">
        <f>IF($A226="","",_xll.BDP($A226&amp;" Corp","YAS_MOD_DUR"))</f>
        <v/>
      </c>
      <c r="P226" s="80">
        <f>IF($A226="","",IFERROR(INDEX(Sheet1!$P:$P,MATCH($A226,Sheet1!$A:$A,0)),""))</f>
        <v/>
      </c>
      <c r="Q226" s="75">
        <f>IF($A226="","",IFERROR(INDEX(Company_desc!$C:$C,MATCH($A226,Company_desc!$A:$A,0)),IFERROR(INDEX(Sheet1!$Q:$Q,MATCH($A226,Sheet1!$A:$A,0)),"")))</f>
        <v/>
      </c>
      <c r="R226" s="75">
        <f>IF($A226="","",_xll.BDP($A226&amp;" Corp","CRNCY"))</f>
        <v/>
      </c>
      <c r="S226" s="75">
        <f>IF($A226="","",IFERROR(INDEX(Sheet1!$S:$S,MATCH($A226,Sheet1!$A:$A,0)),""))</f>
        <v/>
      </c>
      <c r="T226" s="75">
        <f>IF($A226="","",IFERROR(INDEX(Sheet1!$T:$T,MATCH($A226,Sheet1!$A:$A,0)),_xll.BDP($A226&amp;" Corp","RTG_SP")))</f>
        <v/>
      </c>
      <c r="U226" s="75">
        <f>IF($A226="","",IFERROR(INDEX(Sheet1!$U:$U,MATCH($A226,Sheet1!$A:$A,0)),""))</f>
        <v/>
      </c>
      <c r="W226" s="81">
        <f>IF($A226="","",N226-_xll.BDP($A226&amp;" Corp","YAS_OAS_SPRD","SETTLE_DT",Company_desc!$A$1))</f>
        <v/>
      </c>
      <c r="X226" s="81">
        <f>IF($A226="","",N226-_xll.BDP($A226&amp;" Corp","YAS_OAS_SPRD","SETTLE_DT",Company_desc!$A$2))</f>
        <v/>
      </c>
      <c r="Y226" s="80">
        <f>IF($A226="","",N226-_xll.BDP($A226&amp;" Corp","YAS_OAS_SPRD","SETTLE_DT",Company_desc!$D$1))</f>
        <v/>
      </c>
      <c r="Z226" s="82">
        <f>IF($A226="","",K226-_xll.BDP($A226&amp;" Corp","YAS_BOND_YLD","YAS_YLD_FLAG=15","SETTLE_DT",Company_desc!$D$1))</f>
        <v/>
      </c>
      <c r="AA226" s="80">
        <f>IF($A226="","",_xll.BDP($A226&amp;" Corp","YAS_OAS_SPRD","SETTLE_DT",Company_desc!$D$1))</f>
        <v/>
      </c>
    </row>
    <row r="227">
      <c r="B227" s="75">
        <f>IF($A227="","",IFERROR(INDEX(Sheet1!$B:$B,MATCH($A227,Sheet1!$A:$A,0)),""))</f>
        <v/>
      </c>
      <c r="C227" s="75">
        <f>IF($A227="","",PROPER(_xll.BDP($A227&amp;" Corp","NAME")))</f>
        <v/>
      </c>
      <c r="D227" s="76">
        <f>IF($A227="","",_xll.BDP($A227&amp;" Corp","CPN"))</f>
        <v/>
      </c>
      <c r="E227" s="75">
        <f>IF($A227="","",_xll.BDP($A227&amp;" Corp","PAYMENT_RANK"))</f>
        <v/>
      </c>
      <c r="F227" s="100">
        <f>IF($A227="","",_xll.BDP($A227&amp;" Corp","MATURITY"))</f>
        <v/>
      </c>
      <c r="G227" s="75">
        <f>IF($A227="","",PROPER(_xll.BDP($A227&amp;" Corp","COUNTRY_FULL_NAME")))</f>
        <v/>
      </c>
      <c r="H227" s="75">
        <f>IF($A227="","",_xll.BDP($A227&amp;" Corp","INDUSTRY_SECTOR"))</f>
        <v/>
      </c>
      <c r="I227" s="101">
        <f>IF($A227="","",IFERROR(_xll.BDP($A227&amp;" Corp","MIN_PIECE")/1000,""))</f>
        <v/>
      </c>
      <c r="J227" s="31">
        <f>IF($A227="","",_xll.BDP($A227&amp;" Corp","PX_LAST"))</f>
        <v/>
      </c>
      <c r="K227" s="31">
        <f>IF($A227="","",_xll.BDP($A227&amp;" Corp","YAS_BOND_YLD","YAS_YLD_FLAG=15"))</f>
        <v/>
      </c>
      <c r="L227" s="31">
        <f>IF($A227="","",K227-_xll.BDP($A227&amp;" Corp","YAS_BOND_YLD","YAS_YLD_FLAG=15","SETTLE_DT",Company_desc!$A$1))</f>
        <v/>
      </c>
      <c r="M227" s="31">
        <f>IF($A227="","",K227-_xll.BDP($A227&amp;" Corp","YAS_BOND_YLD","YAS_YLD_FLAG=15","SETTLE_DT",Company_desc!$A$2))</f>
        <v/>
      </c>
      <c r="N227" s="79">
        <f>IF($A227="","",_xll.BDP($A227&amp;" Corp","YAS_OAS_SPRD"))</f>
        <v/>
      </c>
      <c r="O227" s="67">
        <f>IF($A227="","",_xll.BDP($A227&amp;" Corp","YAS_MOD_DUR"))</f>
        <v/>
      </c>
      <c r="P227" s="80">
        <f>IF($A227="","",IFERROR(INDEX(Sheet1!$P:$P,MATCH($A227,Sheet1!$A:$A,0)),""))</f>
        <v/>
      </c>
      <c r="Q227" s="75">
        <f>IF($A227="","",IFERROR(INDEX(Company_desc!$C:$C,MATCH($A227,Company_desc!$A:$A,0)),IFERROR(INDEX(Sheet1!$Q:$Q,MATCH($A227,Sheet1!$A:$A,0)),"")))</f>
        <v/>
      </c>
      <c r="R227" s="75">
        <f>IF($A227="","",_xll.BDP($A227&amp;" Corp","CRNCY"))</f>
        <v/>
      </c>
      <c r="S227" s="75">
        <f>IF($A227="","",IFERROR(INDEX(Sheet1!$S:$S,MATCH($A227,Sheet1!$A:$A,0)),""))</f>
        <v/>
      </c>
      <c r="T227" s="75">
        <f>IF($A227="","",IFERROR(INDEX(Sheet1!$T:$T,MATCH($A227,Sheet1!$A:$A,0)),_xll.BDP($A227&amp;" Corp","RTG_SP")))</f>
        <v/>
      </c>
      <c r="U227" s="75">
        <f>IF($A227="","",IFERROR(INDEX(Sheet1!$U:$U,MATCH($A227,Sheet1!$A:$A,0)),""))</f>
        <v/>
      </c>
      <c r="W227" s="81">
        <f>IF($A227="","",N227-_xll.BDP($A227&amp;" Corp","YAS_OAS_SPRD","SETTLE_DT",Company_desc!$A$1))</f>
        <v/>
      </c>
      <c r="X227" s="81">
        <f>IF($A227="","",N227-_xll.BDP($A227&amp;" Corp","YAS_OAS_SPRD","SETTLE_DT",Company_desc!$A$2))</f>
        <v/>
      </c>
      <c r="Y227" s="80">
        <f>IF($A227="","",N227-_xll.BDP($A227&amp;" Corp","YAS_OAS_SPRD","SETTLE_DT",Company_desc!$D$1))</f>
        <v/>
      </c>
      <c r="Z227" s="82">
        <f>IF($A227="","",K227-_xll.BDP($A227&amp;" Corp","YAS_BOND_YLD","YAS_YLD_FLAG=15","SETTLE_DT",Company_desc!$D$1))</f>
        <v/>
      </c>
      <c r="AA227" s="80">
        <f>IF($A227="","",_xll.BDP($A227&amp;" Corp","YAS_OAS_SPRD","SETTLE_DT",Company_desc!$D$1))</f>
        <v/>
      </c>
    </row>
    <row r="228">
      <c r="B228" s="75">
        <f>IF($A228="","",IFERROR(INDEX(Sheet1!$B:$B,MATCH($A228,Sheet1!$A:$A,0)),""))</f>
        <v/>
      </c>
      <c r="C228" s="75">
        <f>IF($A228="","",PROPER(_xll.BDP($A228&amp;" Corp","NAME")))</f>
        <v/>
      </c>
      <c r="D228" s="76">
        <f>IF($A228="","",_xll.BDP($A228&amp;" Corp","CPN"))</f>
        <v/>
      </c>
      <c r="E228" s="75">
        <f>IF($A228="","",_xll.BDP($A228&amp;" Corp","PAYMENT_RANK"))</f>
        <v/>
      </c>
      <c r="F228" s="100">
        <f>IF($A228="","",_xll.BDP($A228&amp;" Corp","MATURITY"))</f>
        <v/>
      </c>
      <c r="G228" s="75">
        <f>IF($A228="","",PROPER(_xll.BDP($A228&amp;" Corp","COUNTRY_FULL_NAME")))</f>
        <v/>
      </c>
      <c r="H228" s="75">
        <f>IF($A228="","",_xll.BDP($A228&amp;" Corp","INDUSTRY_SECTOR"))</f>
        <v/>
      </c>
      <c r="I228" s="101">
        <f>IF($A228="","",IFERROR(_xll.BDP($A228&amp;" Corp","MIN_PIECE")/1000,""))</f>
        <v/>
      </c>
      <c r="J228" s="31">
        <f>IF($A228="","",_xll.BDP($A228&amp;" Corp","PX_LAST"))</f>
        <v/>
      </c>
      <c r="K228" s="31">
        <f>IF($A228="","",_xll.BDP($A228&amp;" Corp","YAS_BOND_YLD","YAS_YLD_FLAG=15"))</f>
        <v/>
      </c>
      <c r="L228" s="31">
        <f>IF($A228="","",K228-_xll.BDP($A228&amp;" Corp","YAS_BOND_YLD","YAS_YLD_FLAG=15","SETTLE_DT",Company_desc!$A$1))</f>
        <v/>
      </c>
      <c r="M228" s="31">
        <f>IF($A228="","",K228-_xll.BDP($A228&amp;" Corp","YAS_BOND_YLD","YAS_YLD_FLAG=15","SETTLE_DT",Company_desc!$A$2))</f>
        <v/>
      </c>
      <c r="N228" s="79">
        <f>IF($A228="","",_xll.BDP($A228&amp;" Corp","YAS_OAS_SPRD"))</f>
        <v/>
      </c>
      <c r="O228" s="67">
        <f>IF($A228="","",_xll.BDP($A228&amp;" Corp","YAS_MOD_DUR"))</f>
        <v/>
      </c>
      <c r="P228" s="80">
        <f>IF($A228="","",IFERROR(INDEX(Sheet1!$P:$P,MATCH($A228,Sheet1!$A:$A,0)),""))</f>
        <v/>
      </c>
      <c r="Q228" s="75">
        <f>IF($A228="","",IFERROR(INDEX(Company_desc!$C:$C,MATCH($A228,Company_desc!$A:$A,0)),IFERROR(INDEX(Sheet1!$Q:$Q,MATCH($A228,Sheet1!$A:$A,0)),"")))</f>
        <v/>
      </c>
      <c r="R228" s="75">
        <f>IF($A228="","",_xll.BDP($A228&amp;" Corp","CRNCY"))</f>
        <v/>
      </c>
      <c r="S228" s="75">
        <f>IF($A228="","",IFERROR(INDEX(Sheet1!$S:$S,MATCH($A228,Sheet1!$A:$A,0)),""))</f>
        <v/>
      </c>
      <c r="T228" s="75">
        <f>IF($A228="","",IFERROR(INDEX(Sheet1!$T:$T,MATCH($A228,Sheet1!$A:$A,0)),_xll.BDP($A228&amp;" Corp","RTG_SP")))</f>
        <v/>
      </c>
      <c r="U228" s="75">
        <f>IF($A228="","",IFERROR(INDEX(Sheet1!$U:$U,MATCH($A228,Sheet1!$A:$A,0)),""))</f>
        <v/>
      </c>
      <c r="W228" s="81">
        <f>IF($A228="","",N228-_xll.BDP($A228&amp;" Corp","YAS_OAS_SPRD","SETTLE_DT",Company_desc!$A$1))</f>
        <v/>
      </c>
      <c r="X228" s="81">
        <f>IF($A228="","",N228-_xll.BDP($A228&amp;" Corp","YAS_OAS_SPRD","SETTLE_DT",Company_desc!$A$2))</f>
        <v/>
      </c>
      <c r="Y228" s="80">
        <f>IF($A228="","",N228-_xll.BDP($A228&amp;" Corp","YAS_OAS_SPRD","SETTLE_DT",Company_desc!$D$1))</f>
        <v/>
      </c>
      <c r="Z228" s="82">
        <f>IF($A228="","",K228-_xll.BDP($A228&amp;" Corp","YAS_BOND_YLD","YAS_YLD_FLAG=15","SETTLE_DT",Company_desc!$D$1))</f>
        <v/>
      </c>
      <c r="AA228" s="80">
        <f>IF($A228="","",_xll.BDP($A228&amp;" Corp","YAS_OAS_SPRD","SETTLE_DT",Company_desc!$D$1))</f>
        <v/>
      </c>
    </row>
    <row r="229">
      <c r="B229" s="75">
        <f>IF($A229="","",IFERROR(INDEX(Sheet1!$B:$B,MATCH($A229,Sheet1!$A:$A,0)),""))</f>
        <v/>
      </c>
      <c r="C229" s="75">
        <f>IF($A229="","",PROPER(_xll.BDP($A229&amp;" Corp","NAME")))</f>
        <v/>
      </c>
      <c r="D229" s="76">
        <f>IF($A229="","",_xll.BDP($A229&amp;" Corp","CPN"))</f>
        <v/>
      </c>
      <c r="E229" s="75">
        <f>IF($A229="","",_xll.BDP($A229&amp;" Corp","PAYMENT_RANK"))</f>
        <v/>
      </c>
      <c r="F229" s="100">
        <f>IF($A229="","",_xll.BDP($A229&amp;" Corp","MATURITY"))</f>
        <v/>
      </c>
      <c r="G229" s="75">
        <f>IF($A229="","",PROPER(_xll.BDP($A229&amp;" Corp","COUNTRY_FULL_NAME")))</f>
        <v/>
      </c>
      <c r="H229" s="75">
        <f>IF($A229="","",_xll.BDP($A229&amp;" Corp","INDUSTRY_SECTOR"))</f>
        <v/>
      </c>
      <c r="I229" s="101">
        <f>IF($A229="","",IFERROR(_xll.BDP($A229&amp;" Corp","MIN_PIECE")/1000,""))</f>
        <v/>
      </c>
      <c r="J229" s="31">
        <f>IF($A229="","",_xll.BDP($A229&amp;" Corp","PX_LAST"))</f>
        <v/>
      </c>
      <c r="K229" s="31">
        <f>IF($A229="","",_xll.BDP($A229&amp;" Corp","YAS_BOND_YLD","YAS_YLD_FLAG=15"))</f>
        <v/>
      </c>
      <c r="L229" s="31">
        <f>IF($A229="","",K229-_xll.BDP($A229&amp;" Corp","YAS_BOND_YLD","YAS_YLD_FLAG=15","SETTLE_DT",Company_desc!$A$1))</f>
        <v/>
      </c>
      <c r="M229" s="31">
        <f>IF($A229="","",K229-_xll.BDP($A229&amp;" Corp","YAS_BOND_YLD","YAS_YLD_FLAG=15","SETTLE_DT",Company_desc!$A$2))</f>
        <v/>
      </c>
      <c r="N229" s="79">
        <f>IF($A229="","",_xll.BDP($A229&amp;" Corp","YAS_OAS_SPRD"))</f>
        <v/>
      </c>
      <c r="O229" s="67">
        <f>IF($A229="","",_xll.BDP($A229&amp;" Corp","YAS_MOD_DUR"))</f>
        <v/>
      </c>
      <c r="P229" s="80">
        <f>IF($A229="","",IFERROR(INDEX(Sheet1!$P:$P,MATCH($A229,Sheet1!$A:$A,0)),""))</f>
        <v/>
      </c>
      <c r="Q229" s="75">
        <f>IF($A229="","",IFERROR(INDEX(Company_desc!$C:$C,MATCH($A229,Company_desc!$A:$A,0)),IFERROR(INDEX(Sheet1!$Q:$Q,MATCH($A229,Sheet1!$A:$A,0)),"")))</f>
        <v/>
      </c>
      <c r="R229" s="75">
        <f>IF($A229="","",_xll.BDP($A229&amp;" Corp","CRNCY"))</f>
        <v/>
      </c>
      <c r="S229" s="75">
        <f>IF($A229="","",IFERROR(INDEX(Sheet1!$S:$S,MATCH($A229,Sheet1!$A:$A,0)),""))</f>
        <v/>
      </c>
      <c r="T229" s="75">
        <f>IF($A229="","",IFERROR(INDEX(Sheet1!$T:$T,MATCH($A229,Sheet1!$A:$A,0)),_xll.BDP($A229&amp;" Corp","RTG_SP")))</f>
        <v/>
      </c>
      <c r="U229" s="75">
        <f>IF($A229="","",IFERROR(INDEX(Sheet1!$U:$U,MATCH($A229,Sheet1!$A:$A,0)),""))</f>
        <v/>
      </c>
      <c r="W229" s="81">
        <f>IF($A229="","",N229-_xll.BDP($A229&amp;" Corp","YAS_OAS_SPRD","SETTLE_DT",Company_desc!$A$1))</f>
        <v/>
      </c>
      <c r="X229" s="81">
        <f>IF($A229="","",N229-_xll.BDP($A229&amp;" Corp","YAS_OAS_SPRD","SETTLE_DT",Company_desc!$A$2))</f>
        <v/>
      </c>
      <c r="Y229" s="80">
        <f>IF($A229="","",N229-_xll.BDP($A229&amp;" Corp","YAS_OAS_SPRD","SETTLE_DT",Company_desc!$D$1))</f>
        <v/>
      </c>
      <c r="Z229" s="82">
        <f>IF($A229="","",K229-_xll.BDP($A229&amp;" Corp","YAS_BOND_YLD","YAS_YLD_FLAG=15","SETTLE_DT",Company_desc!$D$1))</f>
        <v/>
      </c>
      <c r="AA229" s="80">
        <f>IF($A229="","",_xll.BDP($A229&amp;" Corp","YAS_OAS_SPRD","SETTLE_DT",Company_desc!$D$1))</f>
        <v/>
      </c>
    </row>
    <row r="230">
      <c r="B230" s="75">
        <f>IF($A230="","",IFERROR(INDEX(Sheet1!$B:$B,MATCH($A230,Sheet1!$A:$A,0)),""))</f>
        <v/>
      </c>
      <c r="C230" s="75">
        <f>IF($A230="","",PROPER(_xll.BDP($A230&amp;" Corp","NAME")))</f>
        <v/>
      </c>
      <c r="D230" s="76">
        <f>IF($A230="","",_xll.BDP($A230&amp;" Corp","CPN"))</f>
        <v/>
      </c>
      <c r="E230" s="75">
        <f>IF($A230="","",_xll.BDP($A230&amp;" Corp","PAYMENT_RANK"))</f>
        <v/>
      </c>
      <c r="F230" s="100">
        <f>IF($A230="","",_xll.BDP($A230&amp;" Corp","MATURITY"))</f>
        <v/>
      </c>
      <c r="G230" s="75">
        <f>IF($A230="","",PROPER(_xll.BDP($A230&amp;" Corp","COUNTRY_FULL_NAME")))</f>
        <v/>
      </c>
      <c r="H230" s="75">
        <f>IF($A230="","",_xll.BDP($A230&amp;" Corp","INDUSTRY_SECTOR"))</f>
        <v/>
      </c>
      <c r="I230" s="101">
        <f>IF($A230="","",IFERROR(_xll.BDP($A230&amp;" Corp","MIN_PIECE")/1000,""))</f>
        <v/>
      </c>
      <c r="J230" s="31">
        <f>IF($A230="","",_xll.BDP($A230&amp;" Corp","PX_LAST"))</f>
        <v/>
      </c>
      <c r="K230" s="31">
        <f>IF($A230="","",_xll.BDP($A230&amp;" Corp","YAS_BOND_YLD","YAS_YLD_FLAG=15"))</f>
        <v/>
      </c>
      <c r="L230" s="31">
        <f>IF($A230="","",K230-_xll.BDP($A230&amp;" Corp","YAS_BOND_YLD","YAS_YLD_FLAG=15","SETTLE_DT",Company_desc!$A$1))</f>
        <v/>
      </c>
      <c r="M230" s="31">
        <f>IF($A230="","",K230-_xll.BDP($A230&amp;" Corp","YAS_BOND_YLD","YAS_YLD_FLAG=15","SETTLE_DT",Company_desc!$A$2))</f>
        <v/>
      </c>
      <c r="N230" s="79">
        <f>IF($A230="","",_xll.BDP($A230&amp;" Corp","YAS_OAS_SPRD"))</f>
        <v/>
      </c>
      <c r="O230" s="67">
        <f>IF($A230="","",_xll.BDP($A230&amp;" Corp","YAS_MOD_DUR"))</f>
        <v/>
      </c>
      <c r="P230" s="80">
        <f>IF($A230="","",IFERROR(INDEX(Sheet1!$P:$P,MATCH($A230,Sheet1!$A:$A,0)),""))</f>
        <v/>
      </c>
      <c r="Q230" s="75">
        <f>IF($A230="","",IFERROR(INDEX(Company_desc!$C:$C,MATCH($A230,Company_desc!$A:$A,0)),IFERROR(INDEX(Sheet1!$Q:$Q,MATCH($A230,Sheet1!$A:$A,0)),"")))</f>
        <v/>
      </c>
      <c r="R230" s="75">
        <f>IF($A230="","",_xll.BDP($A230&amp;" Corp","CRNCY"))</f>
        <v/>
      </c>
      <c r="S230" s="75">
        <f>IF($A230="","",IFERROR(INDEX(Sheet1!$S:$S,MATCH($A230,Sheet1!$A:$A,0)),""))</f>
        <v/>
      </c>
      <c r="T230" s="75">
        <f>IF($A230="","",IFERROR(INDEX(Sheet1!$T:$T,MATCH($A230,Sheet1!$A:$A,0)),_xll.BDP($A230&amp;" Corp","RTG_SP")))</f>
        <v/>
      </c>
      <c r="U230" s="75">
        <f>IF($A230="","",IFERROR(INDEX(Sheet1!$U:$U,MATCH($A230,Sheet1!$A:$A,0)),""))</f>
        <v/>
      </c>
      <c r="W230" s="81">
        <f>IF($A230="","",N230-_xll.BDP($A230&amp;" Corp","YAS_OAS_SPRD","SETTLE_DT",Company_desc!$A$1))</f>
        <v/>
      </c>
      <c r="X230" s="81">
        <f>IF($A230="","",N230-_xll.BDP($A230&amp;" Corp","YAS_OAS_SPRD","SETTLE_DT",Company_desc!$A$2))</f>
        <v/>
      </c>
      <c r="Y230" s="80">
        <f>IF($A230="","",N230-_xll.BDP($A230&amp;" Corp","YAS_OAS_SPRD","SETTLE_DT",Company_desc!$D$1))</f>
        <v/>
      </c>
      <c r="Z230" s="82">
        <f>IF($A230="","",K230-_xll.BDP($A230&amp;" Corp","YAS_BOND_YLD","YAS_YLD_FLAG=15","SETTLE_DT",Company_desc!$D$1))</f>
        <v/>
      </c>
      <c r="AA230" s="80">
        <f>IF($A230="","",_xll.BDP($A230&amp;" Corp","YAS_OAS_SPRD","SETTLE_DT",Company_desc!$D$1))</f>
        <v/>
      </c>
    </row>
    <row r="231">
      <c r="B231" s="75">
        <f>IF($A231="","",IFERROR(INDEX(Sheet1!$B:$B,MATCH($A231,Sheet1!$A:$A,0)),""))</f>
        <v/>
      </c>
      <c r="C231" s="75">
        <f>IF($A231="","",PROPER(_xll.BDP($A231&amp;" Corp","NAME")))</f>
        <v/>
      </c>
      <c r="D231" s="76">
        <f>IF($A231="","",_xll.BDP($A231&amp;" Corp","CPN"))</f>
        <v/>
      </c>
      <c r="E231" s="75">
        <f>IF($A231="","",_xll.BDP($A231&amp;" Corp","PAYMENT_RANK"))</f>
        <v/>
      </c>
      <c r="F231" s="100">
        <f>IF($A231="","",_xll.BDP($A231&amp;" Corp","MATURITY"))</f>
        <v/>
      </c>
      <c r="G231" s="75">
        <f>IF($A231="","",PROPER(_xll.BDP($A231&amp;" Corp","COUNTRY_FULL_NAME")))</f>
        <v/>
      </c>
      <c r="H231" s="75">
        <f>IF($A231="","",_xll.BDP($A231&amp;" Corp","INDUSTRY_SECTOR"))</f>
        <v/>
      </c>
      <c r="I231" s="101">
        <f>IF($A231="","",IFERROR(_xll.BDP($A231&amp;" Corp","MIN_PIECE")/1000,""))</f>
        <v/>
      </c>
      <c r="J231" s="31">
        <f>IF($A231="","",_xll.BDP($A231&amp;" Corp","PX_LAST"))</f>
        <v/>
      </c>
      <c r="K231" s="31">
        <f>IF($A231="","",_xll.BDP($A231&amp;" Corp","YAS_BOND_YLD","YAS_YLD_FLAG=15"))</f>
        <v/>
      </c>
      <c r="L231" s="31">
        <f>IF($A231="","",K231-_xll.BDP($A231&amp;" Corp","YAS_BOND_YLD","YAS_YLD_FLAG=15","SETTLE_DT",Company_desc!$A$1))</f>
        <v/>
      </c>
      <c r="M231" s="31">
        <f>IF($A231="","",K231-_xll.BDP($A231&amp;" Corp","YAS_BOND_YLD","YAS_YLD_FLAG=15","SETTLE_DT",Company_desc!$A$2))</f>
        <v/>
      </c>
      <c r="N231" s="79">
        <f>IF($A231="","",_xll.BDP($A231&amp;" Corp","YAS_OAS_SPRD"))</f>
        <v/>
      </c>
      <c r="O231" s="67">
        <f>IF($A231="","",_xll.BDP($A231&amp;" Corp","YAS_MOD_DUR"))</f>
        <v/>
      </c>
      <c r="P231" s="80">
        <f>IF($A231="","",IFERROR(INDEX(Sheet1!$P:$P,MATCH($A231,Sheet1!$A:$A,0)),""))</f>
        <v/>
      </c>
      <c r="Q231" s="75">
        <f>IF($A231="","",IFERROR(INDEX(Company_desc!$C:$C,MATCH($A231,Company_desc!$A:$A,0)),IFERROR(INDEX(Sheet1!$Q:$Q,MATCH($A231,Sheet1!$A:$A,0)),"")))</f>
        <v/>
      </c>
      <c r="R231" s="75">
        <f>IF($A231="","",_xll.BDP($A231&amp;" Corp","CRNCY"))</f>
        <v/>
      </c>
      <c r="S231" s="75">
        <f>IF($A231="","",IFERROR(INDEX(Sheet1!$S:$S,MATCH($A231,Sheet1!$A:$A,0)),""))</f>
        <v/>
      </c>
      <c r="T231" s="75">
        <f>IF($A231="","",IFERROR(INDEX(Sheet1!$T:$T,MATCH($A231,Sheet1!$A:$A,0)),_xll.BDP($A231&amp;" Corp","RTG_SP")))</f>
        <v/>
      </c>
      <c r="U231" s="75">
        <f>IF($A231="","",IFERROR(INDEX(Sheet1!$U:$U,MATCH($A231,Sheet1!$A:$A,0)),""))</f>
        <v/>
      </c>
      <c r="W231" s="81">
        <f>IF($A231="","",N231-_xll.BDP($A231&amp;" Corp","YAS_OAS_SPRD","SETTLE_DT",Company_desc!$A$1))</f>
        <v/>
      </c>
      <c r="X231" s="81">
        <f>IF($A231="","",N231-_xll.BDP($A231&amp;" Corp","YAS_OAS_SPRD","SETTLE_DT",Company_desc!$A$2))</f>
        <v/>
      </c>
      <c r="Y231" s="80">
        <f>IF($A231="","",N231-_xll.BDP($A231&amp;" Corp","YAS_OAS_SPRD","SETTLE_DT",Company_desc!$D$1))</f>
        <v/>
      </c>
      <c r="Z231" s="82">
        <f>IF($A231="","",K231-_xll.BDP($A231&amp;" Corp","YAS_BOND_YLD","YAS_YLD_FLAG=15","SETTLE_DT",Company_desc!$D$1))</f>
        <v/>
      </c>
      <c r="AA231" s="80">
        <f>IF($A231="","",_xll.BDP($A231&amp;" Corp","YAS_OAS_SPRD","SETTLE_DT",Company_desc!$D$1))</f>
        <v/>
      </c>
    </row>
    <row r="232">
      <c r="B232" s="75">
        <f>IF($A232="","",IFERROR(INDEX(Sheet1!$B:$B,MATCH($A232,Sheet1!$A:$A,0)),""))</f>
        <v/>
      </c>
      <c r="C232" s="75">
        <f>IF($A232="","",PROPER(_xll.BDP($A232&amp;" Corp","NAME")))</f>
        <v/>
      </c>
      <c r="D232" s="76">
        <f>IF($A232="","",_xll.BDP($A232&amp;" Corp","CPN"))</f>
        <v/>
      </c>
      <c r="E232" s="75">
        <f>IF($A232="","",_xll.BDP($A232&amp;" Corp","PAYMENT_RANK"))</f>
        <v/>
      </c>
      <c r="F232" s="100">
        <f>IF($A232="","",_xll.BDP($A232&amp;" Corp","MATURITY"))</f>
        <v/>
      </c>
      <c r="G232" s="75">
        <f>IF($A232="","",PROPER(_xll.BDP($A232&amp;" Corp","COUNTRY_FULL_NAME")))</f>
        <v/>
      </c>
      <c r="H232" s="75">
        <f>IF($A232="","",_xll.BDP($A232&amp;" Corp","INDUSTRY_SECTOR"))</f>
        <v/>
      </c>
      <c r="I232" s="101">
        <f>IF($A232="","",IFERROR(_xll.BDP($A232&amp;" Corp","MIN_PIECE")/1000,""))</f>
        <v/>
      </c>
      <c r="J232" s="31">
        <f>IF($A232="","",_xll.BDP($A232&amp;" Corp","PX_LAST"))</f>
        <v/>
      </c>
      <c r="K232" s="31">
        <f>IF($A232="","",_xll.BDP($A232&amp;" Corp","YAS_BOND_YLD","YAS_YLD_FLAG=15"))</f>
        <v/>
      </c>
      <c r="L232" s="31">
        <f>IF($A232="","",K232-_xll.BDP($A232&amp;" Corp","YAS_BOND_YLD","YAS_YLD_FLAG=15","SETTLE_DT",Company_desc!$A$1))</f>
        <v/>
      </c>
      <c r="M232" s="31">
        <f>IF($A232="","",K232-_xll.BDP($A232&amp;" Corp","YAS_BOND_YLD","YAS_YLD_FLAG=15","SETTLE_DT",Company_desc!$A$2))</f>
        <v/>
      </c>
      <c r="N232" s="79">
        <f>IF($A232="","",_xll.BDP($A232&amp;" Corp","YAS_OAS_SPRD"))</f>
        <v/>
      </c>
      <c r="O232" s="67">
        <f>IF($A232="","",_xll.BDP($A232&amp;" Corp","YAS_MOD_DUR"))</f>
        <v/>
      </c>
      <c r="P232" s="80">
        <f>IF($A232="","",IFERROR(INDEX(Sheet1!$P:$P,MATCH($A232,Sheet1!$A:$A,0)),""))</f>
        <v/>
      </c>
      <c r="Q232" s="75">
        <f>IF($A232="","",IFERROR(INDEX(Company_desc!$C:$C,MATCH($A232,Company_desc!$A:$A,0)),IFERROR(INDEX(Sheet1!$Q:$Q,MATCH($A232,Sheet1!$A:$A,0)),"")))</f>
        <v/>
      </c>
      <c r="R232" s="75">
        <f>IF($A232="","",_xll.BDP($A232&amp;" Corp","CRNCY"))</f>
        <v/>
      </c>
      <c r="S232" s="75">
        <f>IF($A232="","",IFERROR(INDEX(Sheet1!$S:$S,MATCH($A232,Sheet1!$A:$A,0)),""))</f>
        <v/>
      </c>
      <c r="T232" s="75">
        <f>IF($A232="","",IFERROR(INDEX(Sheet1!$T:$T,MATCH($A232,Sheet1!$A:$A,0)),_xll.BDP($A232&amp;" Corp","RTG_SP")))</f>
        <v/>
      </c>
      <c r="U232" s="83">
        <f>IF($A232="","",IFERROR(INDEX(Sheet1!$U:$U,MATCH($A232,Sheet1!$A:$A,0)),""))</f>
        <v/>
      </c>
      <c r="W232" s="81">
        <f>IF($A232="","",N232-_xll.BDP($A232&amp;" Corp","YAS_OAS_SPRD","SETTLE_DT",Company_desc!$A$1))</f>
        <v/>
      </c>
      <c r="X232" s="81">
        <f>IF($A232="","",N232-_xll.BDP($A232&amp;" Corp","YAS_OAS_SPRD","SETTLE_DT",Company_desc!$A$2))</f>
        <v/>
      </c>
      <c r="Y232" s="80">
        <f>IF($A232="","",N232-_xll.BDP($A232&amp;" Corp","YAS_OAS_SPRD","SETTLE_DT",Company_desc!$D$1))</f>
        <v/>
      </c>
      <c r="Z232" s="82">
        <f>IF($A232="","",K232-_xll.BDP($A232&amp;" Corp","YAS_BOND_YLD","YAS_YLD_FLAG=15","SETTLE_DT",Company_desc!$D$1))</f>
        <v/>
      </c>
      <c r="AA232" s="80">
        <f>IF($A232="","",_xll.BDP($A232&amp;" Corp","YAS_OAS_SPRD","SETTLE_DT",Company_desc!$D$1))</f>
        <v/>
      </c>
    </row>
    <row r="233">
      <c r="B233" s="75">
        <f>IF($A233="","",IFERROR(INDEX(Sheet1!$B:$B,MATCH($A233,Sheet1!$A:$A,0)),""))</f>
        <v/>
      </c>
      <c r="C233" s="75">
        <f>IF($A233="","",PROPER(_xll.BDP($A233&amp;" Corp","NAME")))</f>
        <v/>
      </c>
      <c r="D233" s="76">
        <f>IF($A233="","",_xll.BDP($A233&amp;" Corp","CPN"))</f>
        <v/>
      </c>
      <c r="E233" s="75">
        <f>IF($A233="","",_xll.BDP($A233&amp;" Corp","PAYMENT_RANK"))</f>
        <v/>
      </c>
      <c r="F233" s="100">
        <f>IF($A233="","",_xll.BDP($A233&amp;" Corp","MATURITY"))</f>
        <v/>
      </c>
      <c r="G233" s="75">
        <f>IF($A233="","",PROPER(_xll.BDP($A233&amp;" Corp","COUNTRY_FULL_NAME")))</f>
        <v/>
      </c>
      <c r="H233" s="75">
        <f>IF($A233="","",_xll.BDP($A233&amp;" Corp","INDUSTRY_SECTOR"))</f>
        <v/>
      </c>
      <c r="I233" s="101">
        <f>IF($A233="","",IFERROR(_xll.BDP($A233&amp;" Corp","MIN_PIECE")/1000,""))</f>
        <v/>
      </c>
      <c r="J233" s="31">
        <f>IF($A233="","",_xll.BDP($A233&amp;" Corp","PX_LAST"))</f>
        <v/>
      </c>
      <c r="K233" s="31">
        <f>IF($A233="","",_xll.BDP($A233&amp;" Corp","YAS_BOND_YLD","YAS_YLD_FLAG=15"))</f>
        <v/>
      </c>
      <c r="L233" s="31">
        <f>IF($A233="","",K233-_xll.BDP($A233&amp;" Corp","YAS_BOND_YLD","YAS_YLD_FLAG=15","SETTLE_DT",Company_desc!$A$1))</f>
        <v/>
      </c>
      <c r="M233" s="31">
        <f>IF($A233="","",K233-_xll.BDP($A233&amp;" Corp","YAS_BOND_YLD","YAS_YLD_FLAG=15","SETTLE_DT",Company_desc!$A$2))</f>
        <v/>
      </c>
      <c r="N233" s="79">
        <f>IF($A233="","",_xll.BDP($A233&amp;" Corp","YAS_OAS_SPRD"))</f>
        <v/>
      </c>
      <c r="O233" s="67">
        <f>IF($A233="","",_xll.BDP($A233&amp;" Corp","YAS_MOD_DUR"))</f>
        <v/>
      </c>
      <c r="P233" s="80">
        <f>IF($A233="","",IFERROR(INDEX(Sheet1!$P:$P,MATCH($A233,Sheet1!$A:$A,0)),""))</f>
        <v/>
      </c>
      <c r="Q233" s="75">
        <f>IF($A233="","",IFERROR(INDEX(Company_desc!$C:$C,MATCH($A233,Company_desc!$A:$A,0)),IFERROR(INDEX(Sheet1!$Q:$Q,MATCH($A233,Sheet1!$A:$A,0)),"")))</f>
        <v/>
      </c>
      <c r="R233" s="75">
        <f>IF($A233="","",_xll.BDP($A233&amp;" Corp","CRNCY"))</f>
        <v/>
      </c>
      <c r="S233" s="75">
        <f>IF($A233="","",IFERROR(INDEX(Sheet1!$S:$S,MATCH($A233,Sheet1!$A:$A,0)),""))</f>
        <v/>
      </c>
      <c r="T233" s="75">
        <f>IF($A233="","",IFERROR(INDEX(Sheet1!$T:$T,MATCH($A233,Sheet1!$A:$A,0)),_xll.BDP($A233&amp;" Corp","RTG_SP")))</f>
        <v/>
      </c>
      <c r="U233" s="75">
        <f>IF($A233="","",IFERROR(INDEX(Sheet1!$U:$U,MATCH($A233,Sheet1!$A:$A,0)),""))</f>
        <v/>
      </c>
      <c r="W233" s="81">
        <f>IF($A233="","",N233-_xll.BDP($A233&amp;" Corp","YAS_OAS_SPRD","SETTLE_DT",Company_desc!$A$1))</f>
        <v/>
      </c>
      <c r="X233" s="81">
        <f>IF($A233="","",N233-_xll.BDP($A233&amp;" Corp","YAS_OAS_SPRD","SETTLE_DT",Company_desc!$A$2))</f>
        <v/>
      </c>
      <c r="Y233" s="80">
        <f>IF($A233="","",N233-_xll.BDP($A233&amp;" Corp","YAS_OAS_SPRD","SETTLE_DT",Company_desc!$D$1))</f>
        <v/>
      </c>
      <c r="Z233" s="82">
        <f>IF($A233="","",K233-_xll.BDP($A233&amp;" Corp","YAS_BOND_YLD","YAS_YLD_FLAG=15","SETTLE_DT",Company_desc!$D$1))</f>
        <v/>
      </c>
      <c r="AA233" s="80">
        <f>IF($A233="","",_xll.BDP($A233&amp;" Corp","YAS_OAS_SPRD","SETTLE_DT",Company_desc!$D$1))</f>
        <v/>
      </c>
    </row>
    <row r="234">
      <c r="B234" s="75">
        <f>IF($A234="","",IFERROR(INDEX(Sheet1!$B:$B,MATCH($A234,Sheet1!$A:$A,0)),""))</f>
        <v/>
      </c>
      <c r="C234" s="75">
        <f>IF($A234="","",PROPER(_xll.BDP($A234&amp;" Corp","NAME")))</f>
        <v/>
      </c>
      <c r="D234" s="76">
        <f>IF($A234="","",_xll.BDP($A234&amp;" Corp","CPN"))</f>
        <v/>
      </c>
      <c r="E234" s="75">
        <f>IF($A234="","",_xll.BDP($A234&amp;" Corp","PAYMENT_RANK"))</f>
        <v/>
      </c>
      <c r="F234" s="100">
        <f>IF($A234="","",_xll.BDP($A234&amp;" Corp","MATURITY"))</f>
        <v/>
      </c>
      <c r="G234" s="75">
        <f>IF($A234="","",PROPER(_xll.BDP($A234&amp;" Corp","COUNTRY_FULL_NAME")))</f>
        <v/>
      </c>
      <c r="H234" s="75">
        <f>IF($A234="","",_xll.BDP($A234&amp;" Corp","INDUSTRY_SECTOR"))</f>
        <v/>
      </c>
      <c r="I234" s="101">
        <f>IF($A234="","",IFERROR(_xll.BDP($A234&amp;" Corp","MIN_PIECE")/1000,""))</f>
        <v/>
      </c>
      <c r="J234" s="31">
        <f>IF($A234="","",_xll.BDP($A234&amp;" Corp","PX_LAST"))</f>
        <v/>
      </c>
      <c r="K234" s="31">
        <f>IF($A234="","",_xll.BDP($A234&amp;" Corp","YAS_BOND_YLD","YAS_YLD_FLAG=15"))</f>
        <v/>
      </c>
      <c r="L234" s="31">
        <f>IF($A234="","",K234-_xll.BDP($A234&amp;" Corp","YAS_BOND_YLD","YAS_YLD_FLAG=15","SETTLE_DT",Company_desc!$A$1))</f>
        <v/>
      </c>
      <c r="M234" s="31">
        <f>IF($A234="","",K234-_xll.BDP($A234&amp;" Corp","YAS_BOND_YLD","YAS_YLD_FLAG=15","SETTLE_DT",Company_desc!$A$2))</f>
        <v/>
      </c>
      <c r="N234" s="79">
        <f>IF($A234="","",_xll.BDP($A234&amp;" Corp","YAS_OAS_SPRD"))</f>
        <v/>
      </c>
      <c r="O234" s="67">
        <f>IF($A234="","",_xll.BDP($A234&amp;" Corp","YAS_MOD_DUR"))</f>
        <v/>
      </c>
      <c r="P234" s="80">
        <f>IF($A234="","",IFERROR(INDEX(Sheet1!$P:$P,MATCH($A234,Sheet1!$A:$A,0)),""))</f>
        <v/>
      </c>
      <c r="Q234" s="75">
        <f>IF($A234="","",IFERROR(INDEX(Company_desc!$C:$C,MATCH($A234,Company_desc!$A:$A,0)),IFERROR(INDEX(Sheet1!$Q:$Q,MATCH($A234,Sheet1!$A:$A,0)),"")))</f>
        <v/>
      </c>
      <c r="R234" s="75">
        <f>IF($A234="","",_xll.BDP($A234&amp;" Corp","CRNCY"))</f>
        <v/>
      </c>
      <c r="S234" s="75">
        <f>IF($A234="","",IFERROR(INDEX(Sheet1!$S:$S,MATCH($A234,Sheet1!$A:$A,0)),""))</f>
        <v/>
      </c>
      <c r="T234" s="75">
        <f>IF($A234="","",IFERROR(INDEX(Sheet1!$T:$T,MATCH($A234,Sheet1!$A:$A,0)),_xll.BDP($A234&amp;" Corp","RTG_SP")))</f>
        <v/>
      </c>
      <c r="U234" s="75">
        <f>IF($A234="","",IFERROR(INDEX(Sheet1!$U:$U,MATCH($A234,Sheet1!$A:$A,0)),""))</f>
        <v/>
      </c>
      <c r="W234" s="81">
        <f>IF($A234="","",N234-_xll.BDP($A234&amp;" Corp","YAS_OAS_SPRD","SETTLE_DT",Company_desc!$A$1))</f>
        <v/>
      </c>
      <c r="X234" s="81">
        <f>IF($A234="","",N234-_xll.BDP($A234&amp;" Corp","YAS_OAS_SPRD","SETTLE_DT",Company_desc!$A$2))</f>
        <v/>
      </c>
      <c r="Y234" s="80">
        <f>IF($A234="","",N234-_xll.BDP($A234&amp;" Corp","YAS_OAS_SPRD","SETTLE_DT",Company_desc!$D$1))</f>
        <v/>
      </c>
      <c r="Z234" s="82">
        <f>IF($A234="","",K234-_xll.BDP($A234&amp;" Corp","YAS_BOND_YLD","YAS_YLD_FLAG=15","SETTLE_DT",Company_desc!$D$1))</f>
        <v/>
      </c>
      <c r="AA234" s="80">
        <f>IF($A234="","",_xll.BDP($A234&amp;" Corp","YAS_OAS_SPRD","SETTLE_DT",Company_desc!$D$1))</f>
        <v/>
      </c>
    </row>
    <row r="235">
      <c r="B235" s="75">
        <f>IF($A235="","",IFERROR(INDEX(Sheet1!$B:$B,MATCH($A235,Sheet1!$A:$A,0)),""))</f>
        <v/>
      </c>
      <c r="C235" s="75">
        <f>IF($A235="","",PROPER(_xll.BDP($A235&amp;" Corp","NAME")))</f>
        <v/>
      </c>
      <c r="D235" s="76">
        <f>IF($A235="","",_xll.BDP($A235&amp;" Corp","CPN"))</f>
        <v/>
      </c>
      <c r="E235" s="75">
        <f>IF($A235="","",_xll.BDP($A235&amp;" Corp","PAYMENT_RANK"))</f>
        <v/>
      </c>
      <c r="F235" s="100">
        <f>IF($A235="","",_xll.BDP($A235&amp;" Corp","MATURITY"))</f>
        <v/>
      </c>
      <c r="G235" s="75">
        <f>IF($A235="","",PROPER(_xll.BDP($A235&amp;" Corp","COUNTRY_FULL_NAME")))</f>
        <v/>
      </c>
      <c r="H235" s="75">
        <f>IF($A235="","",_xll.BDP($A235&amp;" Corp","INDUSTRY_SECTOR"))</f>
        <v/>
      </c>
      <c r="I235" s="101">
        <f>IF($A235="","",IFERROR(_xll.BDP($A235&amp;" Corp","MIN_PIECE")/1000,""))</f>
        <v/>
      </c>
      <c r="J235" s="31">
        <f>IF($A235="","",_xll.BDP($A235&amp;" Corp","PX_LAST"))</f>
        <v/>
      </c>
      <c r="K235" s="31">
        <f>IF($A235="","",_xll.BDP($A235&amp;" Corp","YAS_BOND_YLD","YAS_YLD_FLAG=15"))</f>
        <v/>
      </c>
      <c r="L235" s="31">
        <f>IF($A235="","",K235-_xll.BDP($A235&amp;" Corp","YAS_BOND_YLD","YAS_YLD_FLAG=15","SETTLE_DT",Company_desc!$A$1))</f>
        <v/>
      </c>
      <c r="M235" s="31">
        <f>IF($A235="","",K235-_xll.BDP($A235&amp;" Corp","YAS_BOND_YLD","YAS_YLD_FLAG=15","SETTLE_DT",Company_desc!$A$2))</f>
        <v/>
      </c>
      <c r="N235" s="79">
        <f>IF($A235="","",_xll.BDP($A235&amp;" Corp","YAS_OAS_SPRD"))</f>
        <v/>
      </c>
      <c r="O235" s="67">
        <f>IF($A235="","",_xll.BDP($A235&amp;" Corp","YAS_MOD_DUR"))</f>
        <v/>
      </c>
      <c r="P235" s="80">
        <f>IF($A235="","",IFERROR(INDEX(Sheet1!$P:$P,MATCH($A235,Sheet1!$A:$A,0)),""))</f>
        <v/>
      </c>
      <c r="Q235" s="75">
        <f>IF($A235="","",IFERROR(INDEX(Company_desc!$C:$C,MATCH($A235,Company_desc!$A:$A,0)),IFERROR(INDEX(Sheet1!$Q:$Q,MATCH($A235,Sheet1!$A:$A,0)),"")))</f>
        <v/>
      </c>
      <c r="R235" s="75">
        <f>IF($A235="","",_xll.BDP($A235&amp;" Corp","CRNCY"))</f>
        <v/>
      </c>
      <c r="S235" s="75">
        <f>IF($A235="","",IFERROR(INDEX(Sheet1!$S:$S,MATCH($A235,Sheet1!$A:$A,0)),""))</f>
        <v/>
      </c>
      <c r="T235" s="75">
        <f>IF($A235="","",IFERROR(INDEX(Sheet1!$T:$T,MATCH($A235,Sheet1!$A:$A,0)),_xll.BDP($A235&amp;" Corp","RTG_SP")))</f>
        <v/>
      </c>
      <c r="U235" s="75">
        <f>IF($A235="","",IFERROR(INDEX(Sheet1!$U:$U,MATCH($A235,Sheet1!$A:$A,0)),""))</f>
        <v/>
      </c>
      <c r="W235" s="81">
        <f>IF($A235="","",N235-_xll.BDP($A235&amp;" Corp","YAS_OAS_SPRD","SETTLE_DT",Company_desc!$A$1))</f>
        <v/>
      </c>
      <c r="X235" s="81">
        <f>IF($A235="","",N235-_xll.BDP($A235&amp;" Corp","YAS_OAS_SPRD","SETTLE_DT",Company_desc!$A$2))</f>
        <v/>
      </c>
      <c r="Y235" s="80">
        <f>IF($A235="","",N235-_xll.BDP($A235&amp;" Corp","YAS_OAS_SPRD","SETTLE_DT",Company_desc!$D$1))</f>
        <v/>
      </c>
      <c r="Z235" s="82">
        <f>IF($A235="","",K235-_xll.BDP($A235&amp;" Corp","YAS_BOND_YLD","YAS_YLD_FLAG=15","SETTLE_DT",Company_desc!$D$1))</f>
        <v/>
      </c>
      <c r="AA235" s="80">
        <f>IF($A235="","",_xll.BDP($A235&amp;" Corp","YAS_OAS_SPRD","SETTLE_DT",Company_desc!$D$1))</f>
        <v/>
      </c>
    </row>
    <row r="236">
      <c r="B236" s="75">
        <f>IF($A236="","",IFERROR(INDEX(Sheet1!$B:$B,MATCH($A236,Sheet1!$A:$A,0)),""))</f>
        <v/>
      </c>
      <c r="C236" s="75">
        <f>IF($A236="","",PROPER(_xll.BDP($A236&amp;" Corp","NAME")))</f>
        <v/>
      </c>
      <c r="D236" s="76">
        <f>IF($A236="","",_xll.BDP($A236&amp;" Corp","CPN"))</f>
        <v/>
      </c>
      <c r="E236" s="75">
        <f>IF($A236="","",_xll.BDP($A236&amp;" Corp","PAYMENT_RANK"))</f>
        <v/>
      </c>
      <c r="F236" s="100">
        <f>IF($A236="","",_xll.BDP($A236&amp;" Corp","MATURITY"))</f>
        <v/>
      </c>
      <c r="G236" s="75">
        <f>IF($A236="","",PROPER(_xll.BDP($A236&amp;" Corp","COUNTRY_FULL_NAME")))</f>
        <v/>
      </c>
      <c r="H236" s="75">
        <f>IF($A236="","",_xll.BDP($A236&amp;" Corp","INDUSTRY_SECTOR"))</f>
        <v/>
      </c>
      <c r="I236" s="101">
        <f>IF($A236="","",IFERROR(_xll.BDP($A236&amp;" Corp","MIN_PIECE")/1000,""))</f>
        <v/>
      </c>
      <c r="J236" s="31">
        <f>IF($A236="","",_xll.BDP($A236&amp;" Corp","PX_LAST"))</f>
        <v/>
      </c>
      <c r="K236" s="31">
        <f>IF($A236="","",_xll.BDP($A236&amp;" Corp","YAS_BOND_YLD","YAS_YLD_FLAG=15"))</f>
        <v/>
      </c>
      <c r="L236" s="31">
        <f>IF($A236="","",K236-_xll.BDP($A236&amp;" Corp","YAS_BOND_YLD","YAS_YLD_FLAG=15","SETTLE_DT",Company_desc!$A$1))</f>
        <v/>
      </c>
      <c r="M236" s="31">
        <f>IF($A236="","",K236-_xll.BDP($A236&amp;" Corp","YAS_BOND_YLD","YAS_YLD_FLAG=15","SETTLE_DT",Company_desc!$A$2))</f>
        <v/>
      </c>
      <c r="N236" s="79">
        <f>IF($A236="","",_xll.BDP($A236&amp;" Corp","YAS_OAS_SPRD"))</f>
        <v/>
      </c>
      <c r="O236" s="67">
        <f>IF($A236="","",_xll.BDP($A236&amp;" Corp","YAS_MOD_DUR"))</f>
        <v/>
      </c>
      <c r="P236" s="80">
        <f>IF($A236="","",IFERROR(INDEX(Sheet1!$P:$P,MATCH($A236,Sheet1!$A:$A,0)),""))</f>
        <v/>
      </c>
      <c r="Q236" s="75">
        <f>IF($A236="","",IFERROR(INDEX(Company_desc!$C:$C,MATCH($A236,Company_desc!$A:$A,0)),IFERROR(INDEX(Sheet1!$Q:$Q,MATCH($A236,Sheet1!$A:$A,0)),"")))</f>
        <v/>
      </c>
      <c r="R236" s="75">
        <f>IF($A236="","",_xll.BDP($A236&amp;" Corp","CRNCY"))</f>
        <v/>
      </c>
      <c r="S236" s="75">
        <f>IF($A236="","",IFERROR(INDEX(Sheet1!$S:$S,MATCH($A236,Sheet1!$A:$A,0)),""))</f>
        <v/>
      </c>
      <c r="T236" s="75">
        <f>IF($A236="","",IFERROR(INDEX(Sheet1!$T:$T,MATCH($A236,Sheet1!$A:$A,0)),_xll.BDP($A236&amp;" Corp","RTG_SP")))</f>
        <v/>
      </c>
      <c r="U236" s="75">
        <f>IF($A236="","",IFERROR(INDEX(Sheet1!$U:$U,MATCH($A236,Sheet1!$A:$A,0)),""))</f>
        <v/>
      </c>
      <c r="W236" s="81">
        <f>IF($A236="","",N236-_xll.BDP($A236&amp;" Corp","YAS_OAS_SPRD","SETTLE_DT",Company_desc!$A$1))</f>
        <v/>
      </c>
      <c r="X236" s="81">
        <f>IF($A236="","",N236-_xll.BDP($A236&amp;" Corp","YAS_OAS_SPRD","SETTLE_DT",Company_desc!$A$2))</f>
        <v/>
      </c>
      <c r="Y236" s="80">
        <f>IF($A236="","",N236-_xll.BDP($A236&amp;" Corp","YAS_OAS_SPRD","SETTLE_DT",Company_desc!$D$1))</f>
        <v/>
      </c>
      <c r="Z236" s="82">
        <f>IF($A236="","",K236-_xll.BDP($A236&amp;" Corp","YAS_BOND_YLD","YAS_YLD_FLAG=15","SETTLE_DT",Company_desc!$D$1))</f>
        <v/>
      </c>
      <c r="AA236" s="80">
        <f>IF($A236="","",_xll.BDP($A236&amp;" Corp","YAS_OAS_SPRD","SETTLE_DT",Company_desc!$D$1))</f>
        <v/>
      </c>
    </row>
    <row r="237">
      <c r="B237" s="75">
        <f>IF($A237="","",IFERROR(INDEX(Sheet1!$B:$B,MATCH($A237,Sheet1!$A:$A,0)),""))</f>
        <v/>
      </c>
      <c r="C237" s="75">
        <f>IF($A237="","",PROPER(_xll.BDP($A237&amp;" Corp","NAME")))</f>
        <v/>
      </c>
      <c r="D237" s="76">
        <f>IF($A237="","",_xll.BDP($A237&amp;" Corp","CPN"))</f>
        <v/>
      </c>
      <c r="E237" s="75">
        <f>IF($A237="","",_xll.BDP($A237&amp;" Corp","PAYMENT_RANK"))</f>
        <v/>
      </c>
      <c r="F237" s="100">
        <f>IF($A237="","",_xll.BDP($A237&amp;" Corp","MATURITY"))</f>
        <v/>
      </c>
      <c r="G237" s="75">
        <f>IF($A237="","",PROPER(_xll.BDP($A237&amp;" Corp","COUNTRY_FULL_NAME")))</f>
        <v/>
      </c>
      <c r="H237" s="75">
        <f>IF($A237="","",_xll.BDP($A237&amp;" Corp","INDUSTRY_SECTOR"))</f>
        <v/>
      </c>
      <c r="I237" s="101">
        <f>IF($A237="","",IFERROR(_xll.BDP($A237&amp;" Corp","MIN_PIECE")/1000,""))</f>
        <v/>
      </c>
      <c r="J237" s="31">
        <f>IF($A237="","",_xll.BDP($A237&amp;" Corp","PX_LAST"))</f>
        <v/>
      </c>
      <c r="K237" s="31">
        <f>IF($A237="","",_xll.BDP($A237&amp;" Corp","YAS_BOND_YLD","YAS_YLD_FLAG=15"))</f>
        <v/>
      </c>
      <c r="L237" s="31">
        <f>IF($A237="","",K237-_xll.BDP($A237&amp;" Corp","YAS_BOND_YLD","YAS_YLD_FLAG=15","SETTLE_DT",Company_desc!$A$1))</f>
        <v/>
      </c>
      <c r="M237" s="31">
        <f>IF($A237="","",K237-_xll.BDP($A237&amp;" Corp","YAS_BOND_YLD","YAS_YLD_FLAG=15","SETTLE_DT",Company_desc!$A$2))</f>
        <v/>
      </c>
      <c r="N237" s="79">
        <f>IF($A237="","",_xll.BDP($A237&amp;" Corp","YAS_OAS_SPRD"))</f>
        <v/>
      </c>
      <c r="O237" s="67">
        <f>IF($A237="","",_xll.BDP($A237&amp;" Corp","YAS_MOD_DUR"))</f>
        <v/>
      </c>
      <c r="P237" s="80">
        <f>IF($A237="","",IFERROR(INDEX(Sheet1!$P:$P,MATCH($A237,Sheet1!$A:$A,0)),""))</f>
        <v/>
      </c>
      <c r="Q237" s="75">
        <f>IF($A237="","",IFERROR(INDEX(Company_desc!$C:$C,MATCH($A237,Company_desc!$A:$A,0)),IFERROR(INDEX(Sheet1!$Q:$Q,MATCH($A237,Sheet1!$A:$A,0)),"")))</f>
        <v/>
      </c>
      <c r="R237" s="75">
        <f>IF($A237="","",_xll.BDP($A237&amp;" Corp","CRNCY"))</f>
        <v/>
      </c>
      <c r="S237" s="75">
        <f>IF($A237="","",IFERROR(INDEX(Sheet1!$S:$S,MATCH($A237,Sheet1!$A:$A,0)),""))</f>
        <v/>
      </c>
      <c r="T237" s="75">
        <f>IF($A237="","",IFERROR(INDEX(Sheet1!$T:$T,MATCH($A237,Sheet1!$A:$A,0)),_xll.BDP($A237&amp;" Corp","RTG_SP")))</f>
        <v/>
      </c>
      <c r="U237" s="75">
        <f>IF($A237="","",IFERROR(INDEX(Sheet1!$U:$U,MATCH($A237,Sheet1!$A:$A,0)),""))</f>
        <v/>
      </c>
      <c r="W237" s="81">
        <f>IF($A237="","",N237-_xll.BDP($A237&amp;" Corp","YAS_OAS_SPRD","SETTLE_DT",Company_desc!$A$1))</f>
        <v/>
      </c>
      <c r="X237" s="81">
        <f>IF($A237="","",N237-_xll.BDP($A237&amp;" Corp","YAS_OAS_SPRD","SETTLE_DT",Company_desc!$A$2))</f>
        <v/>
      </c>
      <c r="Y237" s="80">
        <f>IF($A237="","",N237-_xll.BDP($A237&amp;" Corp","YAS_OAS_SPRD","SETTLE_DT",Company_desc!$D$1))</f>
        <v/>
      </c>
      <c r="Z237" s="82">
        <f>IF($A237="","",K237-_xll.BDP($A237&amp;" Corp","YAS_BOND_YLD","YAS_YLD_FLAG=15","SETTLE_DT",Company_desc!$D$1))</f>
        <v/>
      </c>
      <c r="AA237" s="80">
        <f>IF($A237="","",_xll.BDP($A237&amp;" Corp","YAS_OAS_SPRD","SETTLE_DT",Company_desc!$D$1))</f>
        <v/>
      </c>
    </row>
    <row r="238">
      <c r="B238" s="75">
        <f>IF($A238="","",IFERROR(INDEX(Sheet1!$B:$B,MATCH($A238,Sheet1!$A:$A,0)),""))</f>
        <v/>
      </c>
      <c r="C238" s="75">
        <f>IF($A238="","",PROPER(_xll.BDP($A238&amp;" Corp","NAME")))</f>
        <v/>
      </c>
      <c r="D238" s="76">
        <f>IF($A238="","",_xll.BDP($A238&amp;" Corp","CPN"))</f>
        <v/>
      </c>
      <c r="E238" s="75">
        <f>IF($A238="","",_xll.BDP($A238&amp;" Corp","PAYMENT_RANK"))</f>
        <v/>
      </c>
      <c r="F238" s="100">
        <f>IF($A238="","",_xll.BDP($A238&amp;" Corp","MATURITY"))</f>
        <v/>
      </c>
      <c r="G238" s="75">
        <f>IF($A238="","",PROPER(_xll.BDP($A238&amp;" Corp","COUNTRY_FULL_NAME")))</f>
        <v/>
      </c>
      <c r="H238" s="75">
        <f>IF($A238="","",_xll.BDP($A238&amp;" Corp","INDUSTRY_SECTOR"))</f>
        <v/>
      </c>
      <c r="I238" s="101">
        <f>IF($A238="","",IFERROR(_xll.BDP($A238&amp;" Corp","MIN_PIECE")/1000,""))</f>
        <v/>
      </c>
      <c r="J238" s="31">
        <f>IF($A238="","",_xll.BDP($A238&amp;" Corp","PX_LAST"))</f>
        <v/>
      </c>
      <c r="K238" s="31">
        <f>IF($A238="","",_xll.BDP($A238&amp;" Corp","YAS_BOND_YLD","YAS_YLD_FLAG=15"))</f>
        <v/>
      </c>
      <c r="L238" s="31">
        <f>IF($A238="","",K238-_xll.BDP($A238&amp;" Corp","YAS_BOND_YLD","YAS_YLD_FLAG=15","SETTLE_DT",Company_desc!$A$1))</f>
        <v/>
      </c>
      <c r="M238" s="31">
        <f>IF($A238="","",K238-_xll.BDP($A238&amp;" Corp","YAS_BOND_YLD","YAS_YLD_FLAG=15","SETTLE_DT",Company_desc!$A$2))</f>
        <v/>
      </c>
      <c r="N238" s="79">
        <f>IF($A238="","",_xll.BDP($A238&amp;" Corp","YAS_OAS_SPRD"))</f>
        <v/>
      </c>
      <c r="O238" s="67">
        <f>IF($A238="","",_xll.BDP($A238&amp;" Corp","YAS_MOD_DUR"))</f>
        <v/>
      </c>
      <c r="P238" s="80">
        <f>IF($A238="","",IFERROR(INDEX(Sheet1!$P:$P,MATCH($A238,Sheet1!$A:$A,0)),""))</f>
        <v/>
      </c>
      <c r="Q238" s="75">
        <f>IF($A238="","",IFERROR(INDEX(Company_desc!$C:$C,MATCH($A238,Company_desc!$A:$A,0)),IFERROR(INDEX(Sheet1!$Q:$Q,MATCH($A238,Sheet1!$A:$A,0)),"")))</f>
        <v/>
      </c>
      <c r="R238" s="75">
        <f>IF($A238="","",_xll.BDP($A238&amp;" Corp","CRNCY"))</f>
        <v/>
      </c>
      <c r="S238" s="75">
        <f>IF($A238="","",IFERROR(INDEX(Sheet1!$S:$S,MATCH($A238,Sheet1!$A:$A,0)),""))</f>
        <v/>
      </c>
      <c r="T238" s="75">
        <f>IF($A238="","",IFERROR(INDEX(Sheet1!$T:$T,MATCH($A238,Sheet1!$A:$A,0)),_xll.BDP($A238&amp;" Corp","RTG_SP")))</f>
        <v/>
      </c>
      <c r="U238" s="75">
        <f>IF($A238="","",IFERROR(INDEX(Sheet1!$U:$U,MATCH($A238,Sheet1!$A:$A,0)),""))</f>
        <v/>
      </c>
      <c r="W238" s="81">
        <f>IF($A238="","",N238-_xll.BDP($A238&amp;" Corp","YAS_OAS_SPRD","SETTLE_DT",Company_desc!$A$1))</f>
        <v/>
      </c>
      <c r="X238" s="81">
        <f>IF($A238="","",N238-_xll.BDP($A238&amp;" Corp","YAS_OAS_SPRD","SETTLE_DT",Company_desc!$A$2))</f>
        <v/>
      </c>
      <c r="Y238" s="80">
        <f>IF($A238="","",N238-_xll.BDP($A238&amp;" Corp","YAS_OAS_SPRD","SETTLE_DT",Company_desc!$D$1))</f>
        <v/>
      </c>
      <c r="Z238" s="82">
        <f>IF($A238="","",K238-_xll.BDP($A238&amp;" Corp","YAS_BOND_YLD","YAS_YLD_FLAG=15","SETTLE_DT",Company_desc!$D$1))</f>
        <v/>
      </c>
      <c r="AA238" s="80">
        <f>IF($A238="","",_xll.BDP($A238&amp;" Corp","YAS_OAS_SPRD","SETTLE_DT",Company_desc!$D$1))</f>
        <v/>
      </c>
    </row>
    <row r="239">
      <c r="B239" s="75">
        <f>IF($A239="","",IFERROR(INDEX(Sheet1!$B:$B,MATCH($A239,Sheet1!$A:$A,0)),""))</f>
        <v/>
      </c>
      <c r="C239" s="75">
        <f>IF($A239="","",PROPER(_xll.BDP($A239&amp;" Corp","NAME")))</f>
        <v/>
      </c>
      <c r="D239" s="76">
        <f>IF($A239="","",_xll.BDP($A239&amp;" Corp","CPN"))</f>
        <v/>
      </c>
      <c r="E239" s="75">
        <f>IF($A239="","",_xll.BDP($A239&amp;" Corp","PAYMENT_RANK"))</f>
        <v/>
      </c>
      <c r="F239" s="100">
        <f>IF($A239="","",_xll.BDP($A239&amp;" Corp","MATURITY"))</f>
        <v/>
      </c>
      <c r="G239" s="75">
        <f>IF($A239="","",PROPER(_xll.BDP($A239&amp;" Corp","COUNTRY_FULL_NAME")))</f>
        <v/>
      </c>
      <c r="H239" s="75">
        <f>IF($A239="","",_xll.BDP($A239&amp;" Corp","INDUSTRY_SECTOR"))</f>
        <v/>
      </c>
      <c r="I239" s="101">
        <f>IF($A239="","",IFERROR(_xll.BDP($A239&amp;" Corp","MIN_PIECE")/1000,""))</f>
        <v/>
      </c>
      <c r="J239" s="31">
        <f>IF($A239="","",_xll.BDP($A239&amp;" Corp","PX_LAST"))</f>
        <v/>
      </c>
      <c r="K239" s="31">
        <f>IF($A239="","",_xll.BDP($A239&amp;" Corp","YAS_BOND_YLD","YAS_YLD_FLAG=15"))</f>
        <v/>
      </c>
      <c r="L239" s="31">
        <f>IF($A239="","",K239-_xll.BDP($A239&amp;" Corp","YAS_BOND_YLD","YAS_YLD_FLAG=15","SETTLE_DT",Company_desc!$A$1))</f>
        <v/>
      </c>
      <c r="M239" s="31">
        <f>IF($A239="","",K239-_xll.BDP($A239&amp;" Corp","YAS_BOND_YLD","YAS_YLD_FLAG=15","SETTLE_DT",Company_desc!$A$2))</f>
        <v/>
      </c>
      <c r="N239" s="79">
        <f>IF($A239="","",_xll.BDP($A239&amp;" Corp","YAS_OAS_SPRD"))</f>
        <v/>
      </c>
      <c r="O239" s="67">
        <f>IF($A239="","",_xll.BDP($A239&amp;" Corp","YAS_MOD_DUR"))</f>
        <v/>
      </c>
      <c r="P239" s="80">
        <f>IF($A239="","",IFERROR(INDEX(Sheet1!$P:$P,MATCH($A239,Sheet1!$A:$A,0)),""))</f>
        <v/>
      </c>
      <c r="Q239" s="75">
        <f>IF($A239="","",IFERROR(INDEX(Company_desc!$C:$C,MATCH($A239,Company_desc!$A:$A,0)),IFERROR(INDEX(Sheet1!$Q:$Q,MATCH($A239,Sheet1!$A:$A,0)),"")))</f>
        <v/>
      </c>
      <c r="R239" s="75">
        <f>IF($A239="","",_xll.BDP($A239&amp;" Corp","CRNCY"))</f>
        <v/>
      </c>
      <c r="S239" s="75">
        <f>IF($A239="","",IFERROR(INDEX(Sheet1!$S:$S,MATCH($A239,Sheet1!$A:$A,0)),""))</f>
        <v/>
      </c>
      <c r="T239" s="75">
        <f>IF($A239="","",IFERROR(INDEX(Sheet1!$T:$T,MATCH($A239,Sheet1!$A:$A,0)),_xll.BDP($A239&amp;" Corp","RTG_SP")))</f>
        <v/>
      </c>
      <c r="U239" s="75">
        <f>IF($A239="","",IFERROR(INDEX(Sheet1!$U:$U,MATCH($A239,Sheet1!$A:$A,0)),""))</f>
        <v/>
      </c>
      <c r="W239" s="81">
        <f>IF($A239="","",N239-_xll.BDP($A239&amp;" Corp","YAS_OAS_SPRD","SETTLE_DT",Company_desc!$A$1))</f>
        <v/>
      </c>
      <c r="X239" s="81">
        <f>IF($A239="","",N239-_xll.BDP($A239&amp;" Corp","YAS_OAS_SPRD","SETTLE_DT",Company_desc!$A$2))</f>
        <v/>
      </c>
      <c r="Y239" s="80">
        <f>IF($A239="","",N239-_xll.BDP($A239&amp;" Corp","YAS_OAS_SPRD","SETTLE_DT",Company_desc!$D$1))</f>
        <v/>
      </c>
      <c r="Z239" s="82">
        <f>IF($A239="","",K239-_xll.BDP($A239&amp;" Corp","YAS_BOND_YLD","YAS_YLD_FLAG=15","SETTLE_DT",Company_desc!$D$1))</f>
        <v/>
      </c>
      <c r="AA239" s="80">
        <f>IF($A239="","",_xll.BDP($A239&amp;" Corp","YAS_OAS_SPRD","SETTLE_DT",Company_desc!$D$1))</f>
        <v/>
      </c>
    </row>
    <row r="240">
      <c r="A240" s="42" t="n"/>
      <c r="B240" s="75">
        <f>IF($A240="","",IFERROR(INDEX(Sheet1!$B:$B,MATCH($A240,Sheet1!$A:$A,0)),""))</f>
        <v/>
      </c>
      <c r="C240" s="75">
        <f>IF($A240="","",PROPER(_xll.BDP($A240&amp;" Corp","NAME")))</f>
        <v/>
      </c>
      <c r="D240" s="76">
        <f>IF($A240="","",_xll.BDP($A240&amp;" Corp","CPN"))</f>
        <v/>
      </c>
      <c r="E240" s="75">
        <f>IF($A240="","",_xll.BDP($A240&amp;" Corp","PAYMENT_RANK"))</f>
        <v/>
      </c>
      <c r="F240" s="100">
        <f>IF($A240="","",_xll.BDP($A240&amp;" Corp","MATURITY"))</f>
        <v/>
      </c>
      <c r="G240" s="75">
        <f>IF($A240="","",PROPER(_xll.BDP($A240&amp;" Corp","COUNTRY_FULL_NAME")))</f>
        <v/>
      </c>
      <c r="H240" s="75">
        <f>IF($A240="","",_xll.BDP($A240&amp;" Corp","INDUSTRY_SECTOR"))</f>
        <v/>
      </c>
      <c r="I240" s="101">
        <f>IF($A240="","",IFERROR(_xll.BDP($A240&amp;" Corp","MIN_PIECE")/1000,""))</f>
        <v/>
      </c>
      <c r="J240" s="31">
        <f>IF($A240="","",_xll.BDP($A240&amp;" Corp","PX_LAST"))</f>
        <v/>
      </c>
      <c r="K240" s="31">
        <f>IF($A240="","",_xll.BDP($A240&amp;" Corp","YAS_BOND_YLD","YAS_YLD_FLAG=15"))</f>
        <v/>
      </c>
      <c r="L240" s="31">
        <f>IF($A240="","",K240-_xll.BDP($A240&amp;" Corp","YAS_BOND_YLD","YAS_YLD_FLAG=15","SETTLE_DT",Company_desc!$A$1))</f>
        <v/>
      </c>
      <c r="M240" s="31">
        <f>IF($A240="","",K240-_xll.BDP($A240&amp;" Corp","YAS_BOND_YLD","YAS_YLD_FLAG=15","SETTLE_DT",Company_desc!$A$2))</f>
        <v/>
      </c>
      <c r="N240" s="79">
        <f>IF($A240="","",_xll.BDP($A240&amp;" Corp","YAS_OAS_SPRD"))</f>
        <v/>
      </c>
      <c r="O240" s="67">
        <f>IF($A240="","",_xll.BDP($A240&amp;" Corp","YAS_MOD_DUR"))</f>
        <v/>
      </c>
      <c r="P240" s="80">
        <f>IF($A240="","",IFERROR(INDEX(Sheet1!$P:$P,MATCH($A240,Sheet1!$A:$A,0)),""))</f>
        <v/>
      </c>
      <c r="Q240" s="75">
        <f>IF($A240="","",IFERROR(INDEX(Company_desc!$C:$C,MATCH($A240,Company_desc!$A:$A,0)),IFERROR(INDEX(Sheet1!$Q:$Q,MATCH($A240,Sheet1!$A:$A,0)),"")))</f>
        <v/>
      </c>
      <c r="R240" s="75">
        <f>IF($A240="","",_xll.BDP($A240&amp;" Corp","CRNCY"))</f>
        <v/>
      </c>
      <c r="S240" s="75">
        <f>IF($A240="","",IFERROR(INDEX(Sheet1!$S:$S,MATCH($A240,Sheet1!$A:$A,0)),""))</f>
        <v/>
      </c>
      <c r="T240" s="75">
        <f>IF($A240="","",IFERROR(INDEX(Sheet1!$T:$T,MATCH($A240,Sheet1!$A:$A,0)),_xll.BDP($A240&amp;" Corp","RTG_SP")))</f>
        <v/>
      </c>
      <c r="U240" s="75">
        <f>IF($A240="","",IFERROR(INDEX(Sheet1!$U:$U,MATCH($A240,Sheet1!$A:$A,0)),""))</f>
        <v/>
      </c>
      <c r="W240" s="81">
        <f>IF($A240="","",N240-_xll.BDP($A240&amp;" Corp","YAS_OAS_SPRD","SETTLE_DT",Company_desc!$A$1))</f>
        <v/>
      </c>
      <c r="X240" s="81">
        <f>IF($A240="","",N240-_xll.BDP($A240&amp;" Corp","YAS_OAS_SPRD","SETTLE_DT",Company_desc!$A$2))</f>
        <v/>
      </c>
      <c r="Y240" s="80">
        <f>IF($A240="","",N240-_xll.BDP($A240&amp;" Corp","YAS_OAS_SPRD","SETTLE_DT",Company_desc!$D$1))</f>
        <v/>
      </c>
      <c r="Z240" s="82">
        <f>IF($A240="","",K240-_xll.BDP($A240&amp;" Corp","YAS_BOND_YLD","YAS_YLD_FLAG=15","SETTLE_DT",Company_desc!$D$1))</f>
        <v/>
      </c>
      <c r="AA240" s="80">
        <f>IF($A240="","",_xll.BDP($A240&amp;" Corp","YAS_OAS_SPRD","SETTLE_DT",Company_desc!$D$1))</f>
        <v/>
      </c>
    </row>
    <row r="241">
      <c r="B241" s="75">
        <f>IF($A241="","",IFERROR(INDEX(Sheet1!$B:$B,MATCH($A241,Sheet1!$A:$A,0)),""))</f>
        <v/>
      </c>
      <c r="C241" s="75">
        <f>IF($A241="","",PROPER(_xll.BDP($A241&amp;" Corp","NAME")))</f>
        <v/>
      </c>
      <c r="D241" s="76">
        <f>IF($A241="","",_xll.BDP($A241&amp;" Corp","CPN"))</f>
        <v/>
      </c>
      <c r="E241" s="75">
        <f>IF($A241="","",_xll.BDP($A241&amp;" Corp","PAYMENT_RANK"))</f>
        <v/>
      </c>
      <c r="F241" s="100">
        <f>IF($A241="","",_xll.BDP($A241&amp;" Corp","MATURITY"))</f>
        <v/>
      </c>
      <c r="G241" s="75">
        <f>IF($A241="","",PROPER(_xll.BDP($A241&amp;" Corp","COUNTRY_FULL_NAME")))</f>
        <v/>
      </c>
      <c r="H241" s="75">
        <f>IF($A241="","",_xll.BDP($A241&amp;" Corp","INDUSTRY_SECTOR"))</f>
        <v/>
      </c>
      <c r="I241" s="101">
        <f>IF($A241="","",IFERROR(_xll.BDP($A241&amp;" Corp","MIN_PIECE")/1000,""))</f>
        <v/>
      </c>
      <c r="J241" s="31">
        <f>IF($A241="","",_xll.BDP($A241&amp;" Corp","PX_LAST"))</f>
        <v/>
      </c>
      <c r="K241" s="31">
        <f>IF($A241="","",_xll.BDP($A241&amp;" Corp","YAS_BOND_YLD","YAS_YLD_FLAG=15"))</f>
        <v/>
      </c>
      <c r="L241" s="31">
        <f>IF($A241="","",K241-_xll.BDP($A241&amp;" Corp","YAS_BOND_YLD","YAS_YLD_FLAG=15","SETTLE_DT",Company_desc!$A$1))</f>
        <v/>
      </c>
      <c r="M241" s="31">
        <f>IF($A241="","",K241-_xll.BDP($A241&amp;" Corp","YAS_BOND_YLD","YAS_YLD_FLAG=15","SETTLE_DT",Company_desc!$A$2))</f>
        <v/>
      </c>
      <c r="N241" s="79">
        <f>IF($A241="","",_xll.BDP($A241&amp;" Corp","YAS_OAS_SPRD"))</f>
        <v/>
      </c>
      <c r="O241" s="67">
        <f>IF($A241="","",_xll.BDP($A241&amp;" Corp","YAS_MOD_DUR"))</f>
        <v/>
      </c>
      <c r="P241" s="80">
        <f>IF($A241="","",IFERROR(INDEX(Sheet1!$P:$P,MATCH($A241,Sheet1!$A:$A,0)),""))</f>
        <v/>
      </c>
      <c r="Q241" s="75">
        <f>IF($A241="","",IFERROR(INDEX(Company_desc!$C:$C,MATCH($A241,Company_desc!$A:$A,0)),IFERROR(INDEX(Sheet1!$Q:$Q,MATCH($A241,Sheet1!$A:$A,0)),"")))</f>
        <v/>
      </c>
      <c r="R241" s="75">
        <f>IF($A241="","",_xll.BDP($A241&amp;" Corp","CRNCY"))</f>
        <v/>
      </c>
      <c r="S241" s="75">
        <f>IF($A241="","",IFERROR(INDEX(Sheet1!$S:$S,MATCH($A241,Sheet1!$A:$A,0)),""))</f>
        <v/>
      </c>
      <c r="T241" s="75">
        <f>IF($A241="","",IFERROR(INDEX(Sheet1!$T:$T,MATCH($A241,Sheet1!$A:$A,0)),_xll.BDP($A241&amp;" Corp","RTG_SP")))</f>
        <v/>
      </c>
      <c r="U241" s="75">
        <f>IF($A241="","",IFERROR(INDEX(Sheet1!$U:$U,MATCH($A241,Sheet1!$A:$A,0)),""))</f>
        <v/>
      </c>
      <c r="W241" s="81">
        <f>IF($A241="","",N241-_xll.BDP($A241&amp;" Corp","YAS_OAS_SPRD","SETTLE_DT",Company_desc!$A$1))</f>
        <v/>
      </c>
      <c r="X241" s="81">
        <f>IF($A241="","",N241-_xll.BDP($A241&amp;" Corp","YAS_OAS_SPRD","SETTLE_DT",Company_desc!$A$2))</f>
        <v/>
      </c>
      <c r="Y241" s="80">
        <f>IF($A241="","",N241-_xll.BDP($A241&amp;" Corp","YAS_OAS_SPRD","SETTLE_DT",Company_desc!$D$1))</f>
        <v/>
      </c>
      <c r="Z241" s="82">
        <f>IF($A241="","",K241-_xll.BDP($A241&amp;" Corp","YAS_BOND_YLD","YAS_YLD_FLAG=15","SETTLE_DT",Company_desc!$D$1))</f>
        <v/>
      </c>
      <c r="AA241" s="80">
        <f>IF($A241="","",_xll.BDP($A241&amp;" Corp","YAS_OAS_SPRD","SETTLE_DT",Company_desc!$D$1))</f>
        <v/>
      </c>
    </row>
    <row r="242">
      <c r="B242" s="75">
        <f>IF($A242="","",IFERROR(INDEX(Sheet1!$B:$B,MATCH($A242,Sheet1!$A:$A,0)),""))</f>
        <v/>
      </c>
      <c r="C242" s="75">
        <f>IF($A242="","",PROPER(_xll.BDP($A242&amp;" Corp","NAME")))</f>
        <v/>
      </c>
      <c r="D242" s="76">
        <f>IF($A242="","",_xll.BDP($A242&amp;" Corp","CPN"))</f>
        <v/>
      </c>
      <c r="E242" s="75">
        <f>IF($A242="","",_xll.BDP($A242&amp;" Corp","PAYMENT_RANK"))</f>
        <v/>
      </c>
      <c r="F242" s="100">
        <f>IF($A242="","",_xll.BDP($A242&amp;" Corp","MATURITY"))</f>
        <v/>
      </c>
      <c r="G242" s="75">
        <f>IF($A242="","",PROPER(_xll.BDP($A242&amp;" Corp","COUNTRY_FULL_NAME")))</f>
        <v/>
      </c>
      <c r="H242" s="75">
        <f>IF($A242="","",_xll.BDP($A242&amp;" Corp","INDUSTRY_SECTOR"))</f>
        <v/>
      </c>
      <c r="I242" s="101">
        <f>IF($A242="","",IFERROR(_xll.BDP($A242&amp;" Corp","MIN_PIECE")/1000,""))</f>
        <v/>
      </c>
      <c r="J242" s="31">
        <f>IF($A242="","",_xll.BDP($A242&amp;" Corp","PX_LAST"))</f>
        <v/>
      </c>
      <c r="K242" s="31">
        <f>IF($A242="","",_xll.BDP($A242&amp;" Corp","YAS_BOND_YLD","YAS_YLD_FLAG=15"))</f>
        <v/>
      </c>
      <c r="L242" s="31">
        <f>IF($A242="","",K242-_xll.BDP($A242&amp;" Corp","YAS_BOND_YLD","YAS_YLD_FLAG=15","SETTLE_DT",Company_desc!$A$1))</f>
        <v/>
      </c>
      <c r="M242" s="31">
        <f>IF($A242="","",K242-_xll.BDP($A242&amp;" Corp","YAS_BOND_YLD","YAS_YLD_FLAG=15","SETTLE_DT",Company_desc!$A$2))</f>
        <v/>
      </c>
      <c r="N242" s="79">
        <f>IF($A242="","",_xll.BDP($A242&amp;" Corp","YAS_OAS_SPRD"))</f>
        <v/>
      </c>
      <c r="O242" s="67">
        <f>IF($A242="","",_xll.BDP($A242&amp;" Corp","YAS_MOD_DUR"))</f>
        <v/>
      </c>
      <c r="P242" s="80">
        <f>IF($A242="","",IFERROR(INDEX(Sheet1!$P:$P,MATCH($A242,Sheet1!$A:$A,0)),""))</f>
        <v/>
      </c>
      <c r="Q242" s="75">
        <f>IF($A242="","",IFERROR(INDEX(Company_desc!$C:$C,MATCH($A242,Company_desc!$A:$A,0)),IFERROR(INDEX(Sheet1!$Q:$Q,MATCH($A242,Sheet1!$A:$A,0)),"")))</f>
        <v/>
      </c>
      <c r="R242" s="75">
        <f>IF($A242="","",_xll.BDP($A242&amp;" Corp","CRNCY"))</f>
        <v/>
      </c>
      <c r="S242" s="75">
        <f>IF($A242="","",IFERROR(INDEX(Sheet1!$S:$S,MATCH($A242,Sheet1!$A:$A,0)),""))</f>
        <v/>
      </c>
      <c r="T242" s="75">
        <f>IF($A242="","",IFERROR(INDEX(Sheet1!$T:$T,MATCH($A242,Sheet1!$A:$A,0)),_xll.BDP($A242&amp;" Corp","RTG_SP")))</f>
        <v/>
      </c>
      <c r="U242" s="75">
        <f>IF($A242="","",IFERROR(INDEX(Sheet1!$U:$U,MATCH($A242,Sheet1!$A:$A,0)),""))</f>
        <v/>
      </c>
      <c r="W242" s="81">
        <f>IF($A242="","",N242-_xll.BDP($A242&amp;" Corp","YAS_OAS_SPRD","SETTLE_DT",Company_desc!$A$1))</f>
        <v/>
      </c>
      <c r="X242" s="81">
        <f>IF($A242="","",N242-_xll.BDP($A242&amp;" Corp","YAS_OAS_SPRD","SETTLE_DT",Company_desc!$A$2))</f>
        <v/>
      </c>
      <c r="Y242" s="80">
        <f>IF($A242="","",N242-_xll.BDP($A242&amp;" Corp","YAS_OAS_SPRD","SETTLE_DT",Company_desc!$D$1))</f>
        <v/>
      </c>
      <c r="Z242" s="82">
        <f>IF($A242="","",K242-_xll.BDP($A242&amp;" Corp","YAS_BOND_YLD","YAS_YLD_FLAG=15","SETTLE_DT",Company_desc!$D$1))</f>
        <v/>
      </c>
      <c r="AA242" s="80">
        <f>IF($A242="","",_xll.BDP($A242&amp;" Corp","YAS_OAS_SPRD","SETTLE_DT",Company_desc!$D$1))</f>
        <v/>
      </c>
    </row>
    <row r="243">
      <c r="B243" s="75">
        <f>IF($A243="","",IFERROR(INDEX(Sheet1!$B:$B,MATCH($A243,Sheet1!$A:$A,0)),""))</f>
        <v/>
      </c>
      <c r="C243" s="75">
        <f>IF($A243="","",PROPER(_xll.BDP($A243&amp;" Corp","NAME")))</f>
        <v/>
      </c>
      <c r="D243" s="76">
        <f>IF($A243="","",_xll.BDP($A243&amp;" Corp","CPN"))</f>
        <v/>
      </c>
      <c r="E243" s="75">
        <f>IF($A243="","",_xll.BDP($A243&amp;" Corp","PAYMENT_RANK"))</f>
        <v/>
      </c>
      <c r="F243" s="100">
        <f>IF($A243="","",_xll.BDP($A243&amp;" Corp","MATURITY"))</f>
        <v/>
      </c>
      <c r="G243" s="75">
        <f>IF($A243="","",PROPER(_xll.BDP($A243&amp;" Corp","COUNTRY_FULL_NAME")))</f>
        <v/>
      </c>
      <c r="H243" s="75">
        <f>IF($A243="","",_xll.BDP($A243&amp;" Corp","INDUSTRY_SECTOR"))</f>
        <v/>
      </c>
      <c r="I243" s="101">
        <f>IF($A243="","",IFERROR(_xll.BDP($A243&amp;" Corp","MIN_PIECE")/1000,""))</f>
        <v/>
      </c>
      <c r="J243" s="31">
        <f>IF($A243="","",_xll.BDP($A243&amp;" Corp","PX_LAST"))</f>
        <v/>
      </c>
      <c r="K243" s="31">
        <f>IF($A243="","",_xll.BDP($A243&amp;" Corp","YAS_BOND_YLD","YAS_YLD_FLAG=15"))</f>
        <v/>
      </c>
      <c r="L243" s="31">
        <f>IF($A243="","",K243-_xll.BDP($A243&amp;" Corp","YAS_BOND_YLD","YAS_YLD_FLAG=15","SETTLE_DT",Company_desc!$A$1))</f>
        <v/>
      </c>
      <c r="M243" s="31">
        <f>IF($A243="","",K243-_xll.BDP($A243&amp;" Corp","YAS_BOND_YLD","YAS_YLD_FLAG=15","SETTLE_DT",Company_desc!$A$2))</f>
        <v/>
      </c>
      <c r="N243" s="79">
        <f>IF($A243="","",_xll.BDP($A243&amp;" Corp","YAS_OAS_SPRD"))</f>
        <v/>
      </c>
      <c r="O243" s="67">
        <f>IF($A243="","",_xll.BDP($A243&amp;" Corp","YAS_MOD_DUR"))</f>
        <v/>
      </c>
      <c r="P243" s="80">
        <f>IF($A243="","",IFERROR(INDEX(Sheet1!$P:$P,MATCH($A243,Sheet1!$A:$A,0)),""))</f>
        <v/>
      </c>
      <c r="Q243" s="75">
        <f>IF($A243="","",IFERROR(INDEX(Company_desc!$C:$C,MATCH($A243,Company_desc!$A:$A,0)),IFERROR(INDEX(Sheet1!$Q:$Q,MATCH($A243,Sheet1!$A:$A,0)),"")))</f>
        <v/>
      </c>
      <c r="R243" s="75">
        <f>IF($A243="","",_xll.BDP($A243&amp;" Corp","CRNCY"))</f>
        <v/>
      </c>
      <c r="S243" s="75">
        <f>IF($A243="","",IFERROR(INDEX(Sheet1!$S:$S,MATCH($A243,Sheet1!$A:$A,0)),""))</f>
        <v/>
      </c>
      <c r="T243" s="75">
        <f>IF($A243="","",IFERROR(INDEX(Sheet1!$T:$T,MATCH($A243,Sheet1!$A:$A,0)),_xll.BDP($A243&amp;" Corp","RTG_SP")))</f>
        <v/>
      </c>
      <c r="U243" s="75">
        <f>IF($A243="","",IFERROR(INDEX(Sheet1!$U:$U,MATCH($A243,Sheet1!$A:$A,0)),""))</f>
        <v/>
      </c>
      <c r="W243" s="81">
        <f>IF($A243="","",N243-_xll.BDP($A243&amp;" Corp","YAS_OAS_SPRD","SETTLE_DT",Company_desc!$A$1))</f>
        <v/>
      </c>
      <c r="X243" s="81">
        <f>IF($A243="","",N243-_xll.BDP($A243&amp;" Corp","YAS_OAS_SPRD","SETTLE_DT",Company_desc!$A$2))</f>
        <v/>
      </c>
      <c r="Y243" s="80">
        <f>IF($A243="","",N243-_xll.BDP($A243&amp;" Corp","YAS_OAS_SPRD","SETTLE_DT",Company_desc!$D$1))</f>
        <v/>
      </c>
      <c r="Z243" s="82">
        <f>IF($A243="","",K243-_xll.BDP($A243&amp;" Corp","YAS_BOND_YLD","YAS_YLD_FLAG=15","SETTLE_DT",Company_desc!$D$1))</f>
        <v/>
      </c>
      <c r="AA243" s="80">
        <f>IF($A243="","",_xll.BDP($A243&amp;" Corp","YAS_OAS_SPRD","SETTLE_DT",Company_desc!$D$1))</f>
        <v/>
      </c>
    </row>
    <row r="244">
      <c r="B244" s="75">
        <f>IF($A244="","",IFERROR(INDEX(Sheet1!$B:$B,MATCH($A244,Sheet1!$A:$A,0)),""))</f>
        <v/>
      </c>
      <c r="C244" s="75">
        <f>IF($A244="","",PROPER(_xll.BDP($A244&amp;" Corp","NAME")))</f>
        <v/>
      </c>
      <c r="D244" s="76">
        <f>IF($A244="","",_xll.BDP($A244&amp;" Corp","CPN"))</f>
        <v/>
      </c>
      <c r="E244" s="75">
        <f>IF($A244="","",_xll.BDP($A244&amp;" Corp","PAYMENT_RANK"))</f>
        <v/>
      </c>
      <c r="F244" s="100">
        <f>IF($A244="","",_xll.BDP($A244&amp;" Corp","MATURITY"))</f>
        <v/>
      </c>
      <c r="G244" s="75">
        <f>IF($A244="","",PROPER(_xll.BDP($A244&amp;" Corp","COUNTRY_FULL_NAME")))</f>
        <v/>
      </c>
      <c r="H244" s="75">
        <f>IF($A244="","",_xll.BDP($A244&amp;" Corp","INDUSTRY_SECTOR"))</f>
        <v/>
      </c>
      <c r="I244" s="101">
        <f>IF($A244="","",IFERROR(_xll.BDP($A244&amp;" Corp","MIN_PIECE")/1000,""))</f>
        <v/>
      </c>
      <c r="J244" s="31">
        <f>IF($A244="","",_xll.BDP($A244&amp;" Corp","PX_LAST"))</f>
        <v/>
      </c>
      <c r="K244" s="31">
        <f>IF($A244="","",_xll.BDP($A244&amp;" Corp","YAS_BOND_YLD","YAS_YLD_FLAG=15"))</f>
        <v/>
      </c>
      <c r="L244" s="31">
        <f>IF($A244="","",K244-_xll.BDP($A244&amp;" Corp","YAS_BOND_YLD","YAS_YLD_FLAG=15","SETTLE_DT",Company_desc!$A$1))</f>
        <v/>
      </c>
      <c r="M244" s="31">
        <f>IF($A244="","",K244-_xll.BDP($A244&amp;" Corp","YAS_BOND_YLD","YAS_YLD_FLAG=15","SETTLE_DT",Company_desc!$A$2))</f>
        <v/>
      </c>
      <c r="N244" s="79">
        <f>IF($A244="","",_xll.BDP($A244&amp;" Corp","YAS_OAS_SPRD"))</f>
        <v/>
      </c>
      <c r="O244" s="67">
        <f>IF($A244="","",_xll.BDP($A244&amp;" Corp","YAS_MOD_DUR"))</f>
        <v/>
      </c>
      <c r="P244" s="80">
        <f>IF($A244="","",IFERROR(INDEX(Sheet1!$P:$P,MATCH($A244,Sheet1!$A:$A,0)),""))</f>
        <v/>
      </c>
      <c r="Q244" s="75">
        <f>IF($A244="","",IFERROR(INDEX(Company_desc!$C:$C,MATCH($A244,Company_desc!$A:$A,0)),IFERROR(INDEX(Sheet1!$Q:$Q,MATCH($A244,Sheet1!$A:$A,0)),"")))</f>
        <v/>
      </c>
      <c r="R244" s="75">
        <f>IF($A244="","",_xll.BDP($A244&amp;" Corp","CRNCY"))</f>
        <v/>
      </c>
      <c r="S244" s="75">
        <f>IF($A244="","",IFERROR(INDEX(Sheet1!$S:$S,MATCH($A244,Sheet1!$A:$A,0)),""))</f>
        <v/>
      </c>
      <c r="T244" s="75">
        <f>IF($A244="","",IFERROR(INDEX(Sheet1!$T:$T,MATCH($A244,Sheet1!$A:$A,0)),_xll.BDP($A244&amp;" Corp","RTG_SP")))</f>
        <v/>
      </c>
      <c r="U244" s="75">
        <f>IF($A244="","",IFERROR(INDEX(Sheet1!$U:$U,MATCH($A244,Sheet1!$A:$A,0)),""))</f>
        <v/>
      </c>
      <c r="W244" s="81">
        <f>IF($A244="","",N244-_xll.BDP($A244&amp;" Corp","YAS_OAS_SPRD","SETTLE_DT",Company_desc!$A$1))</f>
        <v/>
      </c>
      <c r="X244" s="81">
        <f>IF($A244="","",N244-_xll.BDP($A244&amp;" Corp","YAS_OAS_SPRD","SETTLE_DT",Company_desc!$A$2))</f>
        <v/>
      </c>
      <c r="Y244" s="80">
        <f>IF($A244="","",N244-_xll.BDP($A244&amp;" Corp","YAS_OAS_SPRD","SETTLE_DT",Company_desc!$D$1))</f>
        <v/>
      </c>
      <c r="Z244" s="82">
        <f>IF($A244="","",K244-_xll.BDP($A244&amp;" Corp","YAS_BOND_YLD","YAS_YLD_FLAG=15","SETTLE_DT",Company_desc!$D$1))</f>
        <v/>
      </c>
      <c r="AA244" s="80">
        <f>IF($A244="","",_xll.BDP($A244&amp;" Corp","YAS_OAS_SPRD","SETTLE_DT",Company_desc!$D$1))</f>
        <v/>
      </c>
    </row>
    <row r="245">
      <c r="B245" s="75">
        <f>IF($A245="","",IFERROR(INDEX(Sheet1!$B:$B,MATCH($A245,Sheet1!$A:$A,0)),""))</f>
        <v/>
      </c>
      <c r="C245" s="75">
        <f>IF($A245="","",PROPER(_xll.BDP($A245&amp;" Corp","NAME")))</f>
        <v/>
      </c>
      <c r="D245" s="76">
        <f>IF($A245="","",_xll.BDP($A245&amp;" Corp","CPN"))</f>
        <v/>
      </c>
      <c r="E245" s="75">
        <f>IF($A245="","",_xll.BDP($A245&amp;" Corp","PAYMENT_RANK"))</f>
        <v/>
      </c>
      <c r="F245" s="100">
        <f>IF($A245="","",_xll.BDP($A245&amp;" Corp","MATURITY"))</f>
        <v/>
      </c>
      <c r="G245" s="75">
        <f>IF($A245="","",PROPER(_xll.BDP($A245&amp;" Corp","COUNTRY_FULL_NAME")))</f>
        <v/>
      </c>
      <c r="H245" s="75">
        <f>IF($A245="","",_xll.BDP($A245&amp;" Corp","INDUSTRY_SECTOR"))</f>
        <v/>
      </c>
      <c r="I245" s="101">
        <f>IF($A245="","",IFERROR(_xll.BDP($A245&amp;" Corp","MIN_PIECE")/1000,""))</f>
        <v/>
      </c>
      <c r="J245" s="31">
        <f>IF($A245="","",_xll.BDP($A245&amp;" Corp","PX_LAST"))</f>
        <v/>
      </c>
      <c r="K245" s="31">
        <f>IF($A245="","",_xll.BDP($A245&amp;" Corp","YAS_BOND_YLD","YAS_YLD_FLAG=15"))</f>
        <v/>
      </c>
      <c r="L245" s="31">
        <f>IF($A245="","",K245-_xll.BDP($A245&amp;" Corp","YAS_BOND_YLD","YAS_YLD_FLAG=15","SETTLE_DT",Company_desc!$A$1))</f>
        <v/>
      </c>
      <c r="M245" s="31">
        <f>IF($A245="","",K245-_xll.BDP($A245&amp;" Corp","YAS_BOND_YLD","YAS_YLD_FLAG=15","SETTLE_DT",Company_desc!$A$2))</f>
        <v/>
      </c>
      <c r="N245" s="79">
        <f>IF($A245="","",_xll.BDP($A245&amp;" Corp","YAS_OAS_SPRD"))</f>
        <v/>
      </c>
      <c r="O245" s="82">
        <f>IF($A245="","",_xll.BDP($A245&amp;" Corp","YAS_MOD_DUR"))</f>
        <v/>
      </c>
      <c r="P245" s="80">
        <f>IF($A245="","",IFERROR(INDEX(Sheet1!$P:$P,MATCH($A245,Sheet1!$A:$A,0)),""))</f>
        <v/>
      </c>
      <c r="Q245" s="75">
        <f>IF($A245="","",IFERROR(INDEX(Company_desc!$C:$C,MATCH($A245,Company_desc!$A:$A,0)),IFERROR(INDEX(Sheet1!$Q:$Q,MATCH($A245,Sheet1!$A:$A,0)),"")))</f>
        <v/>
      </c>
      <c r="R245" s="75">
        <f>IF($A245="","",_xll.BDP($A245&amp;" Corp","CRNCY"))</f>
        <v/>
      </c>
      <c r="S245" s="75">
        <f>IF($A245="","",IFERROR(INDEX(Sheet1!$S:$S,MATCH($A245,Sheet1!$A:$A,0)),""))</f>
        <v/>
      </c>
      <c r="T245" s="75">
        <f>IF($A245="","",IFERROR(INDEX(Sheet1!$T:$T,MATCH($A245,Sheet1!$A:$A,0)),_xll.BDP($A245&amp;" Corp","RTG_SP")))</f>
        <v/>
      </c>
      <c r="U245" s="75">
        <f>IF($A245="","",IFERROR(INDEX(Sheet1!$U:$U,MATCH($A245,Sheet1!$A:$A,0)),""))</f>
        <v/>
      </c>
      <c r="W245" s="81">
        <f>IF($A245="","",N245-_xll.BDP($A245&amp;" Corp","YAS_OAS_SPRD","SETTLE_DT",Company_desc!$A$1))</f>
        <v/>
      </c>
      <c r="X245" s="81">
        <f>IF($A245="","",N245-_xll.BDP($A245&amp;" Corp","YAS_OAS_SPRD","SETTLE_DT",Company_desc!$A$2))</f>
        <v/>
      </c>
      <c r="Y245" s="80">
        <f>IF($A245="","",N245-_xll.BDP($A245&amp;" Corp","YAS_OAS_SPRD","SETTLE_DT",Company_desc!$D$1))</f>
        <v/>
      </c>
      <c r="Z245" s="82">
        <f>IF($A245="","",K245-_xll.BDP($A245&amp;" Corp","YAS_BOND_YLD","YAS_YLD_FLAG=15","SETTLE_DT",Company_desc!$D$1))</f>
        <v/>
      </c>
      <c r="AA245" s="80">
        <f>IF($A245="","",_xll.BDP($A245&amp;" Corp","YAS_OAS_SPRD","SETTLE_DT",Company_desc!$D$1))</f>
        <v/>
      </c>
    </row>
    <row r="246">
      <c r="B246" s="75">
        <f>IF($A246="","",IFERROR(INDEX(Sheet1!$B:$B,MATCH($A246,Sheet1!$A:$A,0)),""))</f>
        <v/>
      </c>
      <c r="C246" s="75">
        <f>IF($A246="","",PROPER(_xll.BDP($A246&amp;" Corp","NAME")))</f>
        <v/>
      </c>
      <c r="D246" s="76">
        <f>IF($A246="","",_xll.BDP($A246&amp;" Corp","CPN"))</f>
        <v/>
      </c>
      <c r="E246" s="75">
        <f>IF($A246="","",_xll.BDP($A246&amp;" Corp","PAYMENT_RANK"))</f>
        <v/>
      </c>
      <c r="F246" s="100">
        <f>IF($A246="","",_xll.BDP($A246&amp;" Corp","MATURITY"))</f>
        <v/>
      </c>
      <c r="G246" s="75">
        <f>IF($A246="","",PROPER(_xll.BDP($A246&amp;" Corp","COUNTRY_FULL_NAME")))</f>
        <v/>
      </c>
      <c r="H246" s="75">
        <f>IF($A246="","",_xll.BDP($A246&amp;" Corp","INDUSTRY_SECTOR"))</f>
        <v/>
      </c>
      <c r="I246" s="101">
        <f>IF($A246="","",IFERROR(_xll.BDP($A246&amp;" Corp","MIN_PIECE")/1000,""))</f>
        <v/>
      </c>
      <c r="J246" s="31">
        <f>IF($A246="","",_xll.BDP($A246&amp;" Corp","PX_LAST"))</f>
        <v/>
      </c>
      <c r="K246" s="31">
        <f>IF($A246="","",_xll.BDP($A246&amp;" Corp","YAS_BOND_YLD","YAS_YLD_FLAG=15"))</f>
        <v/>
      </c>
      <c r="L246" s="31">
        <f>IF($A246="","",K246-_xll.BDP($A246&amp;" Corp","YAS_BOND_YLD","YAS_YLD_FLAG=15","SETTLE_DT",Company_desc!$A$1))</f>
        <v/>
      </c>
      <c r="M246" s="31">
        <f>IF($A246="","",K246-_xll.BDP($A246&amp;" Corp","YAS_BOND_YLD","YAS_YLD_FLAG=15","SETTLE_DT",Company_desc!$A$2))</f>
        <v/>
      </c>
      <c r="N246" s="79">
        <f>IF($A246="","",_xll.BDP($A246&amp;" Corp","YAS_OAS_SPRD"))</f>
        <v/>
      </c>
      <c r="O246" s="67">
        <f>IF($A246="","",_xll.BDP($A246&amp;" Corp","YAS_MOD_DUR"))</f>
        <v/>
      </c>
      <c r="P246" s="80">
        <f>IF($A246="","",IFERROR(INDEX(Sheet1!$P:$P,MATCH($A246,Sheet1!$A:$A,0)),""))</f>
        <v/>
      </c>
      <c r="Q246" s="75">
        <f>IF($A246="","",IFERROR(INDEX(Company_desc!$C:$C,MATCH($A246,Company_desc!$A:$A,0)),IFERROR(INDEX(Sheet1!$Q:$Q,MATCH($A246,Sheet1!$A:$A,0)),"")))</f>
        <v/>
      </c>
      <c r="R246" s="75">
        <f>IF($A246="","",_xll.BDP($A246&amp;" Corp","CRNCY"))</f>
        <v/>
      </c>
      <c r="S246" s="75">
        <f>IF($A246="","",IFERROR(INDEX(Sheet1!$S:$S,MATCH($A246,Sheet1!$A:$A,0)),""))</f>
        <v/>
      </c>
      <c r="T246" s="75">
        <f>IF($A246="","",IFERROR(INDEX(Sheet1!$T:$T,MATCH($A246,Sheet1!$A:$A,0)),_xll.BDP($A246&amp;" Corp","RTG_SP")))</f>
        <v/>
      </c>
      <c r="U246" s="75">
        <f>IF($A246="","",IFERROR(INDEX(Sheet1!$U:$U,MATCH($A246,Sheet1!$A:$A,0)),""))</f>
        <v/>
      </c>
      <c r="W246" s="81">
        <f>IF($A246="","",N246-_xll.BDP($A246&amp;" Corp","YAS_OAS_SPRD","SETTLE_DT",Company_desc!$A$1))</f>
        <v/>
      </c>
      <c r="X246" s="81">
        <f>IF($A246="","",N246-_xll.BDP($A246&amp;" Corp","YAS_OAS_SPRD","SETTLE_DT",Company_desc!$A$2))</f>
        <v/>
      </c>
      <c r="Y246" s="80">
        <f>IF($A246="","",N246-_xll.BDP($A246&amp;" Corp","YAS_OAS_SPRD","SETTLE_DT",Company_desc!$D$1))</f>
        <v/>
      </c>
      <c r="Z246" s="82">
        <f>IF($A246="","",K246-_xll.BDP($A246&amp;" Corp","YAS_BOND_YLD","YAS_YLD_FLAG=15","SETTLE_DT",Company_desc!$D$1))</f>
        <v/>
      </c>
      <c r="AA246" s="80">
        <f>IF($A246="","",_xll.BDP($A246&amp;" Corp","YAS_OAS_SPRD","SETTLE_DT",Company_desc!$D$1))</f>
        <v/>
      </c>
    </row>
    <row r="247">
      <c r="B247" s="75">
        <f>IF($A247="","",IFERROR(INDEX(Sheet1!$B:$B,MATCH($A247,Sheet1!$A:$A,0)),""))</f>
        <v/>
      </c>
      <c r="C247" s="75">
        <f>IF($A247="","",PROPER(_xll.BDP($A247&amp;" Corp","NAME")))</f>
        <v/>
      </c>
      <c r="D247" s="76">
        <f>IF($A247="","",_xll.BDP($A247&amp;" Corp","CPN"))</f>
        <v/>
      </c>
      <c r="E247" s="75">
        <f>IF($A247="","",_xll.BDP($A247&amp;" Corp","PAYMENT_RANK"))</f>
        <v/>
      </c>
      <c r="F247" s="100">
        <f>IF($A247="","",_xll.BDP($A247&amp;" Corp","MATURITY"))</f>
        <v/>
      </c>
      <c r="G247" s="75">
        <f>IF($A247="","",PROPER(_xll.BDP($A247&amp;" Corp","COUNTRY_FULL_NAME")))</f>
        <v/>
      </c>
      <c r="H247" s="75">
        <f>IF($A247="","",_xll.BDP($A247&amp;" Corp","INDUSTRY_SECTOR"))</f>
        <v/>
      </c>
      <c r="I247" s="101">
        <f>IF($A247="","",IFERROR(_xll.BDP($A247&amp;" Corp","MIN_PIECE")/1000,""))</f>
        <v/>
      </c>
      <c r="J247" s="31">
        <f>IF($A247="","",_xll.BDP($A247&amp;" Corp","PX_LAST"))</f>
        <v/>
      </c>
      <c r="K247" s="31">
        <f>IF($A247="","",_xll.BDP($A247&amp;" Corp","YAS_BOND_YLD","YAS_YLD_FLAG=15"))</f>
        <v/>
      </c>
      <c r="L247" s="31">
        <f>IF($A247="","",K247-_xll.BDP($A247&amp;" Corp","YAS_BOND_YLD","YAS_YLD_FLAG=15","SETTLE_DT",Company_desc!$A$1))</f>
        <v/>
      </c>
      <c r="M247" s="31">
        <f>IF($A247="","",K247-_xll.BDP($A247&amp;" Corp","YAS_BOND_YLD","YAS_YLD_FLAG=15","SETTLE_DT",Company_desc!$A$2))</f>
        <v/>
      </c>
      <c r="N247" s="79">
        <f>IF($A247="","",_xll.BDP($A247&amp;" Corp","YAS_OAS_SPRD"))</f>
        <v/>
      </c>
      <c r="O247" s="67">
        <f>IF($A247="","",_xll.BDP($A247&amp;" Corp","YAS_MOD_DUR"))</f>
        <v/>
      </c>
      <c r="P247" s="80">
        <f>IF($A247="","",IFERROR(INDEX(Sheet1!$P:$P,MATCH($A247,Sheet1!$A:$A,0)),""))</f>
        <v/>
      </c>
      <c r="Q247" s="75">
        <f>IF($A247="","",IFERROR(INDEX(Company_desc!$C:$C,MATCH($A247,Company_desc!$A:$A,0)),IFERROR(INDEX(Sheet1!$Q:$Q,MATCH($A247,Sheet1!$A:$A,0)),"")))</f>
        <v/>
      </c>
      <c r="R247" s="75">
        <f>IF($A247="","",_xll.BDP($A247&amp;" Corp","CRNCY"))</f>
        <v/>
      </c>
      <c r="S247" s="75">
        <f>IF($A247="","",IFERROR(INDEX(Sheet1!$S:$S,MATCH($A247,Sheet1!$A:$A,0)),""))</f>
        <v/>
      </c>
      <c r="T247" s="75">
        <f>IF($A247="","",IFERROR(INDEX(Sheet1!$T:$T,MATCH($A247,Sheet1!$A:$A,0)),_xll.BDP($A247&amp;" Corp","RTG_SP")))</f>
        <v/>
      </c>
      <c r="U247" s="75">
        <f>IF($A247="","",IFERROR(INDEX(Sheet1!$U:$U,MATCH($A247,Sheet1!$A:$A,0)),""))</f>
        <v/>
      </c>
      <c r="W247" s="81">
        <f>IF($A247="","",N247-_xll.BDP($A247&amp;" Corp","YAS_OAS_SPRD","SETTLE_DT",Company_desc!$A$1))</f>
        <v/>
      </c>
      <c r="X247" s="81">
        <f>IF($A247="","",N247-_xll.BDP($A247&amp;" Corp","YAS_OAS_SPRD","SETTLE_DT",Company_desc!$A$2))</f>
        <v/>
      </c>
      <c r="Y247" s="80">
        <f>IF($A247="","",N247-_xll.BDP($A247&amp;" Corp","YAS_OAS_SPRD","SETTLE_DT",Company_desc!$D$1))</f>
        <v/>
      </c>
      <c r="Z247" s="82">
        <f>IF($A247="","",K247-_xll.BDP($A247&amp;" Corp","YAS_BOND_YLD","YAS_YLD_FLAG=15","SETTLE_DT",Company_desc!$D$1))</f>
        <v/>
      </c>
      <c r="AA247" s="80">
        <f>IF($A247="","",_xll.BDP($A247&amp;" Corp","YAS_OAS_SPRD","SETTLE_DT",Company_desc!$D$1))</f>
        <v/>
      </c>
    </row>
    <row r="248">
      <c r="B248" s="75">
        <f>IF($A248="","",IFERROR(INDEX(Sheet1!$B:$B,MATCH($A248,Sheet1!$A:$A,0)),""))</f>
        <v/>
      </c>
      <c r="C248" s="75">
        <f>IF($A248="","",PROPER(_xll.BDP($A248&amp;" Corp","NAME")))</f>
        <v/>
      </c>
      <c r="D248" s="76">
        <f>IF($A248="","",_xll.BDP($A248&amp;" Corp","CPN"))</f>
        <v/>
      </c>
      <c r="E248" s="75">
        <f>IF($A248="","",_xll.BDP($A248&amp;" Corp","PAYMENT_RANK"))</f>
        <v/>
      </c>
      <c r="F248" s="100">
        <f>IF($A248="","",_xll.BDP($A248&amp;" Corp","MATURITY"))</f>
        <v/>
      </c>
      <c r="G248" s="75">
        <f>IF($A248="","",PROPER(_xll.BDP($A248&amp;" Corp","COUNTRY_FULL_NAME")))</f>
        <v/>
      </c>
      <c r="H248" s="75">
        <f>IF($A248="","",_xll.BDP($A248&amp;" Corp","INDUSTRY_SECTOR"))</f>
        <v/>
      </c>
      <c r="I248" s="101">
        <f>IF($A248="","",IFERROR(_xll.BDP($A248&amp;" Corp","MIN_PIECE")/1000,""))</f>
        <v/>
      </c>
      <c r="J248" s="31">
        <f>IF($A248="","",_xll.BDP($A248&amp;" Corp","PX_LAST"))</f>
        <v/>
      </c>
      <c r="K248" s="31">
        <f>IF($A248="","",_xll.BDP($A248&amp;" Corp","YAS_BOND_YLD","YAS_YLD_FLAG=15"))</f>
        <v/>
      </c>
      <c r="L248" s="31">
        <f>IF($A248="","",K248-_xll.BDP($A248&amp;" Corp","YAS_BOND_YLD","YAS_YLD_FLAG=15","SETTLE_DT",Company_desc!$A$1))</f>
        <v/>
      </c>
      <c r="M248" s="31">
        <f>IF($A248="","",K248-_xll.BDP($A248&amp;" Corp","YAS_BOND_YLD","YAS_YLD_FLAG=15","SETTLE_DT",Company_desc!$A$2))</f>
        <v/>
      </c>
      <c r="N248" s="79">
        <f>IF($A248="","",_xll.BDP($A248&amp;" Corp","YAS_OAS_SPRD"))</f>
        <v/>
      </c>
      <c r="O248" s="67">
        <f>IF($A248="","",_xll.BDP($A248&amp;" Corp","YAS_MOD_DUR"))</f>
        <v/>
      </c>
      <c r="P248" s="80">
        <f>IF($A248="","",IFERROR(INDEX(Sheet1!$P:$P,MATCH($A248,Sheet1!$A:$A,0)),""))</f>
        <v/>
      </c>
      <c r="Q248" s="75">
        <f>IF($A248="","",IFERROR(INDEX(Company_desc!$C:$C,MATCH($A248,Company_desc!$A:$A,0)),IFERROR(INDEX(Sheet1!$Q:$Q,MATCH($A248,Sheet1!$A:$A,0)),"")))</f>
        <v/>
      </c>
      <c r="R248" s="75">
        <f>IF($A248="","",_xll.BDP($A248&amp;" Corp","CRNCY"))</f>
        <v/>
      </c>
      <c r="S248" s="75">
        <f>IF($A248="","",IFERROR(INDEX(Sheet1!$S:$S,MATCH($A248,Sheet1!$A:$A,0)),""))</f>
        <v/>
      </c>
      <c r="T248" s="75">
        <f>IF($A248="","",IFERROR(INDEX(Sheet1!$T:$T,MATCH($A248,Sheet1!$A:$A,0)),_xll.BDP($A248&amp;" Corp","RTG_SP")))</f>
        <v/>
      </c>
      <c r="U248" s="75">
        <f>IF($A248="","",IFERROR(INDEX(Sheet1!$U:$U,MATCH($A248,Sheet1!$A:$A,0)),""))</f>
        <v/>
      </c>
      <c r="W248" s="81">
        <f>IF($A248="","",N248-_xll.BDP($A248&amp;" Corp","YAS_OAS_SPRD","SETTLE_DT",Company_desc!$A$1))</f>
        <v/>
      </c>
      <c r="X248" s="81">
        <f>IF($A248="","",N248-_xll.BDP($A248&amp;" Corp","YAS_OAS_SPRD","SETTLE_DT",Company_desc!$A$2))</f>
        <v/>
      </c>
      <c r="Y248" s="80">
        <f>IF($A248="","",N248-_xll.BDP($A248&amp;" Corp","YAS_OAS_SPRD","SETTLE_DT",Company_desc!$D$1))</f>
        <v/>
      </c>
      <c r="Z248" s="82">
        <f>IF($A248="","",K248-_xll.BDP($A248&amp;" Corp","YAS_BOND_YLD","YAS_YLD_FLAG=15","SETTLE_DT",Company_desc!$D$1))</f>
        <v/>
      </c>
      <c r="AA248" s="80">
        <f>IF($A248="","",_xll.BDP($A248&amp;" Corp","YAS_OAS_SPRD","SETTLE_DT",Company_desc!$D$1))</f>
        <v/>
      </c>
    </row>
    <row r="249">
      <c r="B249" s="75">
        <f>IF($A249="","",IFERROR(INDEX(Sheet1!$B:$B,MATCH($A249,Sheet1!$A:$A,0)),""))</f>
        <v/>
      </c>
      <c r="C249" s="75">
        <f>IF($A249="","",PROPER(_xll.BDP($A249&amp;" Corp","NAME")))</f>
        <v/>
      </c>
      <c r="D249" s="76">
        <f>IF($A249="","",_xll.BDP($A249&amp;" Corp","CPN"))</f>
        <v/>
      </c>
      <c r="E249" s="75">
        <f>IF($A249="","",_xll.BDP($A249&amp;" Corp","PAYMENT_RANK"))</f>
        <v/>
      </c>
      <c r="F249" s="100">
        <f>IF($A249="","",_xll.BDP($A249&amp;" Corp","MATURITY"))</f>
        <v/>
      </c>
      <c r="G249" s="75">
        <f>IF($A249="","",PROPER(_xll.BDP($A249&amp;" Corp","COUNTRY_FULL_NAME")))</f>
        <v/>
      </c>
      <c r="H249" s="75">
        <f>IF($A249="","",_xll.BDP($A249&amp;" Corp","INDUSTRY_SECTOR"))</f>
        <v/>
      </c>
      <c r="I249" s="101">
        <f>IF($A249="","",IFERROR(_xll.BDP($A249&amp;" Corp","MIN_PIECE")/1000,""))</f>
        <v/>
      </c>
      <c r="J249" s="31">
        <f>IF($A249="","",_xll.BDP($A249&amp;" Corp","PX_LAST"))</f>
        <v/>
      </c>
      <c r="K249" s="31">
        <f>IF($A249="","",_xll.BDP($A249&amp;" Corp","YAS_BOND_YLD","YAS_YLD_FLAG=15"))</f>
        <v/>
      </c>
      <c r="L249" s="31">
        <f>IF($A249="","",K249-_xll.BDP($A249&amp;" Corp","YAS_BOND_YLD","YAS_YLD_FLAG=15","SETTLE_DT",Company_desc!$A$1))</f>
        <v/>
      </c>
      <c r="M249" s="31">
        <f>IF($A249="","",K249-_xll.BDP($A249&amp;" Corp","YAS_BOND_YLD","YAS_YLD_FLAG=15","SETTLE_DT",Company_desc!$A$2))</f>
        <v/>
      </c>
      <c r="N249" s="79">
        <f>IF($A249="","",_xll.BDP($A249&amp;" Corp","YAS_OAS_SPRD"))</f>
        <v/>
      </c>
      <c r="O249" s="67">
        <f>IF($A249="","",_xll.BDP($A249&amp;" Corp","YAS_MOD_DUR"))</f>
        <v/>
      </c>
      <c r="P249" s="80">
        <f>IF($A249="","",IFERROR(INDEX(Sheet1!$P:$P,MATCH($A249,Sheet1!$A:$A,0)),""))</f>
        <v/>
      </c>
      <c r="Q249" s="75">
        <f>IF($A249="","",IFERROR(INDEX(Company_desc!$C:$C,MATCH($A249,Company_desc!$A:$A,0)),IFERROR(INDEX(Sheet1!$Q:$Q,MATCH($A249,Sheet1!$A:$A,0)),"")))</f>
        <v/>
      </c>
      <c r="R249" s="75">
        <f>IF($A249="","",_xll.BDP($A249&amp;" Corp","CRNCY"))</f>
        <v/>
      </c>
      <c r="S249" s="75">
        <f>IF($A249="","",IFERROR(INDEX(Sheet1!$S:$S,MATCH($A249,Sheet1!$A:$A,0)),""))</f>
        <v/>
      </c>
      <c r="T249" s="75">
        <f>IF($A249="","",IFERROR(INDEX(Sheet1!$T:$T,MATCH($A249,Sheet1!$A:$A,0)),_xll.BDP($A249&amp;" Corp","RTG_SP")))</f>
        <v/>
      </c>
      <c r="U249" s="75">
        <f>IF($A249="","",IFERROR(INDEX(Sheet1!$U:$U,MATCH($A249,Sheet1!$A:$A,0)),""))</f>
        <v/>
      </c>
      <c r="W249" s="81">
        <f>IF($A249="","",N249-_xll.BDP($A249&amp;" Corp","YAS_OAS_SPRD","SETTLE_DT",Company_desc!$A$1))</f>
        <v/>
      </c>
      <c r="X249" s="81">
        <f>IF($A249="","",N249-_xll.BDP($A249&amp;" Corp","YAS_OAS_SPRD","SETTLE_DT",Company_desc!$A$2))</f>
        <v/>
      </c>
      <c r="Y249" s="80">
        <f>IF($A249="","",N249-_xll.BDP($A249&amp;" Corp","YAS_OAS_SPRD","SETTLE_DT",Company_desc!$D$1))</f>
        <v/>
      </c>
      <c r="Z249" s="82">
        <f>IF($A249="","",K249-_xll.BDP($A249&amp;" Corp","YAS_BOND_YLD","YAS_YLD_FLAG=15","SETTLE_DT",Company_desc!$D$1))</f>
        <v/>
      </c>
      <c r="AA249" s="80">
        <f>IF($A249="","",_xll.BDP($A249&amp;" Corp","YAS_OAS_SPRD","SETTLE_DT",Company_desc!$D$1))</f>
        <v/>
      </c>
    </row>
    <row r="250">
      <c r="B250" s="75">
        <f>IF($A250="","",IFERROR(INDEX(Sheet1!$B:$B,MATCH($A250,Sheet1!$A:$A,0)),""))</f>
        <v/>
      </c>
      <c r="C250" s="75">
        <f>IF($A250="","",PROPER(_xll.BDP($A250&amp;" Corp","NAME")))</f>
        <v/>
      </c>
      <c r="D250" s="76">
        <f>IF($A250="","",_xll.BDP($A250&amp;" Corp","CPN"))</f>
        <v/>
      </c>
      <c r="E250" s="75">
        <f>IF($A250="","",_xll.BDP($A250&amp;" Corp","PAYMENT_RANK"))</f>
        <v/>
      </c>
      <c r="F250" s="100">
        <f>IF($A250="","",_xll.BDP($A250&amp;" Corp","MATURITY"))</f>
        <v/>
      </c>
      <c r="G250" s="75">
        <f>IF($A250="","",PROPER(_xll.BDP($A250&amp;" Corp","COUNTRY_FULL_NAME")))</f>
        <v/>
      </c>
      <c r="H250" s="75">
        <f>IF($A250="","",_xll.BDP($A250&amp;" Corp","INDUSTRY_SECTOR"))</f>
        <v/>
      </c>
      <c r="I250" s="101">
        <f>IF($A250="","",IFERROR(_xll.BDP($A250&amp;" Corp","MIN_PIECE")/1000,""))</f>
        <v/>
      </c>
      <c r="J250" s="31">
        <f>IF($A250="","",_xll.BDP($A250&amp;" Corp","PX_LAST"))</f>
        <v/>
      </c>
      <c r="K250" s="31">
        <f>IF($A250="","",_xll.BDP($A250&amp;" Corp","YAS_BOND_YLD","YAS_YLD_FLAG=15"))</f>
        <v/>
      </c>
      <c r="L250" s="31">
        <f>IF($A250="","",K250-_xll.BDP($A250&amp;" Corp","YAS_BOND_YLD","YAS_YLD_FLAG=15","SETTLE_DT",Company_desc!$A$1))</f>
        <v/>
      </c>
      <c r="M250" s="31">
        <f>IF($A250="","",K250-_xll.BDP($A250&amp;" Corp","YAS_BOND_YLD","YAS_YLD_FLAG=15","SETTLE_DT",Company_desc!$A$2))</f>
        <v/>
      </c>
      <c r="N250" s="79">
        <f>IF($A250="","",_xll.BDP($A250&amp;" Corp","YAS_OAS_SPRD"))</f>
        <v/>
      </c>
      <c r="O250" s="67">
        <f>IF($A250="","",_xll.BDP($A250&amp;" Corp","YAS_MOD_DUR"))</f>
        <v/>
      </c>
      <c r="P250" s="80">
        <f>IF($A250="","",IFERROR(INDEX(Sheet1!$P:$P,MATCH($A250,Sheet1!$A:$A,0)),""))</f>
        <v/>
      </c>
      <c r="Q250" s="75">
        <f>IF($A250="","",IFERROR(INDEX(Company_desc!$C:$C,MATCH($A250,Company_desc!$A:$A,0)),IFERROR(INDEX(Sheet1!$Q:$Q,MATCH($A250,Sheet1!$A:$A,0)),"")))</f>
        <v/>
      </c>
      <c r="R250" s="75">
        <f>IF($A250="","",_xll.BDP($A250&amp;" Corp","CRNCY"))</f>
        <v/>
      </c>
      <c r="S250" s="75">
        <f>IF($A250="","",IFERROR(INDEX(Sheet1!$S:$S,MATCH($A250,Sheet1!$A:$A,0)),""))</f>
        <v/>
      </c>
      <c r="T250" s="75">
        <f>IF($A250="","",IFERROR(INDEX(Sheet1!$T:$T,MATCH($A250,Sheet1!$A:$A,0)),_xll.BDP($A250&amp;" Corp","RTG_SP")))</f>
        <v/>
      </c>
      <c r="U250" s="75">
        <f>IF($A250="","",IFERROR(INDEX(Sheet1!$U:$U,MATCH($A250,Sheet1!$A:$A,0)),""))</f>
        <v/>
      </c>
      <c r="W250" s="81">
        <f>IF($A250="","",N250-_xll.BDP($A250&amp;" Corp","YAS_OAS_SPRD","SETTLE_DT",Company_desc!$A$1))</f>
        <v/>
      </c>
      <c r="X250" s="81">
        <f>IF($A250="","",N250-_xll.BDP($A250&amp;" Corp","YAS_OAS_SPRD","SETTLE_DT",Company_desc!$A$2))</f>
        <v/>
      </c>
      <c r="Y250" s="80">
        <f>IF($A250="","",N250-_xll.BDP($A250&amp;" Corp","YAS_OAS_SPRD","SETTLE_DT",Company_desc!$D$1))</f>
        <v/>
      </c>
      <c r="Z250" s="82">
        <f>IF($A250="","",K250-_xll.BDP($A250&amp;" Corp","YAS_BOND_YLD","YAS_YLD_FLAG=15","SETTLE_DT",Company_desc!$D$1))</f>
        <v/>
      </c>
      <c r="AA250" s="80">
        <f>IF($A250="","",_xll.BDP($A250&amp;" Corp","YAS_OAS_SPRD","SETTLE_DT",Company_desc!$D$1))</f>
        <v/>
      </c>
    </row>
    <row r="251">
      <c r="B251" s="75">
        <f>IF($A251="","",IFERROR(INDEX(Sheet1!$B:$B,MATCH($A251,Sheet1!$A:$A,0)),""))</f>
        <v/>
      </c>
      <c r="C251" s="75">
        <f>IF($A251="","",PROPER(_xll.BDP($A251&amp;" Corp","NAME")))</f>
        <v/>
      </c>
      <c r="D251" s="76">
        <f>IF($A251="","",_xll.BDP($A251&amp;" Corp","CPN"))</f>
        <v/>
      </c>
      <c r="E251" s="75">
        <f>IF($A251="","",_xll.BDP($A251&amp;" Corp","PAYMENT_RANK"))</f>
        <v/>
      </c>
      <c r="F251" s="100">
        <f>IF($A251="","",_xll.BDP($A251&amp;" Corp","MATURITY"))</f>
        <v/>
      </c>
      <c r="G251" s="75">
        <f>IF($A251="","",PROPER(_xll.BDP($A251&amp;" Corp","COUNTRY_FULL_NAME")))</f>
        <v/>
      </c>
      <c r="H251" s="75">
        <f>IF($A251="","",_xll.BDP($A251&amp;" Corp","INDUSTRY_SECTOR"))</f>
        <v/>
      </c>
      <c r="I251" s="101">
        <f>IF($A251="","",IFERROR(_xll.BDP($A251&amp;" Corp","MIN_PIECE")/1000,""))</f>
        <v/>
      </c>
      <c r="J251" s="31">
        <f>IF($A251="","",_xll.BDP($A251&amp;" Corp","PX_LAST"))</f>
        <v/>
      </c>
      <c r="K251" s="31">
        <f>IF($A251="","",_xll.BDP($A251&amp;" Corp","YAS_BOND_YLD","YAS_YLD_FLAG=15"))</f>
        <v/>
      </c>
      <c r="L251" s="31">
        <f>IF($A251="","",K251-_xll.BDP($A251&amp;" Corp","YAS_BOND_YLD","YAS_YLD_FLAG=15","SETTLE_DT",Company_desc!$A$1))</f>
        <v/>
      </c>
      <c r="M251" s="31">
        <f>IF($A251="","",K251-_xll.BDP($A251&amp;" Corp","YAS_BOND_YLD","YAS_YLD_FLAG=15","SETTLE_DT",Company_desc!$A$2))</f>
        <v/>
      </c>
      <c r="N251" s="79">
        <f>IF($A251="","",_xll.BDP($A251&amp;" Corp","YAS_OAS_SPRD"))</f>
        <v/>
      </c>
      <c r="O251" s="67">
        <f>IF($A251="","",_xll.BDP($A251&amp;" Corp","YAS_MOD_DUR"))</f>
        <v/>
      </c>
      <c r="P251" s="80">
        <f>IF($A251="","",IFERROR(INDEX(Sheet1!$P:$P,MATCH($A251,Sheet1!$A:$A,0)),""))</f>
        <v/>
      </c>
      <c r="Q251" s="75">
        <f>IF($A251="","",IFERROR(INDEX(Company_desc!$C:$C,MATCH($A251,Company_desc!$A:$A,0)),IFERROR(INDEX(Sheet1!$Q:$Q,MATCH($A251,Sheet1!$A:$A,0)),"")))</f>
        <v/>
      </c>
      <c r="R251" s="75">
        <f>IF($A251="","",_xll.BDP($A251&amp;" Corp","CRNCY"))</f>
        <v/>
      </c>
      <c r="S251" s="75">
        <f>IF($A251="","",IFERROR(INDEX(Sheet1!$S:$S,MATCH($A251,Sheet1!$A:$A,0)),""))</f>
        <v/>
      </c>
      <c r="T251" s="75">
        <f>IF($A251="","",IFERROR(INDEX(Sheet1!$T:$T,MATCH($A251,Sheet1!$A:$A,0)),_xll.BDP($A251&amp;" Corp","RTG_SP")))</f>
        <v/>
      </c>
      <c r="U251" s="75">
        <f>IF($A251="","",IFERROR(INDEX(Sheet1!$U:$U,MATCH($A251,Sheet1!$A:$A,0)),""))</f>
        <v/>
      </c>
      <c r="W251" s="81">
        <f>IF($A251="","",N251-_xll.BDP($A251&amp;" Corp","YAS_OAS_SPRD","SETTLE_DT",Company_desc!$A$1))</f>
        <v/>
      </c>
      <c r="X251" s="81">
        <f>IF($A251="","",N251-_xll.BDP($A251&amp;" Corp","YAS_OAS_SPRD","SETTLE_DT",Company_desc!$A$2))</f>
        <v/>
      </c>
      <c r="Y251" s="80">
        <f>IF($A251="","",N251-_xll.BDP($A251&amp;" Corp","YAS_OAS_SPRD","SETTLE_DT",Company_desc!$D$1))</f>
        <v/>
      </c>
      <c r="Z251" s="82">
        <f>IF($A251="","",K251-_xll.BDP($A251&amp;" Corp","YAS_BOND_YLD","YAS_YLD_FLAG=15","SETTLE_DT",Company_desc!$D$1))</f>
        <v/>
      </c>
      <c r="AA251" s="80">
        <f>IF($A251="","",_xll.BDP($A251&amp;" Corp","YAS_OAS_SPRD","SETTLE_DT",Company_desc!$D$1))</f>
        <v/>
      </c>
    </row>
    <row r="252">
      <c r="B252" s="75">
        <f>IF($A252="","",IFERROR(INDEX(Sheet1!$B:$B,MATCH($A252,Sheet1!$A:$A,0)),""))</f>
        <v/>
      </c>
      <c r="C252" s="75">
        <f>IF($A252="","",PROPER(_xll.BDP($A252&amp;" Corp","NAME")))</f>
        <v/>
      </c>
      <c r="D252" s="76">
        <f>IF($A252="","",_xll.BDP($A252&amp;" Corp","CPN"))</f>
        <v/>
      </c>
      <c r="E252" s="75">
        <f>IF($A252="","",_xll.BDP($A252&amp;" Corp","PAYMENT_RANK"))</f>
        <v/>
      </c>
      <c r="F252" s="100">
        <f>IF($A252="","",_xll.BDP($A252&amp;" Corp","MATURITY"))</f>
        <v/>
      </c>
      <c r="G252" s="75">
        <f>IF($A252="","",PROPER(_xll.BDP($A252&amp;" Corp","COUNTRY_FULL_NAME")))</f>
        <v/>
      </c>
      <c r="H252" s="75">
        <f>IF($A252="","",_xll.BDP($A252&amp;" Corp","INDUSTRY_SECTOR"))</f>
        <v/>
      </c>
      <c r="I252" s="101">
        <f>IF($A252="","",IFERROR(_xll.BDP($A252&amp;" Corp","MIN_PIECE")/1000,""))</f>
        <v/>
      </c>
      <c r="J252" s="31">
        <f>IF($A252="","",_xll.BDP($A252&amp;" Corp","PX_LAST"))</f>
        <v/>
      </c>
      <c r="K252" s="31">
        <f>IF($A252="","",_xll.BDP($A252&amp;" Corp","YAS_BOND_YLD","YAS_YLD_FLAG=15"))</f>
        <v/>
      </c>
      <c r="L252" s="31">
        <f>IF($A252="","",K252-_xll.BDP($A252&amp;" Corp","YAS_BOND_YLD","YAS_YLD_FLAG=15","SETTLE_DT",Company_desc!$A$1))</f>
        <v/>
      </c>
      <c r="M252" s="31">
        <f>IF($A252="","",K252-_xll.BDP($A252&amp;" Corp","YAS_BOND_YLD","YAS_YLD_FLAG=15","SETTLE_DT",Company_desc!$A$2))</f>
        <v/>
      </c>
      <c r="N252" s="79">
        <f>IF($A252="","",_xll.BDP($A252&amp;" Corp","YAS_OAS_SPRD"))</f>
        <v/>
      </c>
      <c r="O252" s="67">
        <f>IF($A252="","",_xll.BDP($A252&amp;" Corp","YAS_MOD_DUR"))</f>
        <v/>
      </c>
      <c r="P252" s="80">
        <f>IF($A252="","",IFERROR(INDEX(Sheet1!$P:$P,MATCH($A252,Sheet1!$A:$A,0)),""))</f>
        <v/>
      </c>
      <c r="Q252" s="75">
        <f>IF($A252="","",IFERROR(INDEX(Company_desc!$C:$C,MATCH($A252,Company_desc!$A:$A,0)),IFERROR(INDEX(Sheet1!$Q:$Q,MATCH($A252,Sheet1!$A:$A,0)),"")))</f>
        <v/>
      </c>
      <c r="R252" s="75">
        <f>IF($A252="","",_xll.BDP($A252&amp;" Corp","CRNCY"))</f>
        <v/>
      </c>
      <c r="S252" s="75">
        <f>IF($A252="","",IFERROR(INDEX(Sheet1!$S:$S,MATCH($A252,Sheet1!$A:$A,0)),""))</f>
        <v/>
      </c>
      <c r="T252" s="75">
        <f>IF($A252="","",IFERROR(INDEX(Sheet1!$T:$T,MATCH($A252,Sheet1!$A:$A,0)),_xll.BDP($A252&amp;" Corp","RTG_SP")))</f>
        <v/>
      </c>
      <c r="U252" s="75">
        <f>IF($A252="","",IFERROR(INDEX(Sheet1!$U:$U,MATCH($A252,Sheet1!$A:$A,0)),""))</f>
        <v/>
      </c>
      <c r="W252" s="81">
        <f>IF($A252="","",N252-_xll.BDP($A252&amp;" Corp","YAS_OAS_SPRD","SETTLE_DT",Company_desc!$A$1))</f>
        <v/>
      </c>
      <c r="X252" s="81">
        <f>IF($A252="","",N252-_xll.BDP($A252&amp;" Corp","YAS_OAS_SPRD","SETTLE_DT",Company_desc!$A$2))</f>
        <v/>
      </c>
      <c r="Y252" s="80">
        <f>IF($A252="","",N252-_xll.BDP($A252&amp;" Corp","YAS_OAS_SPRD","SETTLE_DT",Company_desc!$D$1))</f>
        <v/>
      </c>
      <c r="Z252" s="82">
        <f>IF($A252="","",K252-_xll.BDP($A252&amp;" Corp","YAS_BOND_YLD","YAS_YLD_FLAG=15","SETTLE_DT",Company_desc!$D$1))</f>
        <v/>
      </c>
      <c r="AA252" s="80">
        <f>IF($A252="","",_xll.BDP($A252&amp;" Corp","YAS_OAS_SPRD","SETTLE_DT",Company_desc!$D$1))</f>
        <v/>
      </c>
    </row>
    <row r="253">
      <c r="B253" s="75">
        <f>IF($A253="","",IFERROR(INDEX(Sheet1!$B:$B,MATCH($A253,Sheet1!$A:$A,0)),""))</f>
        <v/>
      </c>
      <c r="C253" s="75">
        <f>IF($A253="","",PROPER(_xll.BDP($A253&amp;" Corp","NAME")))</f>
        <v/>
      </c>
      <c r="D253" s="76">
        <f>IF($A253="","",_xll.BDP($A253&amp;" Corp","CPN"))</f>
        <v/>
      </c>
      <c r="E253" s="75">
        <f>IF($A253="","",_xll.BDP($A253&amp;" Corp","PAYMENT_RANK"))</f>
        <v/>
      </c>
      <c r="F253" s="100">
        <f>IF($A253="","",_xll.BDP($A253&amp;" Corp","MATURITY"))</f>
        <v/>
      </c>
      <c r="G253" s="75">
        <f>IF($A253="","",PROPER(_xll.BDP($A253&amp;" Corp","COUNTRY_FULL_NAME")))</f>
        <v/>
      </c>
      <c r="H253" s="75">
        <f>IF($A253="","",_xll.BDP($A253&amp;" Corp","INDUSTRY_SECTOR"))</f>
        <v/>
      </c>
      <c r="I253" s="101">
        <f>IF($A253="","",IFERROR(_xll.BDP($A253&amp;" Corp","MIN_PIECE")/1000,""))</f>
        <v/>
      </c>
      <c r="J253" s="31">
        <f>IF($A253="","",_xll.BDP($A253&amp;" Corp","PX_LAST"))</f>
        <v/>
      </c>
      <c r="K253" s="31">
        <f>IF($A253="","",_xll.BDP($A253&amp;" Corp","YAS_BOND_YLD","YAS_YLD_FLAG=15"))</f>
        <v/>
      </c>
      <c r="L253" s="31">
        <f>IF($A253="","",K253-_xll.BDP($A253&amp;" Corp","YAS_BOND_YLD","YAS_YLD_FLAG=15","SETTLE_DT",Company_desc!$A$1))</f>
        <v/>
      </c>
      <c r="M253" s="31">
        <f>IF($A253="","",K253-_xll.BDP($A253&amp;" Corp","YAS_BOND_YLD","YAS_YLD_FLAG=15","SETTLE_DT",Company_desc!$A$2))</f>
        <v/>
      </c>
      <c r="N253" s="79">
        <f>IF($A253="","",_xll.BDP($A253&amp;" Corp","YAS_OAS_SPRD"))</f>
        <v/>
      </c>
      <c r="O253" s="67">
        <f>IF($A253="","",_xll.BDP($A253&amp;" Corp","YAS_MOD_DUR"))</f>
        <v/>
      </c>
      <c r="P253" s="80">
        <f>IF($A253="","",IFERROR(INDEX(Sheet1!$P:$P,MATCH($A253,Sheet1!$A:$A,0)),""))</f>
        <v/>
      </c>
      <c r="Q253" s="75">
        <f>IF($A253="","",IFERROR(INDEX(Company_desc!$C:$C,MATCH($A253,Company_desc!$A:$A,0)),IFERROR(INDEX(Sheet1!$Q:$Q,MATCH($A253,Sheet1!$A:$A,0)),"")))</f>
        <v/>
      </c>
      <c r="R253" s="75">
        <f>IF($A253="","",_xll.BDP($A253&amp;" Corp","CRNCY"))</f>
        <v/>
      </c>
      <c r="S253" s="75">
        <f>IF($A253="","",IFERROR(INDEX(Sheet1!$S:$S,MATCH($A253,Sheet1!$A:$A,0)),""))</f>
        <v/>
      </c>
      <c r="T253" s="75">
        <f>IF($A253="","",IFERROR(INDEX(Sheet1!$T:$T,MATCH($A253,Sheet1!$A:$A,0)),_xll.BDP($A253&amp;" Corp","RTG_SP")))</f>
        <v/>
      </c>
      <c r="U253" s="75">
        <f>IF($A253="","",IFERROR(INDEX(Sheet1!$U:$U,MATCH($A253,Sheet1!$A:$A,0)),""))</f>
        <v/>
      </c>
      <c r="W253" s="81">
        <f>IF($A253="","",N253-_xll.BDP($A253&amp;" Corp","YAS_OAS_SPRD","SETTLE_DT",Company_desc!$A$1))</f>
        <v/>
      </c>
      <c r="X253" s="81">
        <f>IF($A253="","",N253-_xll.BDP($A253&amp;" Corp","YAS_OAS_SPRD","SETTLE_DT",Company_desc!$A$2))</f>
        <v/>
      </c>
      <c r="Y253" s="80">
        <f>IF($A253="","",N253-_xll.BDP($A253&amp;" Corp","YAS_OAS_SPRD","SETTLE_DT",Company_desc!$D$1))</f>
        <v/>
      </c>
      <c r="Z253" s="82">
        <f>IF($A253="","",K253-_xll.BDP($A253&amp;" Corp","YAS_BOND_YLD","YAS_YLD_FLAG=15","SETTLE_DT",Company_desc!$D$1))</f>
        <v/>
      </c>
      <c r="AA253" s="80">
        <f>IF($A253="","",_xll.BDP($A253&amp;" Corp","YAS_OAS_SPRD","SETTLE_DT",Company_desc!$D$1))</f>
        <v/>
      </c>
    </row>
    <row r="254">
      <c r="B254" s="75">
        <f>IF($A254="","",IFERROR(INDEX(Sheet1!$B:$B,MATCH($A254,Sheet1!$A:$A,0)),""))</f>
        <v/>
      </c>
      <c r="C254" s="75">
        <f>IF($A254="","",PROPER(_xll.BDP($A254&amp;" Corp","NAME")))</f>
        <v/>
      </c>
      <c r="D254" s="76">
        <f>IF($A254="","",_xll.BDP($A254&amp;" Corp","CPN"))</f>
        <v/>
      </c>
      <c r="E254" s="75">
        <f>IF($A254="","",_xll.BDP($A254&amp;" Corp","PAYMENT_RANK"))</f>
        <v/>
      </c>
      <c r="F254" s="100">
        <f>IF($A254="","",_xll.BDP($A254&amp;" Corp","MATURITY"))</f>
        <v/>
      </c>
      <c r="G254" s="75">
        <f>IF($A254="","",PROPER(_xll.BDP($A254&amp;" Corp","COUNTRY_FULL_NAME")))</f>
        <v/>
      </c>
      <c r="H254" s="75">
        <f>IF($A254="","",_xll.BDP($A254&amp;" Corp","INDUSTRY_SECTOR"))</f>
        <v/>
      </c>
      <c r="I254" s="101">
        <f>IF($A254="","",IFERROR(_xll.BDP($A254&amp;" Corp","MIN_PIECE")/1000,""))</f>
        <v/>
      </c>
      <c r="J254" s="31">
        <f>IF($A254="","",_xll.BDP($A254&amp;" Corp","PX_LAST"))</f>
        <v/>
      </c>
      <c r="K254" s="31">
        <f>IF($A254="","",_xll.BDP($A254&amp;" Corp","YAS_BOND_YLD","YAS_YLD_FLAG=15"))</f>
        <v/>
      </c>
      <c r="L254" s="31">
        <f>IF($A254="","",K254-_xll.BDP($A254&amp;" Corp","YAS_BOND_YLD","YAS_YLD_FLAG=15","SETTLE_DT",Company_desc!$A$1))</f>
        <v/>
      </c>
      <c r="M254" s="31">
        <f>IF($A254="","",K254-_xll.BDP($A254&amp;" Corp","YAS_BOND_YLD","YAS_YLD_FLAG=15","SETTLE_DT",Company_desc!$A$2))</f>
        <v/>
      </c>
      <c r="N254" s="79">
        <f>IF($A254="","",_xll.BDP($A254&amp;" Corp","YAS_OAS_SPRD"))</f>
        <v/>
      </c>
      <c r="O254" s="82">
        <f>IF($A254="","",_xll.BDP($A254&amp;" Corp","YAS_MOD_DUR"))</f>
        <v/>
      </c>
      <c r="P254" s="80">
        <f>IF($A254="","",IFERROR(INDEX(Sheet1!$P:$P,MATCH($A254,Sheet1!$A:$A,0)),""))</f>
        <v/>
      </c>
      <c r="Q254" s="75">
        <f>IF($A254="","",IFERROR(INDEX(Company_desc!$C:$C,MATCH($A254,Company_desc!$A:$A,0)),IFERROR(INDEX(Sheet1!$Q:$Q,MATCH($A254,Sheet1!$A:$A,0)),"")))</f>
        <v/>
      </c>
      <c r="R254" s="75">
        <f>IF($A254="","",_xll.BDP($A254&amp;" Corp","CRNCY"))</f>
        <v/>
      </c>
      <c r="S254" s="75">
        <f>IF($A254="","",IFERROR(INDEX(Sheet1!$S:$S,MATCH($A254,Sheet1!$A:$A,0)),""))</f>
        <v/>
      </c>
      <c r="T254" s="75">
        <f>IF($A254="","",IFERROR(INDEX(Sheet1!$T:$T,MATCH($A254,Sheet1!$A:$A,0)),_xll.BDP($A254&amp;" Corp","RTG_SP")))</f>
        <v/>
      </c>
      <c r="U254" s="75">
        <f>IF($A254="","",IFERROR(INDEX(Sheet1!$U:$U,MATCH($A254,Sheet1!$A:$A,0)),""))</f>
        <v/>
      </c>
      <c r="W254" s="81">
        <f>IF($A254="","",N254-_xll.BDP($A254&amp;" Corp","YAS_OAS_SPRD","SETTLE_DT",Company_desc!$A$1))</f>
        <v/>
      </c>
      <c r="X254" s="81">
        <f>IF($A254="","",N254-_xll.BDP($A254&amp;" Corp","YAS_OAS_SPRD","SETTLE_DT",Company_desc!$A$2))</f>
        <v/>
      </c>
      <c r="Y254" s="80">
        <f>IF($A254="","",N254-_xll.BDP($A254&amp;" Corp","YAS_OAS_SPRD","SETTLE_DT",Company_desc!$D$1))</f>
        <v/>
      </c>
      <c r="Z254" s="82">
        <f>IF($A254="","",K254-_xll.BDP($A254&amp;" Corp","YAS_BOND_YLD","YAS_YLD_FLAG=15","SETTLE_DT",Company_desc!$D$1))</f>
        <v/>
      </c>
      <c r="AA254" s="80">
        <f>IF($A254="","",_xll.BDP($A254&amp;" Corp","YAS_OAS_SPRD","SETTLE_DT",Company_desc!$D$1))</f>
        <v/>
      </c>
    </row>
    <row r="255">
      <c r="B255" s="75">
        <f>IF($A255="","",IFERROR(INDEX(Sheet1!$B:$B,MATCH($A255,Sheet1!$A:$A,0)),""))</f>
        <v/>
      </c>
      <c r="C255" s="75">
        <f>IF($A255="","",PROPER(_xll.BDP($A255&amp;" Corp","NAME")))</f>
        <v/>
      </c>
      <c r="D255" s="76">
        <f>IF($A255="","",_xll.BDP($A255&amp;" Corp","CPN"))</f>
        <v/>
      </c>
      <c r="E255" s="75">
        <f>IF($A255="","",_xll.BDP($A255&amp;" Corp","PAYMENT_RANK"))</f>
        <v/>
      </c>
      <c r="F255" s="100">
        <f>IF($A255="","",_xll.BDP($A255&amp;" Corp","MATURITY"))</f>
        <v/>
      </c>
      <c r="G255" s="75">
        <f>IF($A255="","",PROPER(_xll.BDP($A255&amp;" Corp","COUNTRY_FULL_NAME")))</f>
        <v/>
      </c>
      <c r="H255" s="75">
        <f>IF($A255="","",_xll.BDP($A255&amp;" Corp","INDUSTRY_SECTOR"))</f>
        <v/>
      </c>
      <c r="I255" s="101">
        <f>IF($A255="","",IFERROR(_xll.BDP($A255&amp;" Corp","MIN_PIECE")/1000,""))</f>
        <v/>
      </c>
      <c r="J255" s="31">
        <f>IF($A255="","",_xll.BDP($A255&amp;" Corp","PX_LAST"))</f>
        <v/>
      </c>
      <c r="K255" s="31">
        <f>IF($A255="","",_xll.BDP($A255&amp;" Corp","YAS_BOND_YLD","YAS_YLD_FLAG=15"))</f>
        <v/>
      </c>
      <c r="L255" s="31">
        <f>IF($A255="","",K255-_xll.BDP($A255&amp;" Corp","YAS_BOND_YLD","YAS_YLD_FLAG=15","SETTLE_DT",Company_desc!$A$1))</f>
        <v/>
      </c>
      <c r="M255" s="31">
        <f>IF($A255="","",K255-_xll.BDP($A255&amp;" Corp","YAS_BOND_YLD","YAS_YLD_FLAG=15","SETTLE_DT",Company_desc!$A$2))</f>
        <v/>
      </c>
      <c r="N255" s="79">
        <f>IF($A255="","",_xll.BDP($A255&amp;" Corp","YAS_OAS_SPRD"))</f>
        <v/>
      </c>
      <c r="O255" s="67">
        <f>IF($A255="","",_xll.BDP($A255&amp;" Corp","YAS_MOD_DUR"))</f>
        <v/>
      </c>
      <c r="P255" s="80">
        <f>IF($A255="","",IFERROR(INDEX(Sheet1!$P:$P,MATCH($A255,Sheet1!$A:$A,0)),""))</f>
        <v/>
      </c>
      <c r="Q255" s="75">
        <f>IF($A255="","",IFERROR(INDEX(Company_desc!$C:$C,MATCH($A255,Company_desc!$A:$A,0)),IFERROR(INDEX(Sheet1!$Q:$Q,MATCH($A255,Sheet1!$A:$A,0)),"")))</f>
        <v/>
      </c>
      <c r="R255" s="75">
        <f>IF($A255="","",_xll.BDP($A255&amp;" Corp","CRNCY"))</f>
        <v/>
      </c>
      <c r="S255" s="75">
        <f>IF($A255="","",IFERROR(INDEX(Sheet1!$S:$S,MATCH($A255,Sheet1!$A:$A,0)),""))</f>
        <v/>
      </c>
      <c r="T255" s="75">
        <f>IF($A255="","",IFERROR(INDEX(Sheet1!$T:$T,MATCH($A255,Sheet1!$A:$A,0)),_xll.BDP($A255&amp;" Corp","RTG_SP")))</f>
        <v/>
      </c>
      <c r="U255" s="75">
        <f>IF($A255="","",IFERROR(INDEX(Sheet1!$U:$U,MATCH($A255,Sheet1!$A:$A,0)),""))</f>
        <v/>
      </c>
      <c r="W255" s="81">
        <f>IF($A255="","",N255-_xll.BDP($A255&amp;" Corp","YAS_OAS_SPRD","SETTLE_DT",Company_desc!$A$1))</f>
        <v/>
      </c>
      <c r="X255" s="81">
        <f>IF($A255="","",N255-_xll.BDP($A255&amp;" Corp","YAS_OAS_SPRD","SETTLE_DT",Company_desc!$A$2))</f>
        <v/>
      </c>
      <c r="Y255" s="80">
        <f>IF($A255="","",N255-_xll.BDP($A255&amp;" Corp","YAS_OAS_SPRD","SETTLE_DT",Company_desc!$D$1))</f>
        <v/>
      </c>
      <c r="Z255" s="82">
        <f>IF($A255="","",K255-_xll.BDP($A255&amp;" Corp","YAS_BOND_YLD","YAS_YLD_FLAG=15","SETTLE_DT",Company_desc!$D$1))</f>
        <v/>
      </c>
      <c r="AA255" s="80">
        <f>IF($A255="","",_xll.BDP($A255&amp;" Corp","YAS_OAS_SPRD","SETTLE_DT",Company_desc!$D$1))</f>
        <v/>
      </c>
    </row>
    <row r="256">
      <c r="B256" s="75">
        <f>IF($A256="","",IFERROR(INDEX(Sheet1!$B:$B,MATCH($A256,Sheet1!$A:$A,0)),""))</f>
        <v/>
      </c>
      <c r="C256" s="75">
        <f>IF($A256="","",PROPER(_xll.BDP($A256&amp;" Corp","NAME")))</f>
        <v/>
      </c>
      <c r="D256" s="76">
        <f>IF($A256="","",_xll.BDP($A256&amp;" Corp","CPN"))</f>
        <v/>
      </c>
      <c r="E256" s="75">
        <f>IF($A256="","",_xll.BDP($A256&amp;" Corp","PAYMENT_RANK"))</f>
        <v/>
      </c>
      <c r="F256" s="100">
        <f>IF($A256="","",_xll.BDP($A256&amp;" Corp","MATURITY"))</f>
        <v/>
      </c>
      <c r="G256" s="75">
        <f>IF($A256="","",PROPER(_xll.BDP($A256&amp;" Corp","COUNTRY_FULL_NAME")))</f>
        <v/>
      </c>
      <c r="H256" s="75">
        <f>IF($A256="","",_xll.BDP($A256&amp;" Corp","INDUSTRY_SECTOR"))</f>
        <v/>
      </c>
      <c r="I256" s="101">
        <f>IF($A256="","",IFERROR(_xll.BDP($A256&amp;" Corp","MIN_PIECE")/1000,""))</f>
        <v/>
      </c>
      <c r="J256" s="31">
        <f>IF($A256="","",_xll.BDP($A256&amp;" Corp","PX_LAST"))</f>
        <v/>
      </c>
      <c r="K256" s="31">
        <f>IF($A256="","",_xll.BDP($A256&amp;" Corp","YAS_BOND_YLD","YAS_YLD_FLAG=15"))</f>
        <v/>
      </c>
      <c r="L256" s="31">
        <f>IF($A256="","",K256-_xll.BDP($A256&amp;" Corp","YAS_BOND_YLD","YAS_YLD_FLAG=15","SETTLE_DT",Company_desc!$A$1))</f>
        <v/>
      </c>
      <c r="M256" s="31">
        <f>IF($A256="","",K256-_xll.BDP($A256&amp;" Corp","YAS_BOND_YLD","YAS_YLD_FLAG=15","SETTLE_DT",Company_desc!$A$2))</f>
        <v/>
      </c>
      <c r="N256" s="79">
        <f>IF($A256="","",_xll.BDP($A256&amp;" Corp","YAS_OAS_SPRD"))</f>
        <v/>
      </c>
      <c r="O256" s="67">
        <f>IF($A256="","",_xll.BDP($A256&amp;" Corp","YAS_MOD_DUR"))</f>
        <v/>
      </c>
      <c r="P256" s="80">
        <f>IF($A256="","",IFERROR(INDEX(Sheet1!$P:$P,MATCH($A256,Sheet1!$A:$A,0)),""))</f>
        <v/>
      </c>
      <c r="Q256" s="75">
        <f>IF($A256="","",IFERROR(INDEX(Company_desc!$C:$C,MATCH($A256,Company_desc!$A:$A,0)),IFERROR(INDEX(Sheet1!$Q:$Q,MATCH($A256,Sheet1!$A:$A,0)),"")))</f>
        <v/>
      </c>
      <c r="R256" s="75">
        <f>IF($A256="","",_xll.BDP($A256&amp;" Corp","CRNCY"))</f>
        <v/>
      </c>
      <c r="S256" s="75">
        <f>IF($A256="","",IFERROR(INDEX(Sheet1!$S:$S,MATCH($A256,Sheet1!$A:$A,0)),""))</f>
        <v/>
      </c>
      <c r="T256" s="75">
        <f>IF($A256="","",IFERROR(INDEX(Sheet1!$T:$T,MATCH($A256,Sheet1!$A:$A,0)),_xll.BDP($A256&amp;" Corp","RTG_SP")))</f>
        <v/>
      </c>
      <c r="U256" s="75">
        <f>IF($A256="","",IFERROR(INDEX(Sheet1!$U:$U,MATCH($A256,Sheet1!$A:$A,0)),""))</f>
        <v/>
      </c>
      <c r="W256" s="81">
        <f>IF($A256="","",N256-_xll.BDP($A256&amp;" Corp","YAS_OAS_SPRD","SETTLE_DT",Company_desc!$A$1))</f>
        <v/>
      </c>
      <c r="X256" s="81">
        <f>IF($A256="","",N256-_xll.BDP($A256&amp;" Corp","YAS_OAS_SPRD","SETTLE_DT",Company_desc!$A$2))</f>
        <v/>
      </c>
      <c r="Y256" s="80">
        <f>IF($A256="","",N256-_xll.BDP($A256&amp;" Corp","YAS_OAS_SPRD","SETTLE_DT",Company_desc!$D$1))</f>
        <v/>
      </c>
      <c r="Z256" s="82">
        <f>IF($A256="","",K256-_xll.BDP($A256&amp;" Corp","YAS_BOND_YLD","YAS_YLD_FLAG=15","SETTLE_DT",Company_desc!$D$1))</f>
        <v/>
      </c>
      <c r="AA256" s="80">
        <f>IF($A256="","",_xll.BDP($A256&amp;" Corp","YAS_OAS_SPRD","SETTLE_DT",Company_desc!$D$1))</f>
        <v/>
      </c>
    </row>
    <row r="257">
      <c r="B257" s="75">
        <f>IF($A257="","",IFERROR(INDEX(Sheet1!$B:$B,MATCH($A257,Sheet1!$A:$A,0)),""))</f>
        <v/>
      </c>
      <c r="C257" s="75">
        <f>IF($A257="","",PROPER(_xll.BDP($A257&amp;" Corp","NAME")))</f>
        <v/>
      </c>
      <c r="D257" s="76">
        <f>IF($A257="","",_xll.BDP($A257&amp;" Corp","CPN"))</f>
        <v/>
      </c>
      <c r="E257" s="75">
        <f>IF($A257="","",_xll.BDP($A257&amp;" Corp","PAYMENT_RANK"))</f>
        <v/>
      </c>
      <c r="F257" s="100">
        <f>IF($A257="","",_xll.BDP($A257&amp;" Corp","MATURITY"))</f>
        <v/>
      </c>
      <c r="G257" s="75">
        <f>IF($A257="","",PROPER(_xll.BDP($A257&amp;" Corp","COUNTRY_FULL_NAME")))</f>
        <v/>
      </c>
      <c r="H257" s="75">
        <f>IF($A257="","",_xll.BDP($A257&amp;" Corp","INDUSTRY_SECTOR"))</f>
        <v/>
      </c>
      <c r="I257" s="101">
        <f>IF($A257="","",IFERROR(_xll.BDP($A257&amp;" Corp","MIN_PIECE")/1000,""))</f>
        <v/>
      </c>
      <c r="J257" s="31">
        <f>IF($A257="","",_xll.BDP($A257&amp;" Corp","PX_LAST"))</f>
        <v/>
      </c>
      <c r="K257" s="31">
        <f>IF($A257="","",_xll.BDP($A257&amp;" Corp","YAS_BOND_YLD","YAS_YLD_FLAG=15"))</f>
        <v/>
      </c>
      <c r="L257" s="31">
        <f>IF($A257="","",K257-_xll.BDP($A257&amp;" Corp","YAS_BOND_YLD","YAS_YLD_FLAG=15","SETTLE_DT",Company_desc!$A$1))</f>
        <v/>
      </c>
      <c r="M257" s="31">
        <f>IF($A257="","",K257-_xll.BDP($A257&amp;" Corp","YAS_BOND_YLD","YAS_YLD_FLAG=15","SETTLE_DT",Company_desc!$A$2))</f>
        <v/>
      </c>
      <c r="N257" s="79">
        <f>IF($A257="","",_xll.BDP($A257&amp;" Corp","YAS_OAS_SPRD"))</f>
        <v/>
      </c>
      <c r="O257" s="67">
        <f>IF($A257="","",_xll.BDP($A257&amp;" Corp","YAS_MOD_DUR"))</f>
        <v/>
      </c>
      <c r="P257" s="80">
        <f>IF($A257="","",IFERROR(INDEX(Sheet1!$P:$P,MATCH($A257,Sheet1!$A:$A,0)),""))</f>
        <v/>
      </c>
      <c r="Q257" s="75">
        <f>IF($A257="","",IFERROR(INDEX(Company_desc!$C:$C,MATCH($A257,Company_desc!$A:$A,0)),IFERROR(INDEX(Sheet1!$Q:$Q,MATCH($A257,Sheet1!$A:$A,0)),"")))</f>
        <v/>
      </c>
      <c r="R257" s="75">
        <f>IF($A257="","",_xll.BDP($A257&amp;" Corp","CRNCY"))</f>
        <v/>
      </c>
      <c r="S257" s="75">
        <f>IF($A257="","",IFERROR(INDEX(Sheet1!$S:$S,MATCH($A257,Sheet1!$A:$A,0)),""))</f>
        <v/>
      </c>
      <c r="T257" s="75">
        <f>IF($A257="","",IFERROR(INDEX(Sheet1!$T:$T,MATCH($A257,Sheet1!$A:$A,0)),_xll.BDP($A257&amp;" Corp","RTG_SP")))</f>
        <v/>
      </c>
      <c r="U257" s="75">
        <f>IF($A257="","",IFERROR(INDEX(Sheet1!$U:$U,MATCH($A257,Sheet1!$A:$A,0)),""))</f>
        <v/>
      </c>
      <c r="W257" s="81">
        <f>IF($A257="","",N257-_xll.BDP($A257&amp;" Corp","YAS_OAS_SPRD","SETTLE_DT",Company_desc!$A$1))</f>
        <v/>
      </c>
      <c r="X257" s="81">
        <f>IF($A257="","",N257-_xll.BDP($A257&amp;" Corp","YAS_OAS_SPRD","SETTLE_DT",Company_desc!$A$2))</f>
        <v/>
      </c>
      <c r="Y257" s="80">
        <f>IF($A257="","",N257-_xll.BDP($A257&amp;" Corp","YAS_OAS_SPRD","SETTLE_DT",Company_desc!$D$1))</f>
        <v/>
      </c>
      <c r="Z257" s="82">
        <f>IF($A257="","",K257-_xll.BDP($A257&amp;" Corp","YAS_BOND_YLD","YAS_YLD_FLAG=15","SETTLE_DT",Company_desc!$D$1))</f>
        <v/>
      </c>
      <c r="AA257" s="80">
        <f>IF($A257="","",_xll.BDP($A257&amp;" Corp","YAS_OAS_SPRD","SETTLE_DT",Company_desc!$D$1))</f>
        <v/>
      </c>
    </row>
    <row r="258">
      <c r="B258" s="75">
        <f>IF($A258="","",IFERROR(INDEX(Sheet1!$B:$B,MATCH($A258,Sheet1!$A:$A,0)),""))</f>
        <v/>
      </c>
      <c r="C258" s="75">
        <f>IF($A258="","",PROPER(_xll.BDP($A258&amp;" Corp","NAME")))</f>
        <v/>
      </c>
      <c r="D258" s="76">
        <f>IF($A258="","",_xll.BDP($A258&amp;" Corp","CPN"))</f>
        <v/>
      </c>
      <c r="E258" s="75">
        <f>IF($A258="","",_xll.BDP($A258&amp;" Corp","PAYMENT_RANK"))</f>
        <v/>
      </c>
      <c r="F258" s="100">
        <f>IF($A258="","",_xll.BDP($A258&amp;" Corp","MATURITY"))</f>
        <v/>
      </c>
      <c r="G258" s="75">
        <f>IF($A258="","",PROPER(_xll.BDP($A258&amp;" Corp","COUNTRY_FULL_NAME")))</f>
        <v/>
      </c>
      <c r="H258" s="75">
        <f>IF($A258="","",_xll.BDP($A258&amp;" Corp","INDUSTRY_SECTOR"))</f>
        <v/>
      </c>
      <c r="I258" s="101">
        <f>IF($A258="","",IFERROR(_xll.BDP($A258&amp;" Corp","MIN_PIECE")/1000,""))</f>
        <v/>
      </c>
      <c r="J258" s="31">
        <f>IF($A258="","",_xll.BDP($A258&amp;" Corp","PX_LAST"))</f>
        <v/>
      </c>
      <c r="K258" s="31">
        <f>IF($A258="","",_xll.BDP($A258&amp;" Corp","YAS_BOND_YLD","YAS_YLD_FLAG=15"))</f>
        <v/>
      </c>
      <c r="L258" s="31">
        <f>IF($A258="","",K258-_xll.BDP($A258&amp;" Corp","YAS_BOND_YLD","YAS_YLD_FLAG=15","SETTLE_DT",Company_desc!$A$1))</f>
        <v/>
      </c>
      <c r="M258" s="31">
        <f>IF($A258="","",K258-_xll.BDP($A258&amp;" Corp","YAS_BOND_YLD","YAS_YLD_FLAG=15","SETTLE_DT",Company_desc!$A$2))</f>
        <v/>
      </c>
      <c r="N258" s="79">
        <f>IF($A258="","",_xll.BDP($A258&amp;" Corp","YAS_OAS_SPRD"))</f>
        <v/>
      </c>
      <c r="O258" s="82">
        <f>IF($A258="","",_xll.BDP($A258&amp;" Corp","YAS_MOD_DUR"))</f>
        <v/>
      </c>
      <c r="P258" s="80">
        <f>IF($A258="","",IFERROR(INDEX(Sheet1!$P:$P,MATCH($A258,Sheet1!$A:$A,0)),""))</f>
        <v/>
      </c>
      <c r="Q258" s="75">
        <f>IF($A258="","",IFERROR(INDEX(Company_desc!$C:$C,MATCH($A258,Company_desc!$A:$A,0)),IFERROR(INDEX(Sheet1!$Q:$Q,MATCH($A258,Sheet1!$A:$A,0)),"")))</f>
        <v/>
      </c>
      <c r="R258" s="75">
        <f>IF($A258="","",_xll.BDP($A258&amp;" Corp","CRNCY"))</f>
        <v/>
      </c>
      <c r="S258" s="75">
        <f>IF($A258="","",IFERROR(INDEX(Sheet1!$S:$S,MATCH($A258,Sheet1!$A:$A,0)),""))</f>
        <v/>
      </c>
      <c r="T258" s="75">
        <f>IF($A258="","",IFERROR(INDEX(Sheet1!$T:$T,MATCH($A258,Sheet1!$A:$A,0)),_xll.BDP($A258&amp;" Corp","RTG_SP")))</f>
        <v/>
      </c>
      <c r="U258" s="75">
        <f>IF($A258="","",IFERROR(INDEX(Sheet1!$U:$U,MATCH($A258,Sheet1!$A:$A,0)),""))</f>
        <v/>
      </c>
      <c r="W258" s="81">
        <f>IF($A258="","",N258-_xll.BDP($A258&amp;" Corp","YAS_OAS_SPRD","SETTLE_DT",Company_desc!$A$1))</f>
        <v/>
      </c>
      <c r="X258" s="81">
        <f>IF($A258="","",N258-_xll.BDP($A258&amp;" Corp","YAS_OAS_SPRD","SETTLE_DT",Company_desc!$A$2))</f>
        <v/>
      </c>
      <c r="Y258" s="80">
        <f>IF($A258="","",N258-_xll.BDP($A258&amp;" Corp","YAS_OAS_SPRD","SETTLE_DT",Company_desc!$D$1))</f>
        <v/>
      </c>
      <c r="Z258" s="82">
        <f>IF($A258="","",K258-_xll.BDP($A258&amp;" Corp","YAS_BOND_YLD","YAS_YLD_FLAG=15","SETTLE_DT",Company_desc!$D$1))</f>
        <v/>
      </c>
      <c r="AA258" s="80">
        <f>IF($A258="","",_xll.BDP($A258&amp;" Corp","YAS_OAS_SPRD","SETTLE_DT",Company_desc!$D$1))</f>
        <v/>
      </c>
    </row>
    <row r="259">
      <c r="B259" s="75">
        <f>IF($A259="","",IFERROR(INDEX(Sheet1!$B:$B,MATCH($A259,Sheet1!$A:$A,0)),""))</f>
        <v/>
      </c>
      <c r="C259" s="75">
        <f>IF($A259="","",PROPER(_xll.BDP($A259&amp;" Corp","NAME")))</f>
        <v/>
      </c>
      <c r="D259" s="76">
        <f>IF($A259="","",_xll.BDP($A259&amp;" Corp","CPN"))</f>
        <v/>
      </c>
      <c r="E259" s="75">
        <f>IF($A259="","",_xll.BDP($A259&amp;" Corp","PAYMENT_RANK"))</f>
        <v/>
      </c>
      <c r="F259" s="100">
        <f>IF($A259="","",_xll.BDP($A259&amp;" Corp","MATURITY"))</f>
        <v/>
      </c>
      <c r="G259" s="75">
        <f>IF($A259="","",PROPER(_xll.BDP($A259&amp;" Corp","COUNTRY_FULL_NAME")))</f>
        <v/>
      </c>
      <c r="H259" s="75">
        <f>IF($A259="","",_xll.BDP($A259&amp;" Corp","INDUSTRY_SECTOR"))</f>
        <v/>
      </c>
      <c r="I259" s="101">
        <f>IF($A259="","",IFERROR(_xll.BDP($A259&amp;" Corp","MIN_PIECE")/1000,""))</f>
        <v/>
      </c>
      <c r="J259" s="31">
        <f>IF($A259="","",_xll.BDP($A259&amp;" Corp","PX_LAST"))</f>
        <v/>
      </c>
      <c r="K259" s="31">
        <f>IF($A259="","",_xll.BDP($A259&amp;" Corp","YAS_BOND_YLD","YAS_YLD_FLAG=15"))</f>
        <v/>
      </c>
      <c r="L259" s="31">
        <f>IF($A259="","",K259-_xll.BDP($A259&amp;" Corp","YAS_BOND_YLD","YAS_YLD_FLAG=15","SETTLE_DT",Company_desc!$A$1))</f>
        <v/>
      </c>
      <c r="M259" s="31">
        <f>IF($A259="","",K259-_xll.BDP($A259&amp;" Corp","YAS_BOND_YLD","YAS_YLD_FLAG=15","SETTLE_DT",Company_desc!$A$2))</f>
        <v/>
      </c>
      <c r="N259" s="79">
        <f>IF($A259="","",_xll.BDP($A259&amp;" Corp","YAS_OAS_SPRD"))</f>
        <v/>
      </c>
      <c r="O259" s="67">
        <f>IF($A259="","",_xll.BDP($A259&amp;" Corp","YAS_MOD_DUR"))</f>
        <v/>
      </c>
      <c r="P259" s="80">
        <f>IF($A259="","",IFERROR(INDEX(Sheet1!$P:$P,MATCH($A259,Sheet1!$A:$A,0)),""))</f>
        <v/>
      </c>
      <c r="Q259" s="75">
        <f>IF($A259="","",IFERROR(INDEX(Company_desc!$C:$C,MATCH($A259,Company_desc!$A:$A,0)),IFERROR(INDEX(Sheet1!$Q:$Q,MATCH($A259,Sheet1!$A:$A,0)),"")))</f>
        <v/>
      </c>
      <c r="R259" s="75">
        <f>IF($A259="","",_xll.BDP($A259&amp;" Corp","CRNCY"))</f>
        <v/>
      </c>
      <c r="S259" s="75">
        <f>IF($A259="","",IFERROR(INDEX(Sheet1!$S:$S,MATCH($A259,Sheet1!$A:$A,0)),""))</f>
        <v/>
      </c>
      <c r="T259" s="75">
        <f>IF($A259="","",IFERROR(INDEX(Sheet1!$T:$T,MATCH($A259,Sheet1!$A:$A,0)),_xll.BDP($A259&amp;" Corp","RTG_SP")))</f>
        <v/>
      </c>
      <c r="U259" s="75">
        <f>IF($A259="","",IFERROR(INDEX(Sheet1!$U:$U,MATCH($A259,Sheet1!$A:$A,0)),""))</f>
        <v/>
      </c>
      <c r="W259" s="81">
        <f>IF($A259="","",N259-_xll.BDP($A259&amp;" Corp","YAS_OAS_SPRD","SETTLE_DT",Company_desc!$A$1))</f>
        <v/>
      </c>
      <c r="X259" s="81">
        <f>IF($A259="","",N259-_xll.BDP($A259&amp;" Corp","YAS_OAS_SPRD","SETTLE_DT",Company_desc!$A$2))</f>
        <v/>
      </c>
      <c r="Y259" s="80">
        <f>IF($A259="","",N259-_xll.BDP($A259&amp;" Corp","YAS_OAS_SPRD","SETTLE_DT",Company_desc!$D$1))</f>
        <v/>
      </c>
      <c r="Z259" s="82">
        <f>IF($A259="","",K259-_xll.BDP($A259&amp;" Corp","YAS_BOND_YLD","YAS_YLD_FLAG=15","SETTLE_DT",Company_desc!$D$1))</f>
        <v/>
      </c>
      <c r="AA259" s="80">
        <f>IF($A259="","",_xll.BDP($A259&amp;" Corp","YAS_OAS_SPRD","SETTLE_DT",Company_desc!$D$1))</f>
        <v/>
      </c>
    </row>
    <row r="260">
      <c r="B260" s="75">
        <f>IF($A260="","",IFERROR(INDEX(Sheet1!$B:$B,MATCH($A260,Sheet1!$A:$A,0)),""))</f>
        <v/>
      </c>
      <c r="C260" s="75">
        <f>IF($A260="","",PROPER(_xll.BDP($A260&amp;" Corp","NAME")))</f>
        <v/>
      </c>
      <c r="D260" s="76">
        <f>IF($A260="","",_xll.BDP($A260&amp;" Corp","CPN"))</f>
        <v/>
      </c>
      <c r="E260" s="75">
        <f>IF($A260="","",_xll.BDP($A260&amp;" Corp","PAYMENT_RANK"))</f>
        <v/>
      </c>
      <c r="F260" s="100">
        <f>IF($A260="","",_xll.BDP($A260&amp;" Corp","MATURITY"))</f>
        <v/>
      </c>
      <c r="G260" s="75">
        <f>IF($A260="","",PROPER(_xll.BDP($A260&amp;" Corp","COUNTRY_FULL_NAME")))</f>
        <v/>
      </c>
      <c r="H260" s="75">
        <f>IF($A260="","",_xll.BDP($A260&amp;" Corp","INDUSTRY_SECTOR"))</f>
        <v/>
      </c>
      <c r="I260" s="101">
        <f>IF($A260="","",IFERROR(_xll.BDP($A260&amp;" Corp","MIN_PIECE")/1000,""))</f>
        <v/>
      </c>
      <c r="J260" s="31">
        <f>IF($A260="","",_xll.BDP($A260&amp;" Corp","PX_LAST"))</f>
        <v/>
      </c>
      <c r="K260" s="31">
        <f>IF($A260="","",_xll.BDP($A260&amp;" Corp","YAS_BOND_YLD","YAS_YLD_FLAG=15"))</f>
        <v/>
      </c>
      <c r="L260" s="31">
        <f>IF($A260="","",K260-_xll.BDP($A260&amp;" Corp","YAS_BOND_YLD","YAS_YLD_FLAG=15","SETTLE_DT",Company_desc!$A$1))</f>
        <v/>
      </c>
      <c r="M260" s="31">
        <f>IF($A260="","",K260-_xll.BDP($A260&amp;" Corp","YAS_BOND_YLD","YAS_YLD_FLAG=15","SETTLE_DT",Company_desc!$A$2))</f>
        <v/>
      </c>
      <c r="N260" s="79">
        <f>IF($A260="","",_xll.BDP($A260&amp;" Corp","YAS_OAS_SPRD"))</f>
        <v/>
      </c>
      <c r="O260" s="67">
        <f>IF($A260="","",_xll.BDP($A260&amp;" Corp","YAS_MOD_DUR"))</f>
        <v/>
      </c>
      <c r="P260" s="80">
        <f>IF($A260="","",IFERROR(INDEX(Sheet1!$P:$P,MATCH($A260,Sheet1!$A:$A,0)),""))</f>
        <v/>
      </c>
      <c r="Q260" s="75">
        <f>IF($A260="","",IFERROR(INDEX(Company_desc!$C:$C,MATCH($A260,Company_desc!$A:$A,0)),IFERROR(INDEX(Sheet1!$Q:$Q,MATCH($A260,Sheet1!$A:$A,0)),"")))</f>
        <v/>
      </c>
      <c r="R260" s="75">
        <f>IF($A260="","",_xll.BDP($A260&amp;" Corp","CRNCY"))</f>
        <v/>
      </c>
      <c r="S260" s="75">
        <f>IF($A260="","",IFERROR(INDEX(Sheet1!$S:$S,MATCH($A260,Sheet1!$A:$A,0)),""))</f>
        <v/>
      </c>
      <c r="T260" s="75">
        <f>IF($A260="","",IFERROR(INDEX(Sheet1!$T:$T,MATCH($A260,Sheet1!$A:$A,0)),_xll.BDP($A260&amp;" Corp","RTG_SP")))</f>
        <v/>
      </c>
      <c r="U260" s="75">
        <f>IF($A260="","",IFERROR(INDEX(Sheet1!$U:$U,MATCH($A260,Sheet1!$A:$A,0)),""))</f>
        <v/>
      </c>
      <c r="W260" s="81">
        <f>IF($A260="","",N260-_xll.BDP($A260&amp;" Corp","YAS_OAS_SPRD","SETTLE_DT",Company_desc!$A$1))</f>
        <v/>
      </c>
      <c r="X260" s="81">
        <f>IF($A260="","",N260-_xll.BDP($A260&amp;" Corp","YAS_OAS_SPRD","SETTLE_DT",Company_desc!$A$2))</f>
        <v/>
      </c>
      <c r="Y260" s="80">
        <f>IF($A260="","",N260-_xll.BDP($A260&amp;" Corp","YAS_OAS_SPRD","SETTLE_DT",Company_desc!$D$1))</f>
        <v/>
      </c>
      <c r="Z260" s="82">
        <f>IF($A260="","",K260-_xll.BDP($A260&amp;" Corp","YAS_BOND_YLD","YAS_YLD_FLAG=15","SETTLE_DT",Company_desc!$D$1))</f>
        <v/>
      </c>
      <c r="AA260" s="80">
        <f>IF($A260="","",_xll.BDP($A260&amp;" Corp","YAS_OAS_SPRD","SETTLE_DT",Company_desc!$D$1))</f>
        <v/>
      </c>
    </row>
    <row r="261">
      <c r="B261" s="75">
        <f>IF($A261="","",IFERROR(INDEX(Sheet1!$B:$B,MATCH($A261,Sheet1!$A:$A,0)),""))</f>
        <v/>
      </c>
      <c r="C261" s="75">
        <f>IF($A261="","",PROPER(_xll.BDP($A261&amp;" Corp","NAME")))</f>
        <v/>
      </c>
      <c r="D261" s="76">
        <f>IF($A261="","",_xll.BDP($A261&amp;" Corp","CPN"))</f>
        <v/>
      </c>
      <c r="E261" s="75">
        <f>IF($A261="","",_xll.BDP($A261&amp;" Corp","PAYMENT_RANK"))</f>
        <v/>
      </c>
      <c r="F261" s="100">
        <f>IF($A261="","",_xll.BDP($A261&amp;" Corp","MATURITY"))</f>
        <v/>
      </c>
      <c r="G261" s="75">
        <f>IF($A261="","",PROPER(_xll.BDP($A261&amp;" Corp","COUNTRY_FULL_NAME")))</f>
        <v/>
      </c>
      <c r="H261" s="75">
        <f>IF($A261="","",_xll.BDP($A261&amp;" Corp","INDUSTRY_SECTOR"))</f>
        <v/>
      </c>
      <c r="I261" s="101">
        <f>IF($A261="","",IFERROR(_xll.BDP($A261&amp;" Corp","MIN_PIECE")/1000,""))</f>
        <v/>
      </c>
      <c r="J261" s="31">
        <f>IF($A261="","",_xll.BDP($A261&amp;" Corp","PX_LAST"))</f>
        <v/>
      </c>
      <c r="K261" s="31">
        <f>IF($A261="","",_xll.BDP($A261&amp;" Corp","YAS_BOND_YLD","YAS_YLD_FLAG=15"))</f>
        <v/>
      </c>
      <c r="L261" s="31">
        <f>IF($A261="","",K261-_xll.BDP($A261&amp;" Corp","YAS_BOND_YLD","YAS_YLD_FLAG=15","SETTLE_DT",Company_desc!$A$1))</f>
        <v/>
      </c>
      <c r="M261" s="31">
        <f>IF($A261="","",K261-_xll.BDP($A261&amp;" Corp","YAS_BOND_YLD","YAS_YLD_FLAG=15","SETTLE_DT",Company_desc!$A$2))</f>
        <v/>
      </c>
      <c r="N261" s="79">
        <f>IF($A261="","",_xll.BDP($A261&amp;" Corp","YAS_OAS_SPRD"))</f>
        <v/>
      </c>
      <c r="O261" s="67">
        <f>IF($A261="","",_xll.BDP($A261&amp;" Corp","YAS_MOD_DUR"))</f>
        <v/>
      </c>
      <c r="P261" s="80">
        <f>IF($A261="","",IFERROR(INDEX(Sheet1!$P:$P,MATCH($A261,Sheet1!$A:$A,0)),""))</f>
        <v/>
      </c>
      <c r="Q261" s="75">
        <f>IF($A261="","",IFERROR(INDEX(Company_desc!$C:$C,MATCH($A261,Company_desc!$A:$A,0)),IFERROR(INDEX(Sheet1!$Q:$Q,MATCH($A261,Sheet1!$A:$A,0)),"")))</f>
        <v/>
      </c>
      <c r="R261" s="75">
        <f>IF($A261="","",_xll.BDP($A261&amp;" Corp","CRNCY"))</f>
        <v/>
      </c>
      <c r="S261" s="75">
        <f>IF($A261="","",IFERROR(INDEX(Sheet1!$S:$S,MATCH($A261,Sheet1!$A:$A,0)),""))</f>
        <v/>
      </c>
      <c r="T261" s="75">
        <f>IF($A261="","",IFERROR(INDEX(Sheet1!$T:$T,MATCH($A261,Sheet1!$A:$A,0)),_xll.BDP($A261&amp;" Corp","RTG_SP")))</f>
        <v/>
      </c>
      <c r="U261" s="83">
        <f>IF($A261="","",IFERROR(INDEX(Sheet1!$U:$U,MATCH($A261,Sheet1!$A:$A,0)),""))</f>
        <v/>
      </c>
      <c r="W261" s="81">
        <f>IF($A261="","",N261-_xll.BDP($A261&amp;" Corp","YAS_OAS_SPRD","SETTLE_DT",Company_desc!$A$1))</f>
        <v/>
      </c>
      <c r="X261" s="81">
        <f>IF($A261="","",N261-_xll.BDP($A261&amp;" Corp","YAS_OAS_SPRD","SETTLE_DT",Company_desc!$A$2))</f>
        <v/>
      </c>
      <c r="Y261" s="80">
        <f>IF($A261="","",N261-_xll.BDP($A261&amp;" Corp","YAS_OAS_SPRD","SETTLE_DT",Company_desc!$D$1))</f>
        <v/>
      </c>
      <c r="Z261" s="82">
        <f>IF($A261="","",K261-_xll.BDP($A261&amp;" Corp","YAS_BOND_YLD","YAS_YLD_FLAG=15","SETTLE_DT",Company_desc!$D$1))</f>
        <v/>
      </c>
      <c r="AA261" s="80">
        <f>IF($A261="","",_xll.BDP($A261&amp;" Corp","YAS_OAS_SPRD","SETTLE_DT",Company_desc!$D$1))</f>
        <v/>
      </c>
    </row>
    <row r="262">
      <c r="B262" s="75">
        <f>IF($A262="","",IFERROR(INDEX(Sheet1!$B:$B,MATCH($A262,Sheet1!$A:$A,0)),""))</f>
        <v/>
      </c>
      <c r="C262" s="75">
        <f>IF($A262="","",PROPER(_xll.BDP($A262&amp;" Corp","NAME")))</f>
        <v/>
      </c>
      <c r="D262" s="76">
        <f>IF($A262="","",_xll.BDP($A262&amp;" Corp","CPN"))</f>
        <v/>
      </c>
      <c r="E262" s="75">
        <f>IF($A262="","",_xll.BDP($A262&amp;" Corp","PAYMENT_RANK"))</f>
        <v/>
      </c>
      <c r="F262" s="100">
        <f>IF($A262="","",_xll.BDP($A262&amp;" Corp","MATURITY"))</f>
        <v/>
      </c>
      <c r="G262" s="75">
        <f>IF($A262="","",PROPER(_xll.BDP($A262&amp;" Corp","COUNTRY_FULL_NAME")))</f>
        <v/>
      </c>
      <c r="H262" s="75">
        <f>IF($A262="","",_xll.BDP($A262&amp;" Corp","INDUSTRY_SECTOR"))</f>
        <v/>
      </c>
      <c r="I262" s="101">
        <f>IF($A262="","",IFERROR(_xll.BDP($A262&amp;" Corp","MIN_PIECE")/1000,""))</f>
        <v/>
      </c>
      <c r="J262" s="31">
        <f>IF($A262="","",_xll.BDP($A262&amp;" Corp","PX_LAST"))</f>
        <v/>
      </c>
      <c r="K262" s="31">
        <f>IF($A262="","",_xll.BDP($A262&amp;" Corp","YAS_BOND_YLD","YAS_YLD_FLAG=15"))</f>
        <v/>
      </c>
      <c r="L262" s="31">
        <f>IF($A262="","",K262-_xll.BDP($A262&amp;" Corp","YAS_BOND_YLD","YAS_YLD_FLAG=15","SETTLE_DT",Company_desc!$A$1))</f>
        <v/>
      </c>
      <c r="M262" s="31">
        <f>IF($A262="","",K262-_xll.BDP($A262&amp;" Corp","YAS_BOND_YLD","YAS_YLD_FLAG=15","SETTLE_DT",Company_desc!$A$2))</f>
        <v/>
      </c>
      <c r="N262" s="79">
        <f>IF($A262="","",_xll.BDP($A262&amp;" Corp","YAS_OAS_SPRD"))</f>
        <v/>
      </c>
      <c r="O262" s="67">
        <f>IF($A262="","",_xll.BDP($A262&amp;" Corp","YAS_MOD_DUR"))</f>
        <v/>
      </c>
      <c r="P262" s="80">
        <f>IF($A262="","",IFERROR(INDEX(Sheet1!$P:$P,MATCH($A262,Sheet1!$A:$A,0)),""))</f>
        <v/>
      </c>
      <c r="Q262" s="75">
        <f>IF($A262="","",IFERROR(INDEX(Company_desc!$C:$C,MATCH($A262,Company_desc!$A:$A,0)),IFERROR(INDEX(Sheet1!$Q:$Q,MATCH($A262,Sheet1!$A:$A,0)),"")))</f>
        <v/>
      </c>
      <c r="R262" s="75">
        <f>IF($A262="","",_xll.BDP($A262&amp;" Corp","CRNCY"))</f>
        <v/>
      </c>
      <c r="S262" s="75">
        <f>IF($A262="","",IFERROR(INDEX(Sheet1!$S:$S,MATCH($A262,Sheet1!$A:$A,0)),""))</f>
        <v/>
      </c>
      <c r="T262" s="75">
        <f>IF($A262="","",IFERROR(INDEX(Sheet1!$T:$T,MATCH($A262,Sheet1!$A:$A,0)),_xll.BDP($A262&amp;" Corp","RTG_SP")))</f>
        <v/>
      </c>
      <c r="U262" s="75">
        <f>IF($A262="","",IFERROR(INDEX(Sheet1!$U:$U,MATCH($A262,Sheet1!$A:$A,0)),""))</f>
        <v/>
      </c>
      <c r="W262" s="81">
        <f>IF($A262="","",N262-_xll.BDP($A262&amp;" Corp","YAS_OAS_SPRD","SETTLE_DT",Company_desc!$A$1))</f>
        <v/>
      </c>
      <c r="X262" s="81">
        <f>IF($A262="","",N262-_xll.BDP($A262&amp;" Corp","YAS_OAS_SPRD","SETTLE_DT",Company_desc!$A$2))</f>
        <v/>
      </c>
      <c r="Y262" s="80">
        <f>IF($A262="","",N262-_xll.BDP($A262&amp;" Corp","YAS_OAS_SPRD","SETTLE_DT",Company_desc!$D$1))</f>
        <v/>
      </c>
      <c r="Z262" s="82">
        <f>IF($A262="","",K262-_xll.BDP($A262&amp;" Corp","YAS_BOND_YLD","YAS_YLD_FLAG=15","SETTLE_DT",Company_desc!$D$1))</f>
        <v/>
      </c>
      <c r="AA262" s="80">
        <f>IF($A262="","",_xll.BDP($A262&amp;" Corp","YAS_OAS_SPRD","SETTLE_DT",Company_desc!$D$1))</f>
        <v/>
      </c>
    </row>
    <row r="263">
      <c r="B263" s="75">
        <f>IF($A263="","",IFERROR(INDEX(Sheet1!$B:$B,MATCH($A263,Sheet1!$A:$A,0)),""))</f>
        <v/>
      </c>
      <c r="C263" s="75">
        <f>IF($A263="","",PROPER(_xll.BDP($A263&amp;" Corp","NAME")))</f>
        <v/>
      </c>
      <c r="D263" s="76">
        <f>IF($A263="","",_xll.BDP($A263&amp;" Corp","CPN"))</f>
        <v/>
      </c>
      <c r="E263" s="75">
        <f>IF($A263="","",_xll.BDP($A263&amp;" Corp","PAYMENT_RANK"))</f>
        <v/>
      </c>
      <c r="F263" s="100">
        <f>IF($A263="","",_xll.BDP($A263&amp;" Corp","MATURITY"))</f>
        <v/>
      </c>
      <c r="G263" s="75">
        <f>IF($A263="","",PROPER(_xll.BDP($A263&amp;" Corp","COUNTRY_FULL_NAME")))</f>
        <v/>
      </c>
      <c r="H263" s="75">
        <f>IF($A263="","",_xll.BDP($A263&amp;" Corp","INDUSTRY_SECTOR"))</f>
        <v/>
      </c>
      <c r="I263" s="101">
        <f>IF($A263="","",IFERROR(_xll.BDP($A263&amp;" Corp","MIN_PIECE")/1000,""))</f>
        <v/>
      </c>
      <c r="J263" s="31">
        <f>IF($A263="","",_xll.BDP($A263&amp;" Corp","PX_LAST"))</f>
        <v/>
      </c>
      <c r="K263" s="31">
        <f>IF($A263="","",_xll.BDP($A263&amp;" Corp","YAS_BOND_YLD","YAS_YLD_FLAG=15"))</f>
        <v/>
      </c>
      <c r="L263" s="31">
        <f>IF($A263="","",K263-_xll.BDP($A263&amp;" Corp","YAS_BOND_YLD","YAS_YLD_FLAG=15","SETTLE_DT",Company_desc!$A$1))</f>
        <v/>
      </c>
      <c r="M263" s="31">
        <f>IF($A263="","",K263-_xll.BDP($A263&amp;" Corp","YAS_BOND_YLD","YAS_YLD_FLAG=15","SETTLE_DT",Company_desc!$A$2))</f>
        <v/>
      </c>
      <c r="N263" s="79">
        <f>IF($A263="","",_xll.BDP($A263&amp;" Corp","YAS_OAS_SPRD"))</f>
        <v/>
      </c>
      <c r="O263" s="67">
        <f>IF($A263="","",_xll.BDP($A263&amp;" Corp","YAS_MOD_DUR"))</f>
        <v/>
      </c>
      <c r="P263" s="80">
        <f>IF($A263="","",IFERROR(INDEX(Sheet1!$P:$P,MATCH($A263,Sheet1!$A:$A,0)),""))</f>
        <v/>
      </c>
      <c r="Q263" s="75">
        <f>IF($A263="","",IFERROR(INDEX(Company_desc!$C:$C,MATCH($A263,Company_desc!$A:$A,0)),IFERROR(INDEX(Sheet1!$Q:$Q,MATCH($A263,Sheet1!$A:$A,0)),"")))</f>
        <v/>
      </c>
      <c r="R263" s="75">
        <f>IF($A263="","",_xll.BDP($A263&amp;" Corp","CRNCY"))</f>
        <v/>
      </c>
      <c r="S263" s="75">
        <f>IF($A263="","",IFERROR(INDEX(Sheet1!$S:$S,MATCH($A263,Sheet1!$A:$A,0)),""))</f>
        <v/>
      </c>
      <c r="T263" s="75">
        <f>IF($A263="","",IFERROR(INDEX(Sheet1!$T:$T,MATCH($A263,Sheet1!$A:$A,0)),_xll.BDP($A263&amp;" Corp","RTG_SP")))</f>
        <v/>
      </c>
      <c r="U263" s="75">
        <f>IF($A263="","",IFERROR(INDEX(Sheet1!$U:$U,MATCH($A263,Sheet1!$A:$A,0)),""))</f>
        <v/>
      </c>
      <c r="W263" s="81">
        <f>IF($A263="","",N263-_xll.BDP($A263&amp;" Corp","YAS_OAS_SPRD","SETTLE_DT",Company_desc!$A$1))</f>
        <v/>
      </c>
      <c r="X263" s="81">
        <f>IF($A263="","",N263-_xll.BDP($A263&amp;" Corp","YAS_OAS_SPRD","SETTLE_DT",Company_desc!$A$2))</f>
        <v/>
      </c>
      <c r="Y263" s="80">
        <f>IF($A263="","",N263-_xll.BDP($A263&amp;" Corp","YAS_OAS_SPRD","SETTLE_DT",Company_desc!$D$1))</f>
        <v/>
      </c>
      <c r="Z263" s="82">
        <f>IF($A263="","",K263-_xll.BDP($A263&amp;" Corp","YAS_BOND_YLD","YAS_YLD_FLAG=15","SETTLE_DT",Company_desc!$D$1))</f>
        <v/>
      </c>
      <c r="AA263" s="80">
        <f>IF($A263="","",_xll.BDP($A263&amp;" Corp","YAS_OAS_SPRD","SETTLE_DT",Company_desc!$D$1))</f>
        <v/>
      </c>
    </row>
    <row r="264">
      <c r="B264" s="75">
        <f>IF($A264="","",IFERROR(INDEX(Sheet1!$B:$B,MATCH($A264,Sheet1!$A:$A,0)),""))</f>
        <v/>
      </c>
      <c r="C264" s="75">
        <f>IF($A264="","",PROPER(_xll.BDP($A264&amp;" Corp","NAME")))</f>
        <v/>
      </c>
      <c r="D264" s="76">
        <f>IF($A264="","",_xll.BDP($A264&amp;" Corp","CPN"))</f>
        <v/>
      </c>
      <c r="E264" s="75">
        <f>IF($A264="","",_xll.BDP($A264&amp;" Corp","PAYMENT_RANK"))</f>
        <v/>
      </c>
      <c r="F264" s="100">
        <f>IF($A264="","",_xll.BDP($A264&amp;" Corp","MATURITY"))</f>
        <v/>
      </c>
      <c r="G264" s="75">
        <f>IF($A264="","",PROPER(_xll.BDP($A264&amp;" Corp","COUNTRY_FULL_NAME")))</f>
        <v/>
      </c>
      <c r="H264" s="75">
        <f>IF($A264="","",_xll.BDP($A264&amp;" Corp","INDUSTRY_SECTOR"))</f>
        <v/>
      </c>
      <c r="I264" s="101">
        <f>IF($A264="","",IFERROR(_xll.BDP($A264&amp;" Corp","MIN_PIECE")/1000,""))</f>
        <v/>
      </c>
      <c r="J264" s="31">
        <f>IF($A264="","",_xll.BDP($A264&amp;" Corp","PX_LAST"))</f>
        <v/>
      </c>
      <c r="K264" s="31">
        <f>IF($A264="","",_xll.BDP($A264&amp;" Corp","YAS_BOND_YLD","YAS_YLD_FLAG=15"))</f>
        <v/>
      </c>
      <c r="L264" s="31">
        <f>IF($A264="","",K264-_xll.BDP($A264&amp;" Corp","YAS_BOND_YLD","YAS_YLD_FLAG=15","SETTLE_DT",Company_desc!$A$1))</f>
        <v/>
      </c>
      <c r="M264" s="31">
        <f>IF($A264="","",K264-_xll.BDP($A264&amp;" Corp","YAS_BOND_YLD","YAS_YLD_FLAG=15","SETTLE_DT",Company_desc!$A$2))</f>
        <v/>
      </c>
      <c r="N264" s="79">
        <f>IF($A264="","",_xll.BDP($A264&amp;" Corp","YAS_OAS_SPRD"))</f>
        <v/>
      </c>
      <c r="O264" s="67">
        <f>IF($A264="","",_xll.BDP($A264&amp;" Corp","YAS_MOD_DUR"))</f>
        <v/>
      </c>
      <c r="P264" s="80">
        <f>IF($A264="","",IFERROR(INDEX(Sheet1!$P:$P,MATCH($A264,Sheet1!$A:$A,0)),""))</f>
        <v/>
      </c>
      <c r="Q264" s="75">
        <f>IF($A264="","",IFERROR(INDEX(Company_desc!$C:$C,MATCH($A264,Company_desc!$A:$A,0)),IFERROR(INDEX(Sheet1!$Q:$Q,MATCH($A264,Sheet1!$A:$A,0)),"")))</f>
        <v/>
      </c>
      <c r="R264" s="75">
        <f>IF($A264="","",_xll.BDP($A264&amp;" Corp","CRNCY"))</f>
        <v/>
      </c>
      <c r="S264" s="75">
        <f>IF($A264="","",IFERROR(INDEX(Sheet1!$S:$S,MATCH($A264,Sheet1!$A:$A,0)),""))</f>
        <v/>
      </c>
      <c r="T264" s="75">
        <f>IF($A264="","",IFERROR(INDEX(Sheet1!$T:$T,MATCH($A264,Sheet1!$A:$A,0)),_xll.BDP($A264&amp;" Corp","RTG_SP")))</f>
        <v/>
      </c>
      <c r="U264" s="75">
        <f>IF($A264="","",IFERROR(INDEX(Sheet1!$U:$U,MATCH($A264,Sheet1!$A:$A,0)),""))</f>
        <v/>
      </c>
      <c r="W264" s="81">
        <f>IF($A264="","",N264-_xll.BDP($A264&amp;" Corp","YAS_OAS_SPRD","SETTLE_DT",Company_desc!$A$1))</f>
        <v/>
      </c>
      <c r="X264" s="81">
        <f>IF($A264="","",N264-_xll.BDP($A264&amp;" Corp","YAS_OAS_SPRD","SETTLE_DT",Company_desc!$A$2))</f>
        <v/>
      </c>
      <c r="Y264" s="80">
        <f>IF($A264="","",N264-_xll.BDP($A264&amp;" Corp","YAS_OAS_SPRD","SETTLE_DT",Company_desc!$D$1))</f>
        <v/>
      </c>
      <c r="Z264" s="82">
        <f>IF($A264="","",K264-_xll.BDP($A264&amp;" Corp","YAS_BOND_YLD","YAS_YLD_FLAG=15","SETTLE_DT",Company_desc!$D$1))</f>
        <v/>
      </c>
      <c r="AA264" s="80">
        <f>IF($A264="","",_xll.BDP($A264&amp;" Corp","YAS_OAS_SPRD","SETTLE_DT",Company_desc!$D$1))</f>
        <v/>
      </c>
    </row>
    <row r="265">
      <c r="B265" s="75">
        <f>IF($A265="","",IFERROR(INDEX(Sheet1!$B:$B,MATCH($A265,Sheet1!$A:$A,0)),""))</f>
        <v/>
      </c>
      <c r="C265" s="75">
        <f>IF($A265="","",PROPER(_xll.BDP($A265&amp;" Corp","NAME")))</f>
        <v/>
      </c>
      <c r="D265" s="76">
        <f>IF($A265="","",_xll.BDP($A265&amp;" Corp","CPN"))</f>
        <v/>
      </c>
      <c r="E265" s="75">
        <f>IF($A265="","",_xll.BDP($A265&amp;" Corp","PAYMENT_RANK"))</f>
        <v/>
      </c>
      <c r="F265" s="100">
        <f>IF($A265="","",_xll.BDP($A265&amp;" Corp","MATURITY"))</f>
        <v/>
      </c>
      <c r="G265" s="75">
        <f>IF($A265="","",PROPER(_xll.BDP($A265&amp;" Corp","COUNTRY_FULL_NAME")))</f>
        <v/>
      </c>
      <c r="H265" s="75">
        <f>IF($A265="","",_xll.BDP($A265&amp;" Corp","INDUSTRY_SECTOR"))</f>
        <v/>
      </c>
      <c r="I265" s="101">
        <f>IF($A265="","",IFERROR(_xll.BDP($A265&amp;" Corp","MIN_PIECE")/1000,""))</f>
        <v/>
      </c>
      <c r="J265" s="31">
        <f>IF($A265="","",_xll.BDP($A265&amp;" Corp","PX_LAST"))</f>
        <v/>
      </c>
      <c r="K265" s="31">
        <f>IF($A265="","",_xll.BDP($A265&amp;" Corp","YAS_BOND_YLD","YAS_YLD_FLAG=15"))</f>
        <v/>
      </c>
      <c r="L265" s="31">
        <f>IF($A265="","",K265-_xll.BDP($A265&amp;" Corp","YAS_BOND_YLD","YAS_YLD_FLAG=15","SETTLE_DT",Company_desc!$A$1))</f>
        <v/>
      </c>
      <c r="M265" s="31">
        <f>IF($A265="","",K265-_xll.BDP($A265&amp;" Corp","YAS_BOND_YLD","YAS_YLD_FLAG=15","SETTLE_DT",Company_desc!$A$2))</f>
        <v/>
      </c>
      <c r="N265" s="79">
        <f>IF($A265="","",_xll.BDP($A265&amp;" Corp","YAS_OAS_SPRD"))</f>
        <v/>
      </c>
      <c r="O265" s="67">
        <f>IF($A265="","",_xll.BDP($A265&amp;" Corp","YAS_MOD_DUR"))</f>
        <v/>
      </c>
      <c r="P265" s="80">
        <f>IF($A265="","",IFERROR(INDEX(Sheet1!$P:$P,MATCH($A265,Sheet1!$A:$A,0)),""))</f>
        <v/>
      </c>
      <c r="Q265" s="75">
        <f>IF($A265="","",IFERROR(INDEX(Company_desc!$C:$C,MATCH($A265,Company_desc!$A:$A,0)),IFERROR(INDEX(Sheet1!$Q:$Q,MATCH($A265,Sheet1!$A:$A,0)),"")))</f>
        <v/>
      </c>
      <c r="R265" s="75">
        <f>IF($A265="","",_xll.BDP($A265&amp;" Corp","CRNCY"))</f>
        <v/>
      </c>
      <c r="S265" s="75">
        <f>IF($A265="","",IFERROR(INDEX(Sheet1!$S:$S,MATCH($A265,Sheet1!$A:$A,0)),""))</f>
        <v/>
      </c>
      <c r="T265" s="75">
        <f>IF($A265="","",IFERROR(INDEX(Sheet1!$T:$T,MATCH($A265,Sheet1!$A:$A,0)),_xll.BDP($A265&amp;" Corp","RTG_SP")))</f>
        <v/>
      </c>
      <c r="U265" s="75">
        <f>IF($A265="","",IFERROR(INDEX(Sheet1!$U:$U,MATCH($A265,Sheet1!$A:$A,0)),""))</f>
        <v/>
      </c>
      <c r="W265" s="81">
        <f>IF($A265="","",N265-_xll.BDP($A265&amp;" Corp","YAS_OAS_SPRD","SETTLE_DT",Company_desc!$A$1))</f>
        <v/>
      </c>
      <c r="X265" s="81">
        <f>IF($A265="","",N265-_xll.BDP($A265&amp;" Corp","YAS_OAS_SPRD","SETTLE_DT",Company_desc!$A$2))</f>
        <v/>
      </c>
      <c r="Y265" s="80">
        <f>IF($A265="","",N265-_xll.BDP($A265&amp;" Corp","YAS_OAS_SPRD","SETTLE_DT",Company_desc!$D$1))</f>
        <v/>
      </c>
      <c r="Z265" s="82">
        <f>IF($A265="","",K265-_xll.BDP($A265&amp;" Corp","YAS_BOND_YLD","YAS_YLD_FLAG=15","SETTLE_DT",Company_desc!$D$1))</f>
        <v/>
      </c>
      <c r="AA265" s="80">
        <f>IF($A265="","",_xll.BDP($A265&amp;" Corp","YAS_OAS_SPRD","SETTLE_DT",Company_desc!$D$1))</f>
        <v/>
      </c>
    </row>
    <row r="266">
      <c r="B266" s="28">
        <f>IF($A266="","",IFERROR(INDEX(Sheet1!$B:$B,MATCH($A266,Sheet1!$A:$A,0)),""))</f>
        <v/>
      </c>
      <c r="C266" s="29">
        <f>IF($A266="","",PROPER(_xll.BDP($A266&amp;" Corp","NAME")))</f>
        <v/>
      </c>
      <c r="D266" s="84">
        <f>IF($A266="","",_xll.BDP($A266&amp;" Corp","CPN"))</f>
        <v/>
      </c>
      <c r="E266" s="84">
        <f>IF($A266="","",_xll.BDP($A266&amp;" Corp","PAYMENT_RANK"))</f>
        <v/>
      </c>
      <c r="F266" s="102">
        <f>IF($A266="","",_xll.BDP($A266&amp;" Corp","MATURITY"))</f>
        <v/>
      </c>
      <c r="G266" s="43">
        <f>IF($A266="","",PROPER(_xll.BDP($A266&amp;" Corp","COUNTRY_FULL_NAME")))</f>
        <v/>
      </c>
      <c r="H266" s="29">
        <f>IF($A266="","",_xll.BDP($A266&amp;" Corp","INDUSTRY_SECTOR"))</f>
        <v/>
      </c>
      <c r="I266" s="103">
        <f>IF($A266="","",IFERROR(_xll.BDP($A266&amp;" Corp","MIN_PIECE")/1000,""))</f>
        <v/>
      </c>
      <c r="J266" s="31">
        <f>IF($A266="","",_xll.BDP($A266&amp;" Corp","PX_LAST"))</f>
        <v/>
      </c>
      <c r="K266" s="31">
        <f>IF($A266="","",_xll.BDP($A266&amp;" Corp","YAS_BOND_YLD","YAS_YLD_FLAG=15"))</f>
        <v/>
      </c>
      <c r="L266" s="31">
        <f>IF($A266="","",K266-_xll.BDP($A266&amp;" Corp","YAS_BOND_YLD","YAS_YLD_FLAG=15","SETTLE_DT",Company_desc!$A$1))</f>
        <v/>
      </c>
      <c r="M266" s="31">
        <f>IF($A266="","",K266-_xll.BDP($A266&amp;" Corp","YAS_BOND_YLD","YAS_YLD_FLAG=15","SETTLE_DT",Company_desc!$A$2))</f>
        <v/>
      </c>
      <c r="N266" s="79">
        <f>IF($A266="","",_xll.BDP($A266&amp;" Corp","YAS_OAS_SPRD"))</f>
        <v/>
      </c>
      <c r="O266" s="67">
        <f>IF($A266="","",_xll.BDP($A266&amp;" Corp","YAS_MOD_DUR"))</f>
        <v/>
      </c>
      <c r="P266" s="79">
        <f>IF($A266="","",IFERROR(INDEX(Sheet1!$P:$P,MATCH($A266,Sheet1!$A:$A,0)),""))</f>
        <v/>
      </c>
      <c r="Q266" s="27">
        <f>IF($A266="","",IFERROR(INDEX(Company_desc!$C:$C,MATCH($A266,Company_desc!$A:$A,0)),IFERROR(INDEX(Sheet1!$Q:$Q,MATCH($A266,Sheet1!$A:$A,0)),"")))</f>
        <v/>
      </c>
      <c r="R266" s="27">
        <f>IF($A266="","",_xll.BDP($A266&amp;" Corp","CRNCY"))</f>
        <v/>
      </c>
      <c r="S266" s="27">
        <f>IF($A266="","",IFERROR(INDEX(Sheet1!$S:$S,MATCH($A266,Sheet1!$A:$A,0)),""))</f>
        <v/>
      </c>
      <c r="T266" s="47">
        <f>IF($A266="","",IFERROR(INDEX(Sheet1!$T:$T,MATCH($A266,Sheet1!$A:$A,0)),_xll.BDP($A266&amp;" Corp","RTG_SP")))</f>
        <v/>
      </c>
      <c r="U266" s="75">
        <f>IF($A266="","",IFERROR(INDEX(Sheet1!$U:$U,MATCH($A266,Sheet1!$A:$A,0)),""))</f>
        <v/>
      </c>
      <c r="W266" s="81">
        <f>IF($A266="","",N266-_xll.BDP($A266&amp;" Corp","YAS_OAS_SPRD","SETTLE_DT",Company_desc!$A$1))</f>
        <v/>
      </c>
      <c r="X266" s="81">
        <f>IF($A266="","",N266-_xll.BDP($A266&amp;" Corp","YAS_OAS_SPRD","SETTLE_DT",Company_desc!$A$2))</f>
        <v/>
      </c>
      <c r="Y266" s="80">
        <f>IF($A266="","",N266-_xll.BDP($A266&amp;" Corp","YAS_OAS_SPRD","SETTLE_DT",Company_desc!$D$1))</f>
        <v/>
      </c>
      <c r="Z266" s="82">
        <f>IF($A266="","",K266-_xll.BDP($A266&amp;" Corp","YAS_BOND_YLD","YAS_YLD_FLAG=15","SETTLE_DT",Company_desc!$D$1))</f>
        <v/>
      </c>
      <c r="AA266" s="80">
        <f>IF($A266="","",_xll.BDP($A266&amp;" Corp","YAS_OAS_SPRD","SETTLE_DT",Company_desc!$D$1))</f>
        <v/>
      </c>
    </row>
    <row r="267">
      <c r="B267" s="75">
        <f>IF($A267="","",IFERROR(INDEX(Sheet1!$B:$B,MATCH($A267,Sheet1!$A:$A,0)),""))</f>
        <v/>
      </c>
      <c r="C267" s="75">
        <f>IF($A267="","",PROPER(_xll.BDP($A267&amp;" Corp","NAME")))</f>
        <v/>
      </c>
      <c r="D267" s="76">
        <f>IF($A267="","",_xll.BDP($A267&amp;" Corp","CPN"))</f>
        <v/>
      </c>
      <c r="E267" s="75">
        <f>IF($A267="","",_xll.BDP($A267&amp;" Corp","PAYMENT_RANK"))</f>
        <v/>
      </c>
      <c r="F267" s="100">
        <f>IF($A267="","",_xll.BDP($A267&amp;" Corp","MATURITY"))</f>
        <v/>
      </c>
      <c r="G267" s="75">
        <f>IF($A267="","",PROPER(_xll.BDP($A267&amp;" Corp","COUNTRY_FULL_NAME")))</f>
        <v/>
      </c>
      <c r="H267" s="75">
        <f>IF($A267="","",_xll.BDP($A267&amp;" Corp","INDUSTRY_SECTOR"))</f>
        <v/>
      </c>
      <c r="I267" s="101">
        <f>IF($A267="","",IFERROR(_xll.BDP($A267&amp;" Corp","MIN_PIECE")/1000,""))</f>
        <v/>
      </c>
      <c r="J267" s="31">
        <f>IF($A267="","",_xll.BDP($A267&amp;" Corp","PX_LAST"))</f>
        <v/>
      </c>
      <c r="K267" s="31">
        <f>IF($A267="","",_xll.BDP($A267&amp;" Corp","YAS_BOND_YLD","YAS_YLD_FLAG=15"))</f>
        <v/>
      </c>
      <c r="L267" s="31">
        <f>IF($A267="","",K267-_xll.BDP($A267&amp;" Corp","YAS_BOND_YLD","YAS_YLD_FLAG=15","SETTLE_DT",Company_desc!$A$1))</f>
        <v/>
      </c>
      <c r="M267" s="31">
        <f>IF($A267="","",K267-_xll.BDP($A267&amp;" Corp","YAS_BOND_YLD","YAS_YLD_FLAG=15","SETTLE_DT",Company_desc!$A$2))</f>
        <v/>
      </c>
      <c r="N267" s="79">
        <f>IF($A267="","",_xll.BDP($A267&amp;" Corp","YAS_OAS_SPRD"))</f>
        <v/>
      </c>
      <c r="O267" s="67">
        <f>IF($A267="","",_xll.BDP($A267&amp;" Corp","YAS_MOD_DUR"))</f>
        <v/>
      </c>
      <c r="P267" s="80">
        <f>IF($A267="","",IFERROR(INDEX(Sheet1!$P:$P,MATCH($A267,Sheet1!$A:$A,0)),""))</f>
        <v/>
      </c>
      <c r="Q267" s="75">
        <f>IF($A267="","",IFERROR(INDEX(Company_desc!$C:$C,MATCH($A267,Company_desc!$A:$A,0)),IFERROR(INDEX(Sheet1!$Q:$Q,MATCH($A267,Sheet1!$A:$A,0)),"")))</f>
        <v/>
      </c>
      <c r="R267" s="75">
        <f>IF($A267="","",_xll.BDP($A267&amp;" Corp","CRNCY"))</f>
        <v/>
      </c>
      <c r="S267" s="75">
        <f>IF($A267="","",IFERROR(INDEX(Sheet1!$S:$S,MATCH($A267,Sheet1!$A:$A,0)),""))</f>
        <v/>
      </c>
      <c r="T267" s="75">
        <f>IF($A267="","",IFERROR(INDEX(Sheet1!$T:$T,MATCH($A267,Sheet1!$A:$A,0)),_xll.BDP($A267&amp;" Corp","RTG_SP")))</f>
        <v/>
      </c>
      <c r="U267" s="75">
        <f>IF($A267="","",IFERROR(INDEX(Sheet1!$U:$U,MATCH($A267,Sheet1!$A:$A,0)),""))</f>
        <v/>
      </c>
      <c r="W267" s="81">
        <f>IF($A267="","",N267-_xll.BDP($A267&amp;" Corp","YAS_OAS_SPRD","SETTLE_DT",Company_desc!$A$1))</f>
        <v/>
      </c>
      <c r="X267" s="81">
        <f>IF($A267="","",N267-_xll.BDP($A267&amp;" Corp","YAS_OAS_SPRD","SETTLE_DT",Company_desc!$A$2))</f>
        <v/>
      </c>
      <c r="Y267" s="80">
        <f>IF($A267="","",N267-_xll.BDP($A267&amp;" Corp","YAS_OAS_SPRD","SETTLE_DT",Company_desc!$D$1))</f>
        <v/>
      </c>
      <c r="Z267" s="82">
        <f>IF($A267="","",K267-_xll.BDP($A267&amp;" Corp","YAS_BOND_YLD","YAS_YLD_FLAG=15","SETTLE_DT",Company_desc!$D$1))</f>
        <v/>
      </c>
      <c r="AA267" s="80">
        <f>IF($A267="","",_xll.BDP($A267&amp;" Corp","YAS_OAS_SPRD","SETTLE_DT",Company_desc!$D$1))</f>
        <v/>
      </c>
    </row>
    <row r="268">
      <c r="B268" s="75">
        <f>IF($A268="","",IFERROR(INDEX(Sheet1!$B:$B,MATCH($A268,Sheet1!$A:$A,0)),""))</f>
        <v/>
      </c>
      <c r="C268" s="75">
        <f>IF($A268="","",PROPER(_xll.BDP($A268&amp;" Corp","NAME")))</f>
        <v/>
      </c>
      <c r="D268" s="76">
        <f>IF($A268="","",_xll.BDP($A268&amp;" Corp","CPN"))</f>
        <v/>
      </c>
      <c r="E268" s="75">
        <f>IF($A268="","",_xll.BDP($A268&amp;" Corp","PAYMENT_RANK"))</f>
        <v/>
      </c>
      <c r="F268" s="100">
        <f>IF($A268="","",_xll.BDP($A268&amp;" Corp","MATURITY"))</f>
        <v/>
      </c>
      <c r="G268" s="75">
        <f>IF($A268="","",PROPER(_xll.BDP($A268&amp;" Corp","COUNTRY_FULL_NAME")))</f>
        <v/>
      </c>
      <c r="H268" s="75">
        <f>IF($A268="","",_xll.BDP($A268&amp;" Corp","INDUSTRY_SECTOR"))</f>
        <v/>
      </c>
      <c r="I268" s="101">
        <f>IF($A268="","",IFERROR(_xll.BDP($A268&amp;" Corp","MIN_PIECE")/1000,""))</f>
        <v/>
      </c>
      <c r="J268" s="31">
        <f>IF($A268="","",_xll.BDP($A268&amp;" Corp","PX_LAST"))</f>
        <v/>
      </c>
      <c r="K268" s="31">
        <f>IF($A268="","",_xll.BDP($A268&amp;" Corp","YAS_BOND_YLD","YAS_YLD_FLAG=15"))</f>
        <v/>
      </c>
      <c r="L268" s="31">
        <f>IF($A268="","",K268-_xll.BDP($A268&amp;" Corp","YAS_BOND_YLD","YAS_YLD_FLAG=15","SETTLE_DT",Company_desc!$A$1))</f>
        <v/>
      </c>
      <c r="M268" s="31">
        <f>IF($A268="","",K268-_xll.BDP($A268&amp;" Corp","YAS_BOND_YLD","YAS_YLD_FLAG=15","SETTLE_DT",Company_desc!$A$2))</f>
        <v/>
      </c>
      <c r="N268" s="79">
        <f>IF($A268="","",_xll.BDP($A268&amp;" Corp","YAS_OAS_SPRD"))</f>
        <v/>
      </c>
      <c r="O268" s="67">
        <f>IF($A268="","",_xll.BDP($A268&amp;" Corp","YAS_MOD_DUR"))</f>
        <v/>
      </c>
      <c r="P268" s="80">
        <f>IF($A268="","",IFERROR(INDEX(Sheet1!$P:$P,MATCH($A268,Sheet1!$A:$A,0)),""))</f>
        <v/>
      </c>
      <c r="Q268" s="75">
        <f>IF($A268="","",IFERROR(INDEX(Company_desc!$C:$C,MATCH($A268,Company_desc!$A:$A,0)),IFERROR(INDEX(Sheet1!$Q:$Q,MATCH($A268,Sheet1!$A:$A,0)),"")))</f>
        <v/>
      </c>
      <c r="R268" s="75">
        <f>IF($A268="","",_xll.BDP($A268&amp;" Corp","CRNCY"))</f>
        <v/>
      </c>
      <c r="S268" s="75">
        <f>IF($A268="","",IFERROR(INDEX(Sheet1!$S:$S,MATCH($A268,Sheet1!$A:$A,0)),""))</f>
        <v/>
      </c>
      <c r="T268" s="75">
        <f>IF($A268="","",IFERROR(INDEX(Sheet1!$T:$T,MATCH($A268,Sheet1!$A:$A,0)),_xll.BDP($A268&amp;" Corp","RTG_SP")))</f>
        <v/>
      </c>
      <c r="U268" s="75">
        <f>IF($A268="","",IFERROR(INDEX(Sheet1!$U:$U,MATCH($A268,Sheet1!$A:$A,0)),""))</f>
        <v/>
      </c>
      <c r="W268" s="81">
        <f>IF($A268="","",N268-_xll.BDP($A268&amp;" Corp","YAS_OAS_SPRD","SETTLE_DT",Company_desc!$A$1))</f>
        <v/>
      </c>
      <c r="X268" s="81">
        <f>IF($A268="","",N268-_xll.BDP($A268&amp;" Corp","YAS_OAS_SPRD","SETTLE_DT",Company_desc!$A$2))</f>
        <v/>
      </c>
      <c r="Y268" s="80">
        <f>IF($A268="","",N268-_xll.BDP($A268&amp;" Corp","YAS_OAS_SPRD","SETTLE_DT",Company_desc!$D$1))</f>
        <v/>
      </c>
      <c r="Z268" s="82">
        <f>IF($A268="","",K268-_xll.BDP($A268&amp;" Corp","YAS_BOND_YLD","YAS_YLD_FLAG=15","SETTLE_DT",Company_desc!$D$1))</f>
        <v/>
      </c>
      <c r="AA268" s="80">
        <f>IF($A268="","",_xll.BDP($A268&amp;" Corp","YAS_OAS_SPRD","SETTLE_DT",Company_desc!$D$1))</f>
        <v/>
      </c>
    </row>
    <row r="269">
      <c r="B269" s="75">
        <f>IF($A269="","",IFERROR(INDEX(Sheet1!$B:$B,MATCH($A269,Sheet1!$A:$A,0)),""))</f>
        <v/>
      </c>
      <c r="C269" s="75">
        <f>IF($A269="","",PROPER(_xll.BDP($A269&amp;" Corp","NAME")))</f>
        <v/>
      </c>
      <c r="D269" s="76">
        <f>IF($A269="","",_xll.BDP($A269&amp;" Corp","CPN"))</f>
        <v/>
      </c>
      <c r="E269" s="75">
        <f>IF($A269="","",_xll.BDP($A269&amp;" Corp","PAYMENT_RANK"))</f>
        <v/>
      </c>
      <c r="F269" s="100">
        <f>IF($A269="","",_xll.BDP($A269&amp;" Corp","MATURITY"))</f>
        <v/>
      </c>
      <c r="G269" s="75">
        <f>IF($A269="","",PROPER(_xll.BDP($A269&amp;" Corp","COUNTRY_FULL_NAME")))</f>
        <v/>
      </c>
      <c r="H269" s="75">
        <f>IF($A269="","",_xll.BDP($A269&amp;" Corp","INDUSTRY_SECTOR"))</f>
        <v/>
      </c>
      <c r="I269" s="101">
        <f>IF($A269="","",IFERROR(_xll.BDP($A269&amp;" Corp","MIN_PIECE")/1000,""))</f>
        <v/>
      </c>
      <c r="J269" s="31">
        <f>IF($A269="","",_xll.BDP($A269&amp;" Corp","PX_LAST"))</f>
        <v/>
      </c>
      <c r="K269" s="31">
        <f>IF($A269="","",_xll.BDP($A269&amp;" Corp","YAS_BOND_YLD","YAS_YLD_FLAG=15"))</f>
        <v/>
      </c>
      <c r="L269" s="31">
        <f>IF($A269="","",K269-_xll.BDP($A269&amp;" Corp","YAS_BOND_YLD","YAS_YLD_FLAG=15","SETTLE_DT",Company_desc!$A$1))</f>
        <v/>
      </c>
      <c r="M269" s="31">
        <f>IF($A269="","",K269-_xll.BDP($A269&amp;" Corp","YAS_BOND_YLD","YAS_YLD_FLAG=15","SETTLE_DT",Company_desc!$A$2))</f>
        <v/>
      </c>
      <c r="N269" s="79">
        <f>IF($A269="","",_xll.BDP($A269&amp;" Corp","YAS_OAS_SPRD"))</f>
        <v/>
      </c>
      <c r="O269" s="67">
        <f>IF($A269="","",_xll.BDP($A269&amp;" Corp","YAS_MOD_DUR"))</f>
        <v/>
      </c>
      <c r="P269" s="80">
        <f>IF($A269="","",IFERROR(INDEX(Sheet1!$P:$P,MATCH($A269,Sheet1!$A:$A,0)),""))</f>
        <v/>
      </c>
      <c r="Q269" s="75">
        <f>IF($A269="","",IFERROR(INDEX(Company_desc!$C:$C,MATCH($A269,Company_desc!$A:$A,0)),IFERROR(INDEX(Sheet1!$Q:$Q,MATCH($A269,Sheet1!$A:$A,0)),"")))</f>
        <v/>
      </c>
      <c r="R269" s="75">
        <f>IF($A269="","",_xll.BDP($A269&amp;" Corp","CRNCY"))</f>
        <v/>
      </c>
      <c r="S269" s="75">
        <f>IF($A269="","",IFERROR(INDEX(Sheet1!$S:$S,MATCH($A269,Sheet1!$A:$A,0)),""))</f>
        <v/>
      </c>
      <c r="T269" s="75">
        <f>IF($A269="","",IFERROR(INDEX(Sheet1!$T:$T,MATCH($A269,Sheet1!$A:$A,0)),_xll.BDP($A269&amp;" Corp","RTG_SP")))</f>
        <v/>
      </c>
      <c r="U269" s="75">
        <f>IF($A269="","",IFERROR(INDEX(Sheet1!$U:$U,MATCH($A269,Sheet1!$A:$A,0)),""))</f>
        <v/>
      </c>
      <c r="W269" s="81">
        <f>IF($A269="","",N269-_xll.BDP($A269&amp;" Corp","YAS_OAS_SPRD","SETTLE_DT",Company_desc!$A$1))</f>
        <v/>
      </c>
      <c r="X269" s="81">
        <f>IF($A269="","",N269-_xll.BDP($A269&amp;" Corp","YAS_OAS_SPRD","SETTLE_DT",Company_desc!$A$2))</f>
        <v/>
      </c>
      <c r="Y269" s="80">
        <f>IF($A269="","",N269-_xll.BDP($A269&amp;" Corp","YAS_OAS_SPRD","SETTLE_DT",Company_desc!$D$1))</f>
        <v/>
      </c>
      <c r="Z269" s="82">
        <f>IF($A269="","",K269-_xll.BDP($A269&amp;" Corp","YAS_BOND_YLD","YAS_YLD_FLAG=15","SETTLE_DT",Company_desc!$D$1))</f>
        <v/>
      </c>
      <c r="AA269" s="80">
        <f>IF($A269="","",_xll.BDP($A269&amp;" Corp","YAS_OAS_SPRD","SETTLE_DT",Company_desc!$D$1))</f>
        <v/>
      </c>
    </row>
    <row r="270">
      <c r="B270" s="75">
        <f>IF($A270="","",IFERROR(INDEX(Sheet1!$B:$B,MATCH($A270,Sheet1!$A:$A,0)),""))</f>
        <v/>
      </c>
      <c r="C270" s="75">
        <f>IF($A270="","",PROPER(_xll.BDP($A270&amp;" Corp","NAME")))</f>
        <v/>
      </c>
      <c r="D270" s="76">
        <f>IF($A270="","",_xll.BDP($A270&amp;" Corp","CPN"))</f>
        <v/>
      </c>
      <c r="E270" s="75">
        <f>IF($A270="","",_xll.BDP($A270&amp;" Corp","PAYMENT_RANK"))</f>
        <v/>
      </c>
      <c r="F270" s="100">
        <f>IF($A270="","",_xll.BDP($A270&amp;" Corp","MATURITY"))</f>
        <v/>
      </c>
      <c r="G270" s="75">
        <f>IF($A270="","",PROPER(_xll.BDP($A270&amp;" Corp","COUNTRY_FULL_NAME")))</f>
        <v/>
      </c>
      <c r="H270" s="75">
        <f>IF($A270="","",_xll.BDP($A270&amp;" Corp","INDUSTRY_SECTOR"))</f>
        <v/>
      </c>
      <c r="I270" s="101">
        <f>IF($A270="","",IFERROR(_xll.BDP($A270&amp;" Corp","MIN_PIECE")/1000,""))</f>
        <v/>
      </c>
      <c r="J270" s="31">
        <f>IF($A270="","",_xll.BDP($A270&amp;" Corp","PX_LAST"))</f>
        <v/>
      </c>
      <c r="K270" s="31">
        <f>IF($A270="","",_xll.BDP($A270&amp;" Corp","YAS_BOND_YLD","YAS_YLD_FLAG=15"))</f>
        <v/>
      </c>
      <c r="L270" s="31">
        <f>IF($A270="","",K270-_xll.BDP($A270&amp;" Corp","YAS_BOND_YLD","YAS_YLD_FLAG=15","SETTLE_DT",Company_desc!$A$1))</f>
        <v/>
      </c>
      <c r="M270" s="31">
        <f>IF($A270="","",K270-_xll.BDP($A270&amp;" Corp","YAS_BOND_YLD","YAS_YLD_FLAG=15","SETTLE_DT",Company_desc!$A$2))</f>
        <v/>
      </c>
      <c r="N270" s="79">
        <f>IF($A270="","",_xll.BDP($A270&amp;" Corp","YAS_OAS_SPRD"))</f>
        <v/>
      </c>
      <c r="O270" s="67">
        <f>IF($A270="","",_xll.BDP($A270&amp;" Corp","YAS_MOD_DUR"))</f>
        <v/>
      </c>
      <c r="P270" s="80">
        <f>IF($A270="","",IFERROR(INDEX(Sheet1!$P:$P,MATCH($A270,Sheet1!$A:$A,0)),""))</f>
        <v/>
      </c>
      <c r="Q270" s="75">
        <f>IF($A270="","",IFERROR(INDEX(Company_desc!$C:$C,MATCH($A270,Company_desc!$A:$A,0)),IFERROR(INDEX(Sheet1!$Q:$Q,MATCH($A270,Sheet1!$A:$A,0)),"")))</f>
        <v/>
      </c>
      <c r="R270" s="75">
        <f>IF($A270="","",_xll.BDP($A270&amp;" Corp","CRNCY"))</f>
        <v/>
      </c>
      <c r="S270" s="75">
        <f>IF($A270="","",IFERROR(INDEX(Sheet1!$S:$S,MATCH($A270,Sheet1!$A:$A,0)),""))</f>
        <v/>
      </c>
      <c r="T270" s="75">
        <f>IF($A270="","",IFERROR(INDEX(Sheet1!$T:$T,MATCH($A270,Sheet1!$A:$A,0)),_xll.BDP($A270&amp;" Corp","RTG_SP")))</f>
        <v/>
      </c>
      <c r="U270" s="75">
        <f>IF($A270="","",IFERROR(INDEX(Sheet1!$U:$U,MATCH($A270,Sheet1!$A:$A,0)),""))</f>
        <v/>
      </c>
      <c r="W270" s="81">
        <f>IF($A270="","",N270-_xll.BDP($A270&amp;" Corp","YAS_OAS_SPRD","SETTLE_DT",Company_desc!$A$1))</f>
        <v/>
      </c>
      <c r="X270" s="81">
        <f>IF($A270="","",N270-_xll.BDP($A270&amp;" Corp","YAS_OAS_SPRD","SETTLE_DT",Company_desc!$A$2))</f>
        <v/>
      </c>
      <c r="Y270" s="80">
        <f>IF($A270="","",N270-_xll.BDP($A270&amp;" Corp","YAS_OAS_SPRD","SETTLE_DT",Company_desc!$D$1))</f>
        <v/>
      </c>
      <c r="Z270" s="82">
        <f>IF($A270="","",K270-_xll.BDP($A270&amp;" Corp","YAS_BOND_YLD","YAS_YLD_FLAG=15","SETTLE_DT",Company_desc!$D$1))</f>
        <v/>
      </c>
      <c r="AA270" s="80">
        <f>IF($A270="","",_xll.BDP($A270&amp;" Corp","YAS_OAS_SPRD","SETTLE_DT",Company_desc!$D$1))</f>
        <v/>
      </c>
    </row>
    <row r="271">
      <c r="B271" s="75">
        <f>IF($A271="","",IFERROR(INDEX(Sheet1!$B:$B,MATCH($A271,Sheet1!$A:$A,0)),""))</f>
        <v/>
      </c>
      <c r="C271" s="75">
        <f>IF($A271="","",PROPER(_xll.BDP($A271&amp;" Corp","NAME")))</f>
        <v/>
      </c>
      <c r="D271" s="76">
        <f>IF($A271="","",_xll.BDP($A271&amp;" Corp","CPN"))</f>
        <v/>
      </c>
      <c r="E271" s="75">
        <f>IF($A271="","",_xll.BDP($A271&amp;" Corp","PAYMENT_RANK"))</f>
        <v/>
      </c>
      <c r="F271" s="100">
        <f>IF($A271="","",_xll.BDP($A271&amp;" Corp","MATURITY"))</f>
        <v/>
      </c>
      <c r="G271" s="75">
        <f>IF($A271="","",PROPER(_xll.BDP($A271&amp;" Corp","COUNTRY_FULL_NAME")))</f>
        <v/>
      </c>
      <c r="H271" s="75">
        <f>IF($A271="","",_xll.BDP($A271&amp;" Corp","INDUSTRY_SECTOR"))</f>
        <v/>
      </c>
      <c r="I271" s="101">
        <f>IF($A271="","",IFERROR(_xll.BDP($A271&amp;" Corp","MIN_PIECE")/1000,""))</f>
        <v/>
      </c>
      <c r="J271" s="31">
        <f>IF($A271="","",_xll.BDP($A271&amp;" Corp","PX_LAST"))</f>
        <v/>
      </c>
      <c r="K271" s="31">
        <f>IF($A271="","",_xll.BDP($A271&amp;" Corp","YAS_BOND_YLD","YAS_YLD_FLAG=15"))</f>
        <v/>
      </c>
      <c r="L271" s="31">
        <f>IF($A271="","",K271-_xll.BDP($A271&amp;" Corp","YAS_BOND_YLD","YAS_YLD_FLAG=15","SETTLE_DT",Company_desc!$A$1))</f>
        <v/>
      </c>
      <c r="M271" s="31">
        <f>IF($A271="","",K271-_xll.BDP($A271&amp;" Corp","YAS_BOND_YLD","YAS_YLD_FLAG=15","SETTLE_DT",Company_desc!$A$2))</f>
        <v/>
      </c>
      <c r="N271" s="79">
        <f>IF($A271="","",_xll.BDP($A271&amp;" Corp","YAS_OAS_SPRD"))</f>
        <v/>
      </c>
      <c r="O271" s="67">
        <f>IF($A271="","",_xll.BDP($A271&amp;" Corp","YAS_MOD_DUR"))</f>
        <v/>
      </c>
      <c r="P271" s="80">
        <f>IF($A271="","",IFERROR(INDEX(Sheet1!$P:$P,MATCH($A271,Sheet1!$A:$A,0)),""))</f>
        <v/>
      </c>
      <c r="Q271" s="75">
        <f>IF($A271="","",IFERROR(INDEX(Company_desc!$C:$C,MATCH($A271,Company_desc!$A:$A,0)),IFERROR(INDEX(Sheet1!$Q:$Q,MATCH($A271,Sheet1!$A:$A,0)),"")))</f>
        <v/>
      </c>
      <c r="R271" s="75">
        <f>IF($A271="","",_xll.BDP($A271&amp;" Corp","CRNCY"))</f>
        <v/>
      </c>
      <c r="S271" s="75">
        <f>IF($A271="","",IFERROR(INDEX(Sheet1!$S:$S,MATCH($A271,Sheet1!$A:$A,0)),""))</f>
        <v/>
      </c>
      <c r="T271" s="75">
        <f>IF($A271="","",IFERROR(INDEX(Sheet1!$T:$T,MATCH($A271,Sheet1!$A:$A,0)),_xll.BDP($A271&amp;" Corp","RTG_SP")))</f>
        <v/>
      </c>
      <c r="U271" s="75">
        <f>IF($A271="","",IFERROR(INDEX(Sheet1!$U:$U,MATCH($A271,Sheet1!$A:$A,0)),""))</f>
        <v/>
      </c>
      <c r="W271" s="81">
        <f>IF($A271="","",N271-_xll.BDP($A271&amp;" Corp","YAS_OAS_SPRD","SETTLE_DT",Company_desc!$A$1))</f>
        <v/>
      </c>
      <c r="X271" s="81">
        <f>IF($A271="","",N271-_xll.BDP($A271&amp;" Corp","YAS_OAS_SPRD","SETTLE_DT",Company_desc!$A$2))</f>
        <v/>
      </c>
      <c r="Y271" s="80">
        <f>IF($A271="","",N271-_xll.BDP($A271&amp;" Corp","YAS_OAS_SPRD","SETTLE_DT",Company_desc!$D$1))</f>
        <v/>
      </c>
      <c r="Z271" s="82">
        <f>IF($A271="","",K271-_xll.BDP($A271&amp;" Corp","YAS_BOND_YLD","YAS_YLD_FLAG=15","SETTLE_DT",Company_desc!$D$1))</f>
        <v/>
      </c>
      <c r="AA271" s="80">
        <f>IF($A271="","",_xll.BDP($A271&amp;" Corp","YAS_OAS_SPRD","SETTLE_DT",Company_desc!$D$1))</f>
        <v/>
      </c>
    </row>
    <row r="272">
      <c r="B272" s="75">
        <f>IF($A272="","",IFERROR(INDEX(Sheet1!$B:$B,MATCH($A272,Sheet1!$A:$A,0)),""))</f>
        <v/>
      </c>
      <c r="C272" s="75">
        <f>IF($A272="","",PROPER(_xll.BDP($A272&amp;" Corp","NAME")))</f>
        <v/>
      </c>
      <c r="D272" s="76">
        <f>IF($A272="","",_xll.BDP($A272&amp;" Corp","CPN"))</f>
        <v/>
      </c>
      <c r="E272" s="75">
        <f>IF($A272="","",_xll.BDP($A272&amp;" Corp","PAYMENT_RANK"))</f>
        <v/>
      </c>
      <c r="F272" s="100">
        <f>IF($A272="","",_xll.BDP($A272&amp;" Corp","MATURITY"))</f>
        <v/>
      </c>
      <c r="G272" s="75">
        <f>IF($A272="","",PROPER(_xll.BDP($A272&amp;" Corp","COUNTRY_FULL_NAME")))</f>
        <v/>
      </c>
      <c r="H272" s="75">
        <f>IF($A272="","",_xll.BDP($A272&amp;" Corp","INDUSTRY_SECTOR"))</f>
        <v/>
      </c>
      <c r="I272" s="101">
        <f>IF($A272="","",IFERROR(_xll.BDP($A272&amp;" Corp","MIN_PIECE")/1000,""))</f>
        <v/>
      </c>
      <c r="J272" s="31">
        <f>IF($A272="","",_xll.BDP($A272&amp;" Corp","PX_LAST"))</f>
        <v/>
      </c>
      <c r="K272" s="31">
        <f>IF($A272="","",_xll.BDP($A272&amp;" Corp","YAS_BOND_YLD","YAS_YLD_FLAG=15"))</f>
        <v/>
      </c>
      <c r="L272" s="31">
        <f>IF($A272="","",K272-_xll.BDP($A272&amp;" Corp","YAS_BOND_YLD","YAS_YLD_FLAG=15","SETTLE_DT",Company_desc!$A$1))</f>
        <v/>
      </c>
      <c r="M272" s="31">
        <f>IF($A272="","",K272-_xll.BDP($A272&amp;" Corp","YAS_BOND_YLD","YAS_YLD_FLAG=15","SETTLE_DT",Company_desc!$A$2))</f>
        <v/>
      </c>
      <c r="N272" s="79">
        <f>IF($A272="","",_xll.BDP($A272&amp;" Corp","YAS_OAS_SPRD"))</f>
        <v/>
      </c>
      <c r="O272" s="67">
        <f>IF($A272="","",_xll.BDP($A272&amp;" Corp","YAS_MOD_DUR"))</f>
        <v/>
      </c>
      <c r="P272" s="80">
        <f>IF($A272="","",IFERROR(INDEX(Sheet1!$P:$P,MATCH($A272,Sheet1!$A:$A,0)),""))</f>
        <v/>
      </c>
      <c r="Q272" s="75">
        <f>IF($A272="","",IFERROR(INDEX(Company_desc!$C:$C,MATCH($A272,Company_desc!$A:$A,0)),IFERROR(INDEX(Sheet1!$Q:$Q,MATCH($A272,Sheet1!$A:$A,0)),"")))</f>
        <v/>
      </c>
      <c r="R272" s="75">
        <f>IF($A272="","",_xll.BDP($A272&amp;" Corp","CRNCY"))</f>
        <v/>
      </c>
      <c r="S272" s="75">
        <f>IF($A272="","",IFERROR(INDEX(Sheet1!$S:$S,MATCH($A272,Sheet1!$A:$A,0)),""))</f>
        <v/>
      </c>
      <c r="T272" s="75">
        <f>IF($A272="","",IFERROR(INDEX(Sheet1!$T:$T,MATCH($A272,Sheet1!$A:$A,0)),_xll.BDP($A272&amp;" Corp","RTG_SP")))</f>
        <v/>
      </c>
      <c r="U272" s="75">
        <f>IF($A272="","",IFERROR(INDEX(Sheet1!$U:$U,MATCH($A272,Sheet1!$A:$A,0)),""))</f>
        <v/>
      </c>
      <c r="W272" s="81">
        <f>IF($A272="","",N272-_xll.BDP($A272&amp;" Corp","YAS_OAS_SPRD","SETTLE_DT",Company_desc!$A$1))</f>
        <v/>
      </c>
      <c r="X272" s="81">
        <f>IF($A272="","",N272-_xll.BDP($A272&amp;" Corp","YAS_OAS_SPRD","SETTLE_DT",Company_desc!$A$2))</f>
        <v/>
      </c>
      <c r="Y272" s="80">
        <f>IF($A272="","",N272-_xll.BDP($A272&amp;" Corp","YAS_OAS_SPRD","SETTLE_DT",Company_desc!$D$1))</f>
        <v/>
      </c>
      <c r="Z272" s="82">
        <f>IF($A272="","",K272-_xll.BDP($A272&amp;" Corp","YAS_BOND_YLD","YAS_YLD_FLAG=15","SETTLE_DT",Company_desc!$D$1))</f>
        <v/>
      </c>
      <c r="AA272" s="80">
        <f>IF($A272="","",_xll.BDP($A272&amp;" Corp","YAS_OAS_SPRD","SETTLE_DT",Company_desc!$D$1))</f>
        <v/>
      </c>
    </row>
    <row r="273">
      <c r="B273" s="75">
        <f>IF($A273="","",IFERROR(INDEX(Sheet1!$B:$B,MATCH($A273,Sheet1!$A:$A,0)),""))</f>
        <v/>
      </c>
      <c r="C273" s="75">
        <f>IF($A273="","",PROPER(_xll.BDP($A273&amp;" Corp","NAME")))</f>
        <v/>
      </c>
      <c r="D273" s="76">
        <f>IF($A273="","",_xll.BDP($A273&amp;" Corp","CPN"))</f>
        <v/>
      </c>
      <c r="E273" s="75">
        <f>IF($A273="","",_xll.BDP($A273&amp;" Corp","PAYMENT_RANK"))</f>
        <v/>
      </c>
      <c r="F273" s="100">
        <f>IF($A273="","",_xll.BDP($A273&amp;" Corp","MATURITY"))</f>
        <v/>
      </c>
      <c r="G273" s="75">
        <f>IF($A273="","",PROPER(_xll.BDP($A273&amp;" Corp","COUNTRY_FULL_NAME")))</f>
        <v/>
      </c>
      <c r="H273" s="75">
        <f>IF($A273="","",_xll.BDP($A273&amp;" Corp","INDUSTRY_SECTOR"))</f>
        <v/>
      </c>
      <c r="I273" s="101">
        <f>IF($A273="","",IFERROR(_xll.BDP($A273&amp;" Corp","MIN_PIECE")/1000,""))</f>
        <v/>
      </c>
      <c r="J273" s="31">
        <f>IF($A273="","",_xll.BDP($A273&amp;" Corp","PX_LAST"))</f>
        <v/>
      </c>
      <c r="K273" s="31">
        <f>IF($A273="","",_xll.BDP($A273&amp;" Corp","YAS_BOND_YLD","YAS_YLD_FLAG=15"))</f>
        <v/>
      </c>
      <c r="L273" s="31">
        <f>IF($A273="","",K273-_xll.BDP($A273&amp;" Corp","YAS_BOND_YLD","YAS_YLD_FLAG=15","SETTLE_DT",Company_desc!$A$1))</f>
        <v/>
      </c>
      <c r="M273" s="31">
        <f>IF($A273="","",K273-_xll.BDP($A273&amp;" Corp","YAS_BOND_YLD","YAS_YLD_FLAG=15","SETTLE_DT",Company_desc!$A$2))</f>
        <v/>
      </c>
      <c r="N273" s="79">
        <f>IF($A273="","",_xll.BDP($A273&amp;" Corp","YAS_OAS_SPRD"))</f>
        <v/>
      </c>
      <c r="O273" s="67">
        <f>IF($A273="","",_xll.BDP($A273&amp;" Corp","YAS_MOD_DUR"))</f>
        <v/>
      </c>
      <c r="P273" s="80">
        <f>IF($A273="","",IFERROR(INDEX(Sheet1!$P:$P,MATCH($A273,Sheet1!$A:$A,0)),""))</f>
        <v/>
      </c>
      <c r="Q273" s="75">
        <f>IF($A273="","",IFERROR(INDEX(Company_desc!$C:$C,MATCH($A273,Company_desc!$A:$A,0)),IFERROR(INDEX(Sheet1!$Q:$Q,MATCH($A273,Sheet1!$A:$A,0)),"")))</f>
        <v/>
      </c>
      <c r="R273" s="75">
        <f>IF($A273="","",_xll.BDP($A273&amp;" Corp","CRNCY"))</f>
        <v/>
      </c>
      <c r="S273" s="75">
        <f>IF($A273="","",IFERROR(INDEX(Sheet1!$S:$S,MATCH($A273,Sheet1!$A:$A,0)),""))</f>
        <v/>
      </c>
      <c r="T273" s="75">
        <f>IF($A273="","",IFERROR(INDEX(Sheet1!$T:$T,MATCH($A273,Sheet1!$A:$A,0)),_xll.BDP($A273&amp;" Corp","RTG_SP")))</f>
        <v/>
      </c>
      <c r="U273" s="75">
        <f>IF($A273="","",IFERROR(INDEX(Sheet1!$U:$U,MATCH($A273,Sheet1!$A:$A,0)),""))</f>
        <v/>
      </c>
      <c r="W273" s="81">
        <f>IF($A273="","",N273-_xll.BDP($A273&amp;" Corp","YAS_OAS_SPRD","SETTLE_DT",Company_desc!$A$1))</f>
        <v/>
      </c>
      <c r="X273" s="81">
        <f>IF($A273="","",N273-_xll.BDP($A273&amp;" Corp","YAS_OAS_SPRD","SETTLE_DT",Company_desc!$A$2))</f>
        <v/>
      </c>
      <c r="Y273" s="80">
        <f>IF($A273="","",N273-_xll.BDP($A273&amp;" Corp","YAS_OAS_SPRD","SETTLE_DT",Company_desc!$D$1))</f>
        <v/>
      </c>
      <c r="Z273" s="82">
        <f>IF($A273="","",K273-_xll.BDP($A273&amp;" Corp","YAS_BOND_YLD","YAS_YLD_FLAG=15","SETTLE_DT",Company_desc!$D$1))</f>
        <v/>
      </c>
      <c r="AA273" s="80">
        <f>IF($A273="","",_xll.BDP($A273&amp;" Corp","YAS_OAS_SPRD","SETTLE_DT",Company_desc!$D$1))</f>
        <v/>
      </c>
    </row>
    <row r="274">
      <c r="B274" s="75">
        <f>IF($A274="","",IFERROR(INDEX(Sheet1!$B:$B,MATCH($A274,Sheet1!$A:$A,0)),""))</f>
        <v/>
      </c>
      <c r="C274" s="75">
        <f>IF($A274="","",PROPER(_xll.BDP($A274&amp;" Corp","NAME")))</f>
        <v/>
      </c>
      <c r="D274" s="76">
        <f>IF($A274="","",_xll.BDP($A274&amp;" Corp","CPN"))</f>
        <v/>
      </c>
      <c r="E274" s="75">
        <f>IF($A274="","",_xll.BDP($A274&amp;" Corp","PAYMENT_RANK"))</f>
        <v/>
      </c>
      <c r="F274" s="100">
        <f>IF($A274="","",_xll.BDP($A274&amp;" Corp","MATURITY"))</f>
        <v/>
      </c>
      <c r="G274" s="75">
        <f>IF($A274="","",PROPER(_xll.BDP($A274&amp;" Corp","COUNTRY_FULL_NAME")))</f>
        <v/>
      </c>
      <c r="H274" s="75">
        <f>IF($A274="","",_xll.BDP($A274&amp;" Corp","INDUSTRY_SECTOR"))</f>
        <v/>
      </c>
      <c r="I274" s="101">
        <f>IF($A274="","",IFERROR(_xll.BDP($A274&amp;" Corp","MIN_PIECE")/1000,""))</f>
        <v/>
      </c>
      <c r="J274" s="31">
        <f>IF($A274="","",_xll.BDP($A274&amp;" Corp","PX_LAST"))</f>
        <v/>
      </c>
      <c r="K274" s="31">
        <f>IF($A274="","",_xll.BDP($A274&amp;" Corp","YAS_BOND_YLD","YAS_YLD_FLAG=15"))</f>
        <v/>
      </c>
      <c r="L274" s="31">
        <f>IF($A274="","",K274-_xll.BDP($A274&amp;" Corp","YAS_BOND_YLD","YAS_YLD_FLAG=15","SETTLE_DT",Company_desc!$A$1))</f>
        <v/>
      </c>
      <c r="M274" s="31">
        <f>IF($A274="","",K274-_xll.BDP($A274&amp;" Corp","YAS_BOND_YLD","YAS_YLD_FLAG=15","SETTLE_DT",Company_desc!$A$2))</f>
        <v/>
      </c>
      <c r="N274" s="79">
        <f>IF($A274="","",_xll.BDP($A274&amp;" Corp","YAS_OAS_SPRD"))</f>
        <v/>
      </c>
      <c r="O274" s="67">
        <f>IF($A274="","",_xll.BDP($A274&amp;" Corp","YAS_MOD_DUR"))</f>
        <v/>
      </c>
      <c r="P274" s="80">
        <f>IF($A274="","",IFERROR(INDEX(Sheet1!$P:$P,MATCH($A274,Sheet1!$A:$A,0)),""))</f>
        <v/>
      </c>
      <c r="Q274" s="75">
        <f>IF($A274="","",IFERROR(INDEX(Company_desc!$C:$C,MATCH($A274,Company_desc!$A:$A,0)),IFERROR(INDEX(Sheet1!$Q:$Q,MATCH($A274,Sheet1!$A:$A,0)),"")))</f>
        <v/>
      </c>
      <c r="R274" s="75">
        <f>IF($A274="","",_xll.BDP($A274&amp;" Corp","CRNCY"))</f>
        <v/>
      </c>
      <c r="S274" s="75">
        <f>IF($A274="","",IFERROR(INDEX(Sheet1!$S:$S,MATCH($A274,Sheet1!$A:$A,0)),""))</f>
        <v/>
      </c>
      <c r="T274" s="75">
        <f>IF($A274="","",IFERROR(INDEX(Sheet1!$T:$T,MATCH($A274,Sheet1!$A:$A,0)),_xll.BDP($A274&amp;" Corp","RTG_SP")))</f>
        <v/>
      </c>
      <c r="U274" s="75">
        <f>IF($A274="","",IFERROR(INDEX(Sheet1!$U:$U,MATCH($A274,Sheet1!$A:$A,0)),""))</f>
        <v/>
      </c>
      <c r="W274" s="81">
        <f>IF($A274="","",N274-_xll.BDP($A274&amp;" Corp","YAS_OAS_SPRD","SETTLE_DT",Company_desc!$A$1))</f>
        <v/>
      </c>
      <c r="X274" s="81">
        <f>IF($A274="","",N274-_xll.BDP($A274&amp;" Corp","YAS_OAS_SPRD","SETTLE_DT",Company_desc!$A$2))</f>
        <v/>
      </c>
      <c r="Y274" s="80">
        <f>IF($A274="","",N274-_xll.BDP($A274&amp;" Corp","YAS_OAS_SPRD","SETTLE_DT",Company_desc!$D$1))</f>
        <v/>
      </c>
      <c r="Z274" s="82">
        <f>IF($A274="","",K274-_xll.BDP($A274&amp;" Corp","YAS_BOND_YLD","YAS_YLD_FLAG=15","SETTLE_DT",Company_desc!$D$1))</f>
        <v/>
      </c>
      <c r="AA274" s="80">
        <f>IF($A274="","",_xll.BDP($A274&amp;" Corp","YAS_OAS_SPRD","SETTLE_DT",Company_desc!$D$1))</f>
        <v/>
      </c>
    </row>
    <row r="275">
      <c r="B275" s="75">
        <f>IF($A275="","",IFERROR(INDEX(Sheet1!$B:$B,MATCH($A275,Sheet1!$A:$A,0)),""))</f>
        <v/>
      </c>
      <c r="C275" s="75">
        <f>IF($A275="","",PROPER(_xll.BDP($A275&amp;" Corp","NAME")))</f>
        <v/>
      </c>
      <c r="D275" s="76">
        <f>IF($A275="","",_xll.BDP($A275&amp;" Corp","CPN"))</f>
        <v/>
      </c>
      <c r="E275" s="75">
        <f>IF($A275="","",_xll.BDP($A275&amp;" Corp","PAYMENT_RANK"))</f>
        <v/>
      </c>
      <c r="F275" s="100">
        <f>IF($A275="","",_xll.BDP($A275&amp;" Corp","MATURITY"))</f>
        <v/>
      </c>
      <c r="G275" s="75">
        <f>IF($A275="","",PROPER(_xll.BDP($A275&amp;" Corp","COUNTRY_FULL_NAME")))</f>
        <v/>
      </c>
      <c r="H275" s="75">
        <f>IF($A275="","",_xll.BDP($A275&amp;" Corp","INDUSTRY_SECTOR"))</f>
        <v/>
      </c>
      <c r="I275" s="101">
        <f>IF($A275="","",IFERROR(_xll.BDP($A275&amp;" Corp","MIN_PIECE")/1000,""))</f>
        <v/>
      </c>
      <c r="J275" s="31">
        <f>IF($A275="","",_xll.BDP($A275&amp;" Corp","PX_LAST"))</f>
        <v/>
      </c>
      <c r="K275" s="31">
        <f>IF($A275="","",_xll.BDP($A275&amp;" Corp","YAS_BOND_YLD","YAS_YLD_FLAG=15"))</f>
        <v/>
      </c>
      <c r="L275" s="31">
        <f>IF($A275="","",K275-_xll.BDP($A275&amp;" Corp","YAS_BOND_YLD","YAS_YLD_FLAG=15","SETTLE_DT",Company_desc!$A$1))</f>
        <v/>
      </c>
      <c r="M275" s="31">
        <f>IF($A275="","",K275-_xll.BDP($A275&amp;" Corp","YAS_BOND_YLD","YAS_YLD_FLAG=15","SETTLE_DT",Company_desc!$A$2))</f>
        <v/>
      </c>
      <c r="N275" s="79">
        <f>IF($A275="","",_xll.BDP($A275&amp;" Corp","YAS_OAS_SPRD"))</f>
        <v/>
      </c>
      <c r="O275" s="67">
        <f>IF($A275="","",_xll.BDP($A275&amp;" Corp","YAS_MOD_DUR"))</f>
        <v/>
      </c>
      <c r="P275" s="80">
        <f>IF($A275="","",IFERROR(INDEX(Sheet1!$P:$P,MATCH($A275,Sheet1!$A:$A,0)),""))</f>
        <v/>
      </c>
      <c r="Q275" s="75">
        <f>IF($A275="","",IFERROR(INDEX(Company_desc!$C:$C,MATCH($A275,Company_desc!$A:$A,0)),IFERROR(INDEX(Sheet1!$Q:$Q,MATCH($A275,Sheet1!$A:$A,0)),"")))</f>
        <v/>
      </c>
      <c r="R275" s="75">
        <f>IF($A275="","",_xll.BDP($A275&amp;" Corp","CRNCY"))</f>
        <v/>
      </c>
      <c r="S275" s="75">
        <f>IF($A275="","",IFERROR(INDEX(Sheet1!$S:$S,MATCH($A275,Sheet1!$A:$A,0)),""))</f>
        <v/>
      </c>
      <c r="T275" s="75">
        <f>IF($A275="","",IFERROR(INDEX(Sheet1!$T:$T,MATCH($A275,Sheet1!$A:$A,0)),_xll.BDP($A275&amp;" Corp","RTG_SP")))</f>
        <v/>
      </c>
      <c r="U275" s="83">
        <f>IF($A275="","",IFERROR(INDEX(Sheet1!$U:$U,MATCH($A275,Sheet1!$A:$A,0)),""))</f>
        <v/>
      </c>
      <c r="W275" s="81">
        <f>IF($A275="","",N275-_xll.BDP($A275&amp;" Corp","YAS_OAS_SPRD","SETTLE_DT",Company_desc!$A$1))</f>
        <v/>
      </c>
      <c r="X275" s="81">
        <f>IF($A275="","",N275-_xll.BDP($A275&amp;" Corp","YAS_OAS_SPRD","SETTLE_DT",Company_desc!$A$2))</f>
        <v/>
      </c>
      <c r="Y275" s="80">
        <f>IF($A275="","",N275-_xll.BDP($A275&amp;" Corp","YAS_OAS_SPRD","SETTLE_DT",Company_desc!$D$1))</f>
        <v/>
      </c>
      <c r="Z275" s="82">
        <f>IF($A275="","",K275-_xll.BDP($A275&amp;" Corp","YAS_BOND_YLD","YAS_YLD_FLAG=15","SETTLE_DT",Company_desc!$D$1))</f>
        <v/>
      </c>
      <c r="AA275" s="80">
        <f>IF($A275="","",_xll.BDP($A275&amp;" Corp","YAS_OAS_SPRD","SETTLE_DT",Company_desc!$D$1))</f>
        <v/>
      </c>
    </row>
    <row r="276">
      <c r="A276" s="42" t="n"/>
      <c r="B276" s="75">
        <f>IF($A276="","",IFERROR(INDEX(Sheet1!$B:$B,MATCH($A276,Sheet1!$A:$A,0)),""))</f>
        <v/>
      </c>
      <c r="C276" s="75">
        <f>IF($A276="","",PROPER(_xll.BDP($A276&amp;" Corp","NAME")))</f>
        <v/>
      </c>
      <c r="D276" s="76">
        <f>IF($A276="","",_xll.BDP($A276&amp;" Corp","CPN"))</f>
        <v/>
      </c>
      <c r="E276" s="75">
        <f>IF($A276="","",_xll.BDP($A276&amp;" Corp","PAYMENT_RANK"))</f>
        <v/>
      </c>
      <c r="F276" s="100">
        <f>IF($A276="","",_xll.BDP($A276&amp;" Corp","MATURITY"))</f>
        <v/>
      </c>
      <c r="G276" s="75">
        <f>IF($A276="","",PROPER(_xll.BDP($A276&amp;" Corp","COUNTRY_FULL_NAME")))</f>
        <v/>
      </c>
      <c r="H276" s="75">
        <f>IF($A276="","",_xll.BDP($A276&amp;" Corp","INDUSTRY_SECTOR"))</f>
        <v/>
      </c>
      <c r="I276" s="101">
        <f>IF($A276="","",IFERROR(_xll.BDP($A276&amp;" Corp","MIN_PIECE")/1000,""))</f>
        <v/>
      </c>
      <c r="J276" s="31">
        <f>IF($A276="","",_xll.BDP($A276&amp;" Corp","PX_LAST"))</f>
        <v/>
      </c>
      <c r="K276" s="31">
        <f>IF($A276="","",_xll.BDP($A276&amp;" Corp","YAS_BOND_YLD","YAS_YLD_FLAG=15"))</f>
        <v/>
      </c>
      <c r="L276" s="31">
        <f>IF($A276="","",K276-_xll.BDP($A276&amp;" Corp","YAS_BOND_YLD","YAS_YLD_FLAG=15","SETTLE_DT",Company_desc!$A$1))</f>
        <v/>
      </c>
      <c r="M276" s="31">
        <f>IF($A276="","",K276-_xll.BDP($A276&amp;" Corp","YAS_BOND_YLD","YAS_YLD_FLAG=15","SETTLE_DT",Company_desc!$A$2))</f>
        <v/>
      </c>
      <c r="N276" s="79">
        <f>IF($A276="","",_xll.BDP($A276&amp;" Corp","YAS_OAS_SPRD"))</f>
        <v/>
      </c>
      <c r="O276" s="67">
        <f>IF($A276="","",_xll.BDP($A276&amp;" Corp","YAS_MOD_DUR"))</f>
        <v/>
      </c>
      <c r="P276" s="80">
        <f>IF($A276="","",IFERROR(INDEX(Sheet1!$P:$P,MATCH($A276,Sheet1!$A:$A,0)),""))</f>
        <v/>
      </c>
      <c r="Q276" s="75">
        <f>IF($A276="","",IFERROR(INDEX(Company_desc!$C:$C,MATCH($A276,Company_desc!$A:$A,0)),IFERROR(INDEX(Sheet1!$Q:$Q,MATCH($A276,Sheet1!$A:$A,0)),"")))</f>
        <v/>
      </c>
      <c r="R276" s="75">
        <f>IF($A276="","",_xll.BDP($A276&amp;" Corp","CRNCY"))</f>
        <v/>
      </c>
      <c r="S276" s="75">
        <f>IF($A276="","",IFERROR(INDEX(Sheet1!$S:$S,MATCH($A276,Sheet1!$A:$A,0)),""))</f>
        <v/>
      </c>
      <c r="T276" s="75">
        <f>IF($A276="","",IFERROR(INDEX(Sheet1!$T:$T,MATCH($A276,Sheet1!$A:$A,0)),_xll.BDP($A276&amp;" Corp","RTG_SP")))</f>
        <v/>
      </c>
      <c r="U276" s="75">
        <f>IF($A276="","",IFERROR(INDEX(Sheet1!$U:$U,MATCH($A276,Sheet1!$A:$A,0)),""))</f>
        <v/>
      </c>
      <c r="W276" s="81">
        <f>IF($A276="","",N276-_xll.BDP($A276&amp;" Corp","YAS_OAS_SPRD","SETTLE_DT",Company_desc!$A$1))</f>
        <v/>
      </c>
      <c r="X276" s="81">
        <f>IF($A276="","",N276-_xll.BDP($A276&amp;" Corp","YAS_OAS_SPRD","SETTLE_DT",Company_desc!$A$2))</f>
        <v/>
      </c>
      <c r="Y276" s="80">
        <f>IF($A276="","",N276-_xll.BDP($A276&amp;" Corp","YAS_OAS_SPRD","SETTLE_DT",Company_desc!$D$1))</f>
        <v/>
      </c>
      <c r="Z276" s="82">
        <f>IF($A276="","",K276-_xll.BDP($A276&amp;" Corp","YAS_BOND_YLD","YAS_YLD_FLAG=15","SETTLE_DT",Company_desc!$D$1))</f>
        <v/>
      </c>
      <c r="AA276" s="80">
        <f>IF($A276="","",_xll.BDP($A276&amp;" Corp","YAS_OAS_SPRD","SETTLE_DT",Company_desc!$D$1))</f>
        <v/>
      </c>
    </row>
    <row r="277">
      <c r="B277" s="75">
        <f>IF($A277="","",IFERROR(INDEX(Sheet1!$B:$B,MATCH($A277,Sheet1!$A:$A,0)),""))</f>
        <v/>
      </c>
      <c r="C277" s="75">
        <f>IF($A277="","",PROPER(_xll.BDP($A277&amp;" Corp","NAME")))</f>
        <v/>
      </c>
      <c r="D277" s="76">
        <f>IF($A277="","",_xll.BDP($A277&amp;" Corp","CPN"))</f>
        <v/>
      </c>
      <c r="E277" s="75">
        <f>IF($A277="","",_xll.BDP($A277&amp;" Corp","PAYMENT_RANK"))</f>
        <v/>
      </c>
      <c r="F277" s="100">
        <f>IF($A277="","",_xll.BDP($A277&amp;" Corp","MATURITY"))</f>
        <v/>
      </c>
      <c r="G277" s="75">
        <f>IF($A277="","",PROPER(_xll.BDP($A277&amp;" Corp","COUNTRY_FULL_NAME")))</f>
        <v/>
      </c>
      <c r="H277" s="75">
        <f>IF($A277="","",_xll.BDP($A277&amp;" Corp","INDUSTRY_SECTOR"))</f>
        <v/>
      </c>
      <c r="I277" s="101">
        <f>IF($A277="","",IFERROR(_xll.BDP($A277&amp;" Corp","MIN_PIECE")/1000,""))</f>
        <v/>
      </c>
      <c r="J277" s="31">
        <f>IF($A277="","",_xll.BDP($A277&amp;" Corp","PX_LAST"))</f>
        <v/>
      </c>
      <c r="K277" s="31">
        <f>IF($A277="","",_xll.BDP($A277&amp;" Corp","YAS_BOND_YLD","YAS_YLD_FLAG=15"))</f>
        <v/>
      </c>
      <c r="L277" s="31">
        <f>IF($A277="","",K277-_xll.BDP($A277&amp;" Corp","YAS_BOND_YLD","YAS_YLD_FLAG=15","SETTLE_DT",Company_desc!$A$1))</f>
        <v/>
      </c>
      <c r="M277" s="31">
        <f>IF($A277="","",K277-_xll.BDP($A277&amp;" Corp","YAS_BOND_YLD","YAS_YLD_FLAG=15","SETTLE_DT",Company_desc!$A$2))</f>
        <v/>
      </c>
      <c r="N277" s="79">
        <f>IF($A277="","",_xll.BDP($A277&amp;" Corp","YAS_OAS_SPRD"))</f>
        <v/>
      </c>
      <c r="O277" s="67">
        <f>IF($A277="","",_xll.BDP($A277&amp;" Corp","YAS_MOD_DUR"))</f>
        <v/>
      </c>
      <c r="P277" s="80">
        <f>IF($A277="","",IFERROR(INDEX(Sheet1!$P:$P,MATCH($A277,Sheet1!$A:$A,0)),""))</f>
        <v/>
      </c>
      <c r="Q277" s="75">
        <f>IF($A277="","",IFERROR(INDEX(Company_desc!$C:$C,MATCH($A277,Company_desc!$A:$A,0)),IFERROR(INDEX(Sheet1!$Q:$Q,MATCH($A277,Sheet1!$A:$A,0)),"")))</f>
        <v/>
      </c>
      <c r="R277" s="75">
        <f>IF($A277="","",_xll.BDP($A277&amp;" Corp","CRNCY"))</f>
        <v/>
      </c>
      <c r="S277" s="75">
        <f>IF($A277="","",IFERROR(INDEX(Sheet1!$S:$S,MATCH($A277,Sheet1!$A:$A,0)),""))</f>
        <v/>
      </c>
      <c r="T277" s="75">
        <f>IF($A277="","",IFERROR(INDEX(Sheet1!$T:$T,MATCH($A277,Sheet1!$A:$A,0)),_xll.BDP($A277&amp;" Corp","RTG_SP")))</f>
        <v/>
      </c>
      <c r="U277" s="75">
        <f>IF($A277="","",IFERROR(INDEX(Sheet1!$U:$U,MATCH($A277,Sheet1!$A:$A,0)),""))</f>
        <v/>
      </c>
      <c r="W277" s="81">
        <f>IF($A277="","",N277-_xll.BDP($A277&amp;" Corp","YAS_OAS_SPRD","SETTLE_DT",Company_desc!$A$1))</f>
        <v/>
      </c>
      <c r="X277" s="81">
        <f>IF($A277="","",N277-_xll.BDP($A277&amp;" Corp","YAS_OAS_SPRD","SETTLE_DT",Company_desc!$A$2))</f>
        <v/>
      </c>
      <c r="Y277" s="80">
        <f>IF($A277="","",N277-_xll.BDP($A277&amp;" Corp","YAS_OAS_SPRD","SETTLE_DT",Company_desc!$D$1))</f>
        <v/>
      </c>
      <c r="Z277" s="82">
        <f>IF($A277="","",K277-_xll.BDP($A277&amp;" Corp","YAS_BOND_YLD","YAS_YLD_FLAG=15","SETTLE_DT",Company_desc!$D$1))</f>
        <v/>
      </c>
      <c r="AA277" s="80">
        <f>IF($A277="","",_xll.BDP($A277&amp;" Corp","YAS_OAS_SPRD","SETTLE_DT",Company_desc!$D$1))</f>
        <v/>
      </c>
    </row>
    <row r="278">
      <c r="B278" s="75">
        <f>IF($A278="","",IFERROR(INDEX(Sheet1!$B:$B,MATCH($A278,Sheet1!$A:$A,0)),""))</f>
        <v/>
      </c>
      <c r="C278" s="75">
        <f>IF($A278="","",PROPER(_xll.BDP($A278&amp;" Corp","NAME")))</f>
        <v/>
      </c>
      <c r="D278" s="76">
        <f>IF($A278="","",_xll.BDP($A278&amp;" Corp","CPN"))</f>
        <v/>
      </c>
      <c r="E278" s="75">
        <f>IF($A278="","",_xll.BDP($A278&amp;" Corp","PAYMENT_RANK"))</f>
        <v/>
      </c>
      <c r="F278" s="100">
        <f>IF($A278="","",_xll.BDP($A278&amp;" Corp","MATURITY"))</f>
        <v/>
      </c>
      <c r="G278" s="75">
        <f>IF($A278="","",PROPER(_xll.BDP($A278&amp;" Corp","COUNTRY_FULL_NAME")))</f>
        <v/>
      </c>
      <c r="H278" s="75">
        <f>IF($A278="","",_xll.BDP($A278&amp;" Corp","INDUSTRY_SECTOR"))</f>
        <v/>
      </c>
      <c r="I278" s="101">
        <f>IF($A278="","",IFERROR(_xll.BDP($A278&amp;" Corp","MIN_PIECE")/1000,""))</f>
        <v/>
      </c>
      <c r="J278" s="31">
        <f>IF($A278="","",_xll.BDP($A278&amp;" Corp","PX_LAST"))</f>
        <v/>
      </c>
      <c r="K278" s="31">
        <f>IF($A278="","",_xll.BDP($A278&amp;" Corp","YAS_BOND_YLD","YAS_YLD_FLAG=15"))</f>
        <v/>
      </c>
      <c r="L278" s="31">
        <f>IF($A278="","",K278-_xll.BDP($A278&amp;" Corp","YAS_BOND_YLD","YAS_YLD_FLAG=15","SETTLE_DT",Company_desc!$A$1))</f>
        <v/>
      </c>
      <c r="M278" s="31">
        <f>IF($A278="","",K278-_xll.BDP($A278&amp;" Corp","YAS_BOND_YLD","YAS_YLD_FLAG=15","SETTLE_DT",Company_desc!$A$2))</f>
        <v/>
      </c>
      <c r="N278" s="79">
        <f>IF($A278="","",_xll.BDP($A278&amp;" Corp","YAS_OAS_SPRD"))</f>
        <v/>
      </c>
      <c r="O278" s="67">
        <f>IF($A278="","",_xll.BDP($A278&amp;" Corp","YAS_MOD_DUR"))</f>
        <v/>
      </c>
      <c r="P278" s="80">
        <f>IF($A278="","",IFERROR(INDEX(Sheet1!$P:$P,MATCH($A278,Sheet1!$A:$A,0)),""))</f>
        <v/>
      </c>
      <c r="Q278" s="75">
        <f>IF($A278="","",IFERROR(INDEX(Company_desc!$C:$C,MATCH($A278,Company_desc!$A:$A,0)),IFERROR(INDEX(Sheet1!$Q:$Q,MATCH($A278,Sheet1!$A:$A,0)),"")))</f>
        <v/>
      </c>
      <c r="R278" s="75">
        <f>IF($A278="","",_xll.BDP($A278&amp;" Corp","CRNCY"))</f>
        <v/>
      </c>
      <c r="S278" s="75">
        <f>IF($A278="","",IFERROR(INDEX(Sheet1!$S:$S,MATCH($A278,Sheet1!$A:$A,0)),""))</f>
        <v/>
      </c>
      <c r="T278" s="75">
        <f>IF($A278="","",IFERROR(INDEX(Sheet1!$T:$T,MATCH($A278,Sheet1!$A:$A,0)),_xll.BDP($A278&amp;" Corp","RTG_SP")))</f>
        <v/>
      </c>
      <c r="U278" s="75">
        <f>IF($A278="","",IFERROR(INDEX(Sheet1!$U:$U,MATCH($A278,Sheet1!$A:$A,0)),""))</f>
        <v/>
      </c>
      <c r="W278" s="81">
        <f>IF($A278="","",N278-_xll.BDP($A278&amp;" Corp","YAS_OAS_SPRD","SETTLE_DT",Company_desc!$A$1))</f>
        <v/>
      </c>
      <c r="X278" s="81">
        <f>IF($A278="","",N278-_xll.BDP($A278&amp;" Corp","YAS_OAS_SPRD","SETTLE_DT",Company_desc!$A$2))</f>
        <v/>
      </c>
      <c r="Y278" s="80">
        <f>IF($A278="","",N278-_xll.BDP($A278&amp;" Corp","YAS_OAS_SPRD","SETTLE_DT",Company_desc!$D$1))</f>
        <v/>
      </c>
      <c r="Z278" s="82">
        <f>IF($A278="","",K278-_xll.BDP($A278&amp;" Corp","YAS_BOND_YLD","YAS_YLD_FLAG=15","SETTLE_DT",Company_desc!$D$1))</f>
        <v/>
      </c>
      <c r="AA278" s="80">
        <f>IF($A278="","",_xll.BDP($A278&amp;" Corp","YAS_OAS_SPRD","SETTLE_DT",Company_desc!$D$1))</f>
        <v/>
      </c>
    </row>
    <row r="279">
      <c r="B279" s="75">
        <f>IF($A279="","",IFERROR(INDEX(Sheet1!$B:$B,MATCH($A279,Sheet1!$A:$A,0)),""))</f>
        <v/>
      </c>
      <c r="C279" s="75">
        <f>IF($A279="","",PROPER(_xll.BDP($A279&amp;" Corp","NAME")))</f>
        <v/>
      </c>
      <c r="D279" s="76">
        <f>IF($A279="","",_xll.BDP($A279&amp;" Corp","CPN"))</f>
        <v/>
      </c>
      <c r="E279" s="75">
        <f>IF($A279="","",_xll.BDP($A279&amp;" Corp","PAYMENT_RANK"))</f>
        <v/>
      </c>
      <c r="F279" s="100">
        <f>IF($A279="","",_xll.BDP($A279&amp;" Corp","MATURITY"))</f>
        <v/>
      </c>
      <c r="G279" s="75">
        <f>IF($A279="","",PROPER(_xll.BDP($A279&amp;" Corp","COUNTRY_FULL_NAME")))</f>
        <v/>
      </c>
      <c r="H279" s="75">
        <f>IF($A279="","",_xll.BDP($A279&amp;" Corp","INDUSTRY_SECTOR"))</f>
        <v/>
      </c>
      <c r="I279" s="101">
        <f>IF($A279="","",IFERROR(_xll.BDP($A279&amp;" Corp","MIN_PIECE")/1000,""))</f>
        <v/>
      </c>
      <c r="J279" s="31">
        <f>IF($A279="","",_xll.BDP($A279&amp;" Corp","PX_LAST"))</f>
        <v/>
      </c>
      <c r="K279" s="31">
        <f>IF($A279="","",_xll.BDP($A279&amp;" Corp","YAS_BOND_YLD","YAS_YLD_FLAG=15"))</f>
        <v/>
      </c>
      <c r="L279" s="31">
        <f>IF($A279="","",K279-_xll.BDP($A279&amp;" Corp","YAS_BOND_YLD","YAS_YLD_FLAG=15","SETTLE_DT",Company_desc!$A$1))</f>
        <v/>
      </c>
      <c r="M279" s="31">
        <f>IF($A279="","",K279-_xll.BDP($A279&amp;" Corp","YAS_BOND_YLD","YAS_YLD_FLAG=15","SETTLE_DT",Company_desc!$A$2))</f>
        <v/>
      </c>
      <c r="N279" s="79">
        <f>IF($A279="","",_xll.BDP($A279&amp;" Corp","YAS_OAS_SPRD"))</f>
        <v/>
      </c>
      <c r="O279" s="67">
        <f>IF($A279="","",_xll.BDP($A279&amp;" Corp","YAS_MOD_DUR"))</f>
        <v/>
      </c>
      <c r="P279" s="80">
        <f>IF($A279="","",IFERROR(INDEX(Sheet1!$P:$P,MATCH($A279,Sheet1!$A:$A,0)),""))</f>
        <v/>
      </c>
      <c r="Q279" s="75">
        <f>IF($A279="","",IFERROR(INDEX(Company_desc!$C:$C,MATCH($A279,Company_desc!$A:$A,0)),IFERROR(INDEX(Sheet1!$Q:$Q,MATCH($A279,Sheet1!$A:$A,0)),"")))</f>
        <v/>
      </c>
      <c r="R279" s="75">
        <f>IF($A279="","",_xll.BDP($A279&amp;" Corp","CRNCY"))</f>
        <v/>
      </c>
      <c r="S279" s="75">
        <f>IF($A279="","",IFERROR(INDEX(Sheet1!$S:$S,MATCH($A279,Sheet1!$A:$A,0)),""))</f>
        <v/>
      </c>
      <c r="T279" s="75">
        <f>IF($A279="","",IFERROR(INDEX(Sheet1!$T:$T,MATCH($A279,Sheet1!$A:$A,0)),_xll.BDP($A279&amp;" Corp","RTG_SP")))</f>
        <v/>
      </c>
      <c r="U279" s="75">
        <f>IF($A279="","",IFERROR(INDEX(Sheet1!$U:$U,MATCH($A279,Sheet1!$A:$A,0)),""))</f>
        <v/>
      </c>
      <c r="W279" s="81">
        <f>IF($A279="","",N279-_xll.BDP($A279&amp;" Corp","YAS_OAS_SPRD","SETTLE_DT",Company_desc!$A$1))</f>
        <v/>
      </c>
      <c r="X279" s="81">
        <f>IF($A279="","",N279-_xll.BDP($A279&amp;" Corp","YAS_OAS_SPRD","SETTLE_DT",Company_desc!$A$2))</f>
        <v/>
      </c>
      <c r="Y279" s="80">
        <f>IF($A279="","",N279-_xll.BDP($A279&amp;" Corp","YAS_OAS_SPRD","SETTLE_DT",Company_desc!$D$1))</f>
        <v/>
      </c>
      <c r="Z279" s="82">
        <f>IF($A279="","",K279-_xll.BDP($A279&amp;" Corp","YAS_BOND_YLD","YAS_YLD_FLAG=15","SETTLE_DT",Company_desc!$D$1))</f>
        <v/>
      </c>
      <c r="AA279" s="80">
        <f>IF($A279="","",_xll.BDP($A279&amp;" Corp","YAS_OAS_SPRD","SETTLE_DT",Company_desc!$D$1))</f>
        <v/>
      </c>
    </row>
    <row r="280">
      <c r="B280" s="75">
        <f>IF($A280="","",IFERROR(INDEX(Sheet1!$B:$B,MATCH($A280,Sheet1!$A:$A,0)),""))</f>
        <v/>
      </c>
      <c r="C280" s="75">
        <f>IF($A280="","",PROPER(_xll.BDP($A280&amp;" Corp","NAME")))</f>
        <v/>
      </c>
      <c r="D280" s="76">
        <f>IF($A280="","",_xll.BDP($A280&amp;" Corp","CPN"))</f>
        <v/>
      </c>
      <c r="E280" s="75">
        <f>IF($A280="","",_xll.BDP($A280&amp;" Corp","PAYMENT_RANK"))</f>
        <v/>
      </c>
      <c r="F280" s="100">
        <f>IF($A280="","",_xll.BDP($A280&amp;" Corp","MATURITY"))</f>
        <v/>
      </c>
      <c r="G280" s="75">
        <f>IF($A280="","",PROPER(_xll.BDP($A280&amp;" Corp","COUNTRY_FULL_NAME")))</f>
        <v/>
      </c>
      <c r="H280" s="75">
        <f>IF($A280="","",_xll.BDP($A280&amp;" Corp","INDUSTRY_SECTOR"))</f>
        <v/>
      </c>
      <c r="I280" s="101">
        <f>IF($A280="","",IFERROR(_xll.BDP($A280&amp;" Corp","MIN_PIECE")/1000,""))</f>
        <v/>
      </c>
      <c r="J280" s="31">
        <f>IF($A280="","",_xll.BDP($A280&amp;" Corp","PX_LAST"))</f>
        <v/>
      </c>
      <c r="K280" s="31">
        <f>IF($A280="","",_xll.BDP($A280&amp;" Corp","YAS_BOND_YLD","YAS_YLD_FLAG=15"))</f>
        <v/>
      </c>
      <c r="L280" s="31">
        <f>IF($A280="","",K280-_xll.BDP($A280&amp;" Corp","YAS_BOND_YLD","YAS_YLD_FLAG=15","SETTLE_DT",Company_desc!$A$1))</f>
        <v/>
      </c>
      <c r="M280" s="31">
        <f>IF($A280="","",K280-_xll.BDP($A280&amp;" Corp","YAS_BOND_YLD","YAS_YLD_FLAG=15","SETTLE_DT",Company_desc!$A$2))</f>
        <v/>
      </c>
      <c r="N280" s="79">
        <f>IF($A280="","",_xll.BDP($A280&amp;" Corp","YAS_OAS_SPRD"))</f>
        <v/>
      </c>
      <c r="O280" s="67">
        <f>IF($A280="","",_xll.BDP($A280&amp;" Corp","YAS_MOD_DUR"))</f>
        <v/>
      </c>
      <c r="P280" s="80">
        <f>IF($A280="","",IFERROR(INDEX(Sheet1!$P:$P,MATCH($A280,Sheet1!$A:$A,0)),""))</f>
        <v/>
      </c>
      <c r="Q280" s="75">
        <f>IF($A280="","",IFERROR(INDEX(Company_desc!$C:$C,MATCH($A280,Company_desc!$A:$A,0)),IFERROR(INDEX(Sheet1!$Q:$Q,MATCH($A280,Sheet1!$A:$A,0)),"")))</f>
        <v/>
      </c>
      <c r="R280" s="75">
        <f>IF($A280="","",_xll.BDP($A280&amp;" Corp","CRNCY"))</f>
        <v/>
      </c>
      <c r="S280" s="75">
        <f>IF($A280="","",IFERROR(INDEX(Sheet1!$S:$S,MATCH($A280,Sheet1!$A:$A,0)),""))</f>
        <v/>
      </c>
      <c r="T280" s="75">
        <f>IF($A280="","",IFERROR(INDEX(Sheet1!$T:$T,MATCH($A280,Sheet1!$A:$A,0)),_xll.BDP($A280&amp;" Corp","RTG_SP")))</f>
        <v/>
      </c>
      <c r="U280" s="75">
        <f>IF($A280="","",IFERROR(INDEX(Sheet1!$U:$U,MATCH($A280,Sheet1!$A:$A,0)),""))</f>
        <v/>
      </c>
      <c r="W280" s="81">
        <f>IF($A280="","",N280-_xll.BDP($A280&amp;" Corp","YAS_OAS_SPRD","SETTLE_DT",Company_desc!$A$1))</f>
        <v/>
      </c>
      <c r="X280" s="81">
        <f>IF($A280="","",N280-_xll.BDP($A280&amp;" Corp","YAS_OAS_SPRD","SETTLE_DT",Company_desc!$A$2))</f>
        <v/>
      </c>
      <c r="Y280" s="80">
        <f>IF($A280="","",N280-_xll.BDP($A280&amp;" Corp","YAS_OAS_SPRD","SETTLE_DT",Company_desc!$D$1))</f>
        <v/>
      </c>
      <c r="Z280" s="82">
        <f>IF($A280="","",K280-_xll.BDP($A280&amp;" Corp","YAS_BOND_YLD","YAS_YLD_FLAG=15","SETTLE_DT",Company_desc!$D$1))</f>
        <v/>
      </c>
      <c r="AA280" s="80">
        <f>IF($A280="","",_xll.BDP($A280&amp;" Corp","YAS_OAS_SPRD","SETTLE_DT",Company_desc!$D$1))</f>
        <v/>
      </c>
    </row>
    <row r="281">
      <c r="B281" s="75">
        <f>IF($A281="","",IFERROR(INDEX(Sheet1!$B:$B,MATCH($A281,Sheet1!$A:$A,0)),""))</f>
        <v/>
      </c>
      <c r="C281" s="75">
        <f>IF($A281="","",PROPER(_xll.BDP($A281&amp;" Corp","NAME")))</f>
        <v/>
      </c>
      <c r="D281" s="76">
        <f>IF($A281="","",_xll.BDP($A281&amp;" Corp","CPN"))</f>
        <v/>
      </c>
      <c r="E281" s="75">
        <f>IF($A281="","",_xll.BDP($A281&amp;" Corp","PAYMENT_RANK"))</f>
        <v/>
      </c>
      <c r="F281" s="100">
        <f>IF($A281="","",_xll.BDP($A281&amp;" Corp","MATURITY"))</f>
        <v/>
      </c>
      <c r="G281" s="75">
        <f>IF($A281="","",PROPER(_xll.BDP($A281&amp;" Corp","COUNTRY_FULL_NAME")))</f>
        <v/>
      </c>
      <c r="H281" s="75">
        <f>IF($A281="","",_xll.BDP($A281&amp;" Corp","INDUSTRY_SECTOR"))</f>
        <v/>
      </c>
      <c r="I281" s="101">
        <f>IF($A281="","",IFERROR(_xll.BDP($A281&amp;" Corp","MIN_PIECE")/1000,""))</f>
        <v/>
      </c>
      <c r="J281" s="31">
        <f>IF($A281="","",_xll.BDP($A281&amp;" Corp","PX_LAST"))</f>
        <v/>
      </c>
      <c r="K281" s="31">
        <f>IF($A281="","",_xll.BDP($A281&amp;" Corp","YAS_BOND_YLD","YAS_YLD_FLAG=15"))</f>
        <v/>
      </c>
      <c r="L281" s="31">
        <f>IF($A281="","",K281-_xll.BDP($A281&amp;" Corp","YAS_BOND_YLD","YAS_YLD_FLAG=15","SETTLE_DT",Company_desc!$A$1))</f>
        <v/>
      </c>
      <c r="M281" s="31">
        <f>IF($A281="","",K281-_xll.BDP($A281&amp;" Corp","YAS_BOND_YLD","YAS_YLD_FLAG=15","SETTLE_DT",Company_desc!$A$2))</f>
        <v/>
      </c>
      <c r="N281" s="79">
        <f>IF($A281="","",_xll.BDP($A281&amp;" Corp","YAS_OAS_SPRD"))</f>
        <v/>
      </c>
      <c r="O281" s="67">
        <f>IF($A281="","",_xll.BDP($A281&amp;" Corp","YAS_MOD_DUR"))</f>
        <v/>
      </c>
      <c r="P281" s="80">
        <f>IF($A281="","",IFERROR(INDEX(Sheet1!$P:$P,MATCH($A281,Sheet1!$A:$A,0)),""))</f>
        <v/>
      </c>
      <c r="Q281" s="75">
        <f>IF($A281="","",IFERROR(INDEX(Company_desc!$C:$C,MATCH($A281,Company_desc!$A:$A,0)),IFERROR(INDEX(Sheet1!$Q:$Q,MATCH($A281,Sheet1!$A:$A,0)),"")))</f>
        <v/>
      </c>
      <c r="R281" s="75">
        <f>IF($A281="","",_xll.BDP($A281&amp;" Corp","CRNCY"))</f>
        <v/>
      </c>
      <c r="S281" s="75">
        <f>IF($A281="","",IFERROR(INDEX(Sheet1!$S:$S,MATCH($A281,Sheet1!$A:$A,0)),""))</f>
        <v/>
      </c>
      <c r="T281" s="75">
        <f>IF($A281="","",IFERROR(INDEX(Sheet1!$T:$T,MATCH($A281,Sheet1!$A:$A,0)),_xll.BDP($A281&amp;" Corp","RTG_SP")))</f>
        <v/>
      </c>
      <c r="U281" s="75">
        <f>IF($A281="","",IFERROR(INDEX(Sheet1!$U:$U,MATCH($A281,Sheet1!$A:$A,0)),""))</f>
        <v/>
      </c>
      <c r="W281" s="81">
        <f>IF($A281="","",N281-_xll.BDP($A281&amp;" Corp","YAS_OAS_SPRD","SETTLE_DT",Company_desc!$A$1))</f>
        <v/>
      </c>
      <c r="X281" s="81">
        <f>IF($A281="","",N281-_xll.BDP($A281&amp;" Corp","YAS_OAS_SPRD","SETTLE_DT",Company_desc!$A$2))</f>
        <v/>
      </c>
      <c r="Y281" s="80">
        <f>IF($A281="","",N281-_xll.BDP($A281&amp;" Corp","YAS_OAS_SPRD","SETTLE_DT",Company_desc!$D$1))</f>
        <v/>
      </c>
      <c r="Z281" s="82">
        <f>IF($A281="","",K281-_xll.BDP($A281&amp;" Corp","YAS_BOND_YLD","YAS_YLD_FLAG=15","SETTLE_DT",Company_desc!$D$1))</f>
        <v/>
      </c>
      <c r="AA281" s="80">
        <f>IF($A281="","",_xll.BDP($A281&amp;" Corp","YAS_OAS_SPRD","SETTLE_DT",Company_desc!$D$1))</f>
        <v/>
      </c>
    </row>
    <row r="282">
      <c r="B282" s="75">
        <f>IF($A282="","",IFERROR(INDEX(Sheet1!$B:$B,MATCH($A282,Sheet1!$A:$A,0)),""))</f>
        <v/>
      </c>
      <c r="C282" s="75">
        <f>IF($A282="","",PROPER(_xll.BDP($A282&amp;" Corp","NAME")))</f>
        <v/>
      </c>
      <c r="D282" s="76">
        <f>IF($A282="","",_xll.BDP($A282&amp;" Corp","CPN"))</f>
        <v/>
      </c>
      <c r="E282" s="75">
        <f>IF($A282="","",_xll.BDP($A282&amp;" Corp","PAYMENT_RANK"))</f>
        <v/>
      </c>
      <c r="F282" s="100">
        <f>IF($A282="","",_xll.BDP($A282&amp;" Corp","MATURITY"))</f>
        <v/>
      </c>
      <c r="G282" s="75">
        <f>IF($A282="","",PROPER(_xll.BDP($A282&amp;" Corp","COUNTRY_FULL_NAME")))</f>
        <v/>
      </c>
      <c r="H282" s="75">
        <f>IF($A282="","",_xll.BDP($A282&amp;" Corp","INDUSTRY_SECTOR"))</f>
        <v/>
      </c>
      <c r="I282" s="101">
        <f>IF($A282="","",IFERROR(_xll.BDP($A282&amp;" Corp","MIN_PIECE")/1000,""))</f>
        <v/>
      </c>
      <c r="J282" s="31">
        <f>IF($A282="","",_xll.BDP($A282&amp;" Corp","PX_LAST"))</f>
        <v/>
      </c>
      <c r="K282" s="31">
        <f>IF($A282="","",_xll.BDP($A282&amp;" Corp","YAS_BOND_YLD","YAS_YLD_FLAG=15"))</f>
        <v/>
      </c>
      <c r="L282" s="31">
        <f>IF($A282="","",K282-_xll.BDP($A282&amp;" Corp","YAS_BOND_YLD","YAS_YLD_FLAG=15","SETTLE_DT",Company_desc!$A$1))</f>
        <v/>
      </c>
      <c r="M282" s="31">
        <f>IF($A282="","",K282-_xll.BDP($A282&amp;" Corp","YAS_BOND_YLD","YAS_YLD_FLAG=15","SETTLE_DT",Company_desc!$A$2))</f>
        <v/>
      </c>
      <c r="N282" s="79">
        <f>IF($A282="","",_xll.BDP($A282&amp;" Corp","YAS_OAS_SPRD"))</f>
        <v/>
      </c>
      <c r="O282" s="67">
        <f>IF($A282="","",_xll.BDP($A282&amp;" Corp","YAS_MOD_DUR"))</f>
        <v/>
      </c>
      <c r="P282" s="80">
        <f>IF($A282="","",IFERROR(INDEX(Sheet1!$P:$P,MATCH($A282,Sheet1!$A:$A,0)),""))</f>
        <v/>
      </c>
      <c r="Q282" s="75">
        <f>IF($A282="","",IFERROR(INDEX(Company_desc!$C:$C,MATCH($A282,Company_desc!$A:$A,0)),IFERROR(INDEX(Sheet1!$Q:$Q,MATCH($A282,Sheet1!$A:$A,0)),"")))</f>
        <v/>
      </c>
      <c r="R282" s="75">
        <f>IF($A282="","",_xll.BDP($A282&amp;" Corp","CRNCY"))</f>
        <v/>
      </c>
      <c r="S282" s="75">
        <f>IF($A282="","",IFERROR(INDEX(Sheet1!$S:$S,MATCH($A282,Sheet1!$A:$A,0)),""))</f>
        <v/>
      </c>
      <c r="T282" s="75">
        <f>IF($A282="","",IFERROR(INDEX(Sheet1!$T:$T,MATCH($A282,Sheet1!$A:$A,0)),_xll.BDP($A282&amp;" Corp","RTG_SP")))</f>
        <v/>
      </c>
      <c r="U282" s="75">
        <f>IF($A282="","",IFERROR(INDEX(Sheet1!$U:$U,MATCH($A282,Sheet1!$A:$A,0)),""))</f>
        <v/>
      </c>
      <c r="W282" s="81">
        <f>IF($A282="","",N282-_xll.BDP($A282&amp;" Corp","YAS_OAS_SPRD","SETTLE_DT",Company_desc!$A$1))</f>
        <v/>
      </c>
      <c r="X282" s="81">
        <f>IF($A282="","",N282-_xll.BDP($A282&amp;" Corp","YAS_OAS_SPRD","SETTLE_DT",Company_desc!$A$2))</f>
        <v/>
      </c>
      <c r="Y282" s="80">
        <f>IF($A282="","",N282-_xll.BDP($A282&amp;" Corp","YAS_OAS_SPRD","SETTLE_DT",Company_desc!$D$1))</f>
        <v/>
      </c>
      <c r="Z282" s="82">
        <f>IF($A282="","",K282-_xll.BDP($A282&amp;" Corp","YAS_BOND_YLD","YAS_YLD_FLAG=15","SETTLE_DT",Company_desc!$D$1))</f>
        <v/>
      </c>
      <c r="AA282" s="80">
        <f>IF($A282="","",_xll.BDP($A282&amp;" Corp","YAS_OAS_SPRD","SETTLE_DT",Company_desc!$D$1))</f>
        <v/>
      </c>
    </row>
    <row r="283">
      <c r="B283" s="75">
        <f>IF($A283="","",IFERROR(INDEX(Sheet1!$B:$B,MATCH($A283,Sheet1!$A:$A,0)),""))</f>
        <v/>
      </c>
      <c r="C283" s="75">
        <f>IF($A283="","",PROPER(_xll.BDP($A283&amp;" Corp","NAME")))</f>
        <v/>
      </c>
      <c r="D283" s="76">
        <f>IF($A283="","",_xll.BDP($A283&amp;" Corp","CPN"))</f>
        <v/>
      </c>
      <c r="E283" s="75">
        <f>IF($A283="","",_xll.BDP($A283&amp;" Corp","PAYMENT_RANK"))</f>
        <v/>
      </c>
      <c r="F283" s="100">
        <f>IF($A283="","",_xll.BDP($A283&amp;" Corp","MATURITY"))</f>
        <v/>
      </c>
      <c r="G283" s="75">
        <f>IF($A283="","",PROPER(_xll.BDP($A283&amp;" Corp","COUNTRY_FULL_NAME")))</f>
        <v/>
      </c>
      <c r="H283" s="75">
        <f>IF($A283="","",_xll.BDP($A283&amp;" Corp","INDUSTRY_SECTOR"))</f>
        <v/>
      </c>
      <c r="I283" s="101">
        <f>IF($A283="","",IFERROR(_xll.BDP($A283&amp;" Corp","MIN_PIECE")/1000,""))</f>
        <v/>
      </c>
      <c r="J283" s="31">
        <f>IF($A283="","",_xll.BDP($A283&amp;" Corp","PX_LAST"))</f>
        <v/>
      </c>
      <c r="K283" s="31">
        <f>IF($A283="","",_xll.BDP($A283&amp;" Corp","YAS_BOND_YLD","YAS_YLD_FLAG=15"))</f>
        <v/>
      </c>
      <c r="L283" s="31">
        <f>IF($A283="","",K283-_xll.BDP($A283&amp;" Corp","YAS_BOND_YLD","YAS_YLD_FLAG=15","SETTLE_DT",Company_desc!$A$1))</f>
        <v/>
      </c>
      <c r="M283" s="31">
        <f>IF($A283="","",K283-_xll.BDP($A283&amp;" Corp","YAS_BOND_YLD","YAS_YLD_FLAG=15","SETTLE_DT",Company_desc!$A$2))</f>
        <v/>
      </c>
      <c r="N283" s="79">
        <f>IF($A283="","",_xll.BDP($A283&amp;" Corp","YAS_OAS_SPRD"))</f>
        <v/>
      </c>
      <c r="O283" s="67">
        <f>IF($A283="","",_xll.BDP($A283&amp;" Corp","YAS_MOD_DUR"))</f>
        <v/>
      </c>
      <c r="P283" s="80">
        <f>IF($A283="","",IFERROR(INDEX(Sheet1!$P:$P,MATCH($A283,Sheet1!$A:$A,0)),""))</f>
        <v/>
      </c>
      <c r="Q283" s="75">
        <f>IF($A283="","",IFERROR(INDEX(Company_desc!$C:$C,MATCH($A283,Company_desc!$A:$A,0)),IFERROR(INDEX(Sheet1!$Q:$Q,MATCH($A283,Sheet1!$A:$A,0)),"")))</f>
        <v/>
      </c>
      <c r="R283" s="75">
        <f>IF($A283="","",_xll.BDP($A283&amp;" Corp","CRNCY"))</f>
        <v/>
      </c>
      <c r="S283" s="75">
        <f>IF($A283="","",IFERROR(INDEX(Sheet1!$S:$S,MATCH($A283,Sheet1!$A:$A,0)),""))</f>
        <v/>
      </c>
      <c r="T283" s="75">
        <f>IF($A283="","",IFERROR(INDEX(Sheet1!$T:$T,MATCH($A283,Sheet1!$A:$A,0)),_xll.BDP($A283&amp;" Corp","RTG_SP")))</f>
        <v/>
      </c>
      <c r="U283" s="75">
        <f>IF($A283="","",IFERROR(INDEX(Sheet1!$U:$U,MATCH($A283,Sheet1!$A:$A,0)),""))</f>
        <v/>
      </c>
      <c r="W283" s="81">
        <f>IF($A283="","",N283-_xll.BDP($A283&amp;" Corp","YAS_OAS_SPRD","SETTLE_DT",Company_desc!$A$1))</f>
        <v/>
      </c>
      <c r="X283" s="81">
        <f>IF($A283="","",N283-_xll.BDP($A283&amp;" Corp","YAS_OAS_SPRD","SETTLE_DT",Company_desc!$A$2))</f>
        <v/>
      </c>
      <c r="Y283" s="80">
        <f>IF($A283="","",N283-_xll.BDP($A283&amp;" Corp","YAS_OAS_SPRD","SETTLE_DT",Company_desc!$D$1))</f>
        <v/>
      </c>
      <c r="Z283" s="82">
        <f>IF($A283="","",K283-_xll.BDP($A283&amp;" Corp","YAS_BOND_YLD","YAS_YLD_FLAG=15","SETTLE_DT",Company_desc!$D$1))</f>
        <v/>
      </c>
      <c r="AA283" s="80">
        <f>IF($A283="","",_xll.BDP($A283&amp;" Corp","YAS_OAS_SPRD","SETTLE_DT",Company_desc!$D$1))</f>
        <v/>
      </c>
    </row>
    <row r="284">
      <c r="B284" s="75">
        <f>IF($A284="","",IFERROR(INDEX(Sheet1!$B:$B,MATCH($A284,Sheet1!$A:$A,0)),""))</f>
        <v/>
      </c>
      <c r="C284" s="75">
        <f>IF($A284="","",PROPER(_xll.BDP($A284&amp;" Corp","NAME")))</f>
        <v/>
      </c>
      <c r="D284" s="76">
        <f>IF($A284="","",_xll.BDP($A284&amp;" Corp","CPN"))</f>
        <v/>
      </c>
      <c r="E284" s="75">
        <f>IF($A284="","",_xll.BDP($A284&amp;" Corp","PAYMENT_RANK"))</f>
        <v/>
      </c>
      <c r="F284" s="100">
        <f>IF($A284="","",_xll.BDP($A284&amp;" Corp","MATURITY"))</f>
        <v/>
      </c>
      <c r="G284" s="75">
        <f>IF($A284="","",PROPER(_xll.BDP($A284&amp;" Corp","COUNTRY_FULL_NAME")))</f>
        <v/>
      </c>
      <c r="H284" s="75">
        <f>IF($A284="","",_xll.BDP($A284&amp;" Corp","INDUSTRY_SECTOR"))</f>
        <v/>
      </c>
      <c r="I284" s="101">
        <f>IF($A284="","",IFERROR(_xll.BDP($A284&amp;" Corp","MIN_PIECE")/1000,""))</f>
        <v/>
      </c>
      <c r="J284" s="31">
        <f>IF($A284="","",_xll.BDP($A284&amp;" Corp","PX_LAST"))</f>
        <v/>
      </c>
      <c r="K284" s="31">
        <f>IF($A284="","",_xll.BDP($A284&amp;" Corp","YAS_BOND_YLD","YAS_YLD_FLAG=15"))</f>
        <v/>
      </c>
      <c r="L284" s="31">
        <f>IF($A284="","",K284-_xll.BDP($A284&amp;" Corp","YAS_BOND_YLD","YAS_YLD_FLAG=15","SETTLE_DT",Company_desc!$A$1))</f>
        <v/>
      </c>
      <c r="M284" s="31">
        <f>IF($A284="","",K284-_xll.BDP($A284&amp;" Corp","YAS_BOND_YLD","YAS_YLD_FLAG=15","SETTLE_DT",Company_desc!$A$2))</f>
        <v/>
      </c>
      <c r="N284" s="79">
        <f>IF($A284="","",_xll.BDP($A284&amp;" Corp","YAS_OAS_SPRD"))</f>
        <v/>
      </c>
      <c r="O284" s="67">
        <f>IF($A284="","",_xll.BDP($A284&amp;" Corp","YAS_MOD_DUR"))</f>
        <v/>
      </c>
      <c r="P284" s="80">
        <f>IF($A284="","",IFERROR(INDEX(Sheet1!$P:$P,MATCH($A284,Sheet1!$A:$A,0)),""))</f>
        <v/>
      </c>
      <c r="Q284" s="75">
        <f>IF($A284="","",IFERROR(INDEX(Company_desc!$C:$C,MATCH($A284,Company_desc!$A:$A,0)),IFERROR(INDEX(Sheet1!$Q:$Q,MATCH($A284,Sheet1!$A:$A,0)),"")))</f>
        <v/>
      </c>
      <c r="R284" s="75">
        <f>IF($A284="","",_xll.BDP($A284&amp;" Corp","CRNCY"))</f>
        <v/>
      </c>
      <c r="S284" s="75">
        <f>IF($A284="","",IFERROR(INDEX(Sheet1!$S:$S,MATCH($A284,Sheet1!$A:$A,0)),""))</f>
        <v/>
      </c>
      <c r="T284" s="75">
        <f>IF($A284="","",IFERROR(INDEX(Sheet1!$T:$T,MATCH($A284,Sheet1!$A:$A,0)),_xll.BDP($A284&amp;" Corp","RTG_SP")))</f>
        <v/>
      </c>
      <c r="U284" s="75">
        <f>IF($A284="","",IFERROR(INDEX(Sheet1!$U:$U,MATCH($A284,Sheet1!$A:$A,0)),""))</f>
        <v/>
      </c>
      <c r="W284" s="81">
        <f>IF($A284="","",N284-_xll.BDP($A284&amp;" Corp","YAS_OAS_SPRD","SETTLE_DT",Company_desc!$A$1))</f>
        <v/>
      </c>
      <c r="X284" s="81">
        <f>IF($A284="","",N284-_xll.BDP($A284&amp;" Corp","YAS_OAS_SPRD","SETTLE_DT",Company_desc!$A$2))</f>
        <v/>
      </c>
      <c r="Y284" s="80">
        <f>IF($A284="","",N284-_xll.BDP($A284&amp;" Corp","YAS_OAS_SPRD","SETTLE_DT",Company_desc!$D$1))</f>
        <v/>
      </c>
      <c r="Z284" s="82">
        <f>IF($A284="","",K284-_xll.BDP($A284&amp;" Corp","YAS_BOND_YLD","YAS_YLD_FLAG=15","SETTLE_DT",Company_desc!$D$1))</f>
        <v/>
      </c>
      <c r="AA284" s="80">
        <f>IF($A284="","",_xll.BDP($A284&amp;" Corp","YAS_OAS_SPRD","SETTLE_DT",Company_desc!$D$1))</f>
        <v/>
      </c>
    </row>
    <row r="285">
      <c r="B285" s="75">
        <f>IF($A285="","",IFERROR(INDEX(Sheet1!$B:$B,MATCH($A285,Sheet1!$A:$A,0)),""))</f>
        <v/>
      </c>
      <c r="C285" s="75">
        <f>IF($A285="","",PROPER(_xll.BDP($A285&amp;" Corp","NAME")))</f>
        <v/>
      </c>
      <c r="D285" s="76">
        <f>IF($A285="","",_xll.BDP($A285&amp;" Corp","CPN"))</f>
        <v/>
      </c>
      <c r="E285" s="75">
        <f>IF($A285="","",_xll.BDP($A285&amp;" Corp","PAYMENT_RANK"))</f>
        <v/>
      </c>
      <c r="F285" s="100">
        <f>IF($A285="","",_xll.BDP($A285&amp;" Corp","MATURITY"))</f>
        <v/>
      </c>
      <c r="G285" s="75">
        <f>IF($A285="","",PROPER(_xll.BDP($A285&amp;" Corp","COUNTRY_FULL_NAME")))</f>
        <v/>
      </c>
      <c r="H285" s="75">
        <f>IF($A285="","",_xll.BDP($A285&amp;" Corp","INDUSTRY_SECTOR"))</f>
        <v/>
      </c>
      <c r="I285" s="101">
        <f>IF($A285="","",IFERROR(_xll.BDP($A285&amp;" Corp","MIN_PIECE")/1000,""))</f>
        <v/>
      </c>
      <c r="J285" s="31">
        <f>IF($A285="","",_xll.BDP($A285&amp;" Corp","PX_LAST"))</f>
        <v/>
      </c>
      <c r="K285" s="31">
        <f>IF($A285="","",_xll.BDP($A285&amp;" Corp","YAS_BOND_YLD","YAS_YLD_FLAG=15"))</f>
        <v/>
      </c>
      <c r="L285" s="31">
        <f>IF($A285="","",K285-_xll.BDP($A285&amp;" Corp","YAS_BOND_YLD","YAS_YLD_FLAG=15","SETTLE_DT",Company_desc!$A$1))</f>
        <v/>
      </c>
      <c r="M285" s="31">
        <f>IF($A285="","",K285-_xll.BDP($A285&amp;" Corp","YAS_BOND_YLD","YAS_YLD_FLAG=15","SETTLE_DT",Company_desc!$A$2))</f>
        <v/>
      </c>
      <c r="N285" s="79">
        <f>IF($A285="","",_xll.BDP($A285&amp;" Corp","YAS_OAS_SPRD"))</f>
        <v/>
      </c>
      <c r="O285" s="67">
        <f>IF($A285="","",_xll.BDP($A285&amp;" Corp","YAS_MOD_DUR"))</f>
        <v/>
      </c>
      <c r="P285" s="80">
        <f>IF($A285="","",IFERROR(INDEX(Sheet1!$P:$P,MATCH($A285,Sheet1!$A:$A,0)),""))</f>
        <v/>
      </c>
      <c r="Q285" s="75">
        <f>IF($A285="","",IFERROR(INDEX(Company_desc!$C:$C,MATCH($A285,Company_desc!$A:$A,0)),IFERROR(INDEX(Sheet1!$Q:$Q,MATCH($A285,Sheet1!$A:$A,0)),"")))</f>
        <v/>
      </c>
      <c r="R285" s="75">
        <f>IF($A285="","",_xll.BDP($A285&amp;" Corp","CRNCY"))</f>
        <v/>
      </c>
      <c r="S285" s="75">
        <f>IF($A285="","",IFERROR(INDEX(Sheet1!$S:$S,MATCH($A285,Sheet1!$A:$A,0)),""))</f>
        <v/>
      </c>
      <c r="T285" s="75">
        <f>IF($A285="","",IFERROR(INDEX(Sheet1!$T:$T,MATCH($A285,Sheet1!$A:$A,0)),_xll.BDP($A285&amp;" Corp","RTG_SP")))</f>
        <v/>
      </c>
      <c r="U285" s="75">
        <f>IF($A285="","",IFERROR(INDEX(Sheet1!$U:$U,MATCH($A285,Sheet1!$A:$A,0)),""))</f>
        <v/>
      </c>
      <c r="W285" s="81">
        <f>IF($A285="","",N285-_xll.BDP($A285&amp;" Corp","YAS_OAS_SPRD","SETTLE_DT",Company_desc!$A$1))</f>
        <v/>
      </c>
      <c r="X285" s="81">
        <f>IF($A285="","",N285-_xll.BDP($A285&amp;" Corp","YAS_OAS_SPRD","SETTLE_DT",Company_desc!$A$2))</f>
        <v/>
      </c>
      <c r="Y285" s="80">
        <f>IF($A285="","",N285-_xll.BDP($A285&amp;" Corp","YAS_OAS_SPRD","SETTLE_DT",Company_desc!$D$1))</f>
        <v/>
      </c>
      <c r="Z285" s="82">
        <f>IF($A285="","",K285-_xll.BDP($A285&amp;" Corp","YAS_BOND_YLD","YAS_YLD_FLAG=15","SETTLE_DT",Company_desc!$D$1))</f>
        <v/>
      </c>
      <c r="AA285" s="80">
        <f>IF($A285="","",_xll.BDP($A285&amp;" Corp","YAS_OAS_SPRD","SETTLE_DT",Company_desc!$D$1))</f>
        <v/>
      </c>
    </row>
    <row r="286">
      <c r="B286" s="75">
        <f>IF($A286="","",IFERROR(INDEX(Sheet1!$B:$B,MATCH($A286,Sheet1!$A:$A,0)),""))</f>
        <v/>
      </c>
      <c r="C286" s="75">
        <f>IF($A286="","",PROPER(_xll.BDP($A286&amp;" Corp","NAME")))</f>
        <v/>
      </c>
      <c r="D286" s="76">
        <f>IF($A286="","",_xll.BDP($A286&amp;" Corp","CPN"))</f>
        <v/>
      </c>
      <c r="E286" s="75">
        <f>IF($A286="","",_xll.BDP($A286&amp;" Corp","PAYMENT_RANK"))</f>
        <v/>
      </c>
      <c r="F286" s="100">
        <f>IF($A286="","",_xll.BDP($A286&amp;" Corp","MATURITY"))</f>
        <v/>
      </c>
      <c r="G286" s="75">
        <f>IF($A286="","",PROPER(_xll.BDP($A286&amp;" Corp","COUNTRY_FULL_NAME")))</f>
        <v/>
      </c>
      <c r="H286" s="75">
        <f>IF($A286="","",_xll.BDP($A286&amp;" Corp","INDUSTRY_SECTOR"))</f>
        <v/>
      </c>
      <c r="I286" s="101">
        <f>IF($A286="","",IFERROR(_xll.BDP($A286&amp;" Corp","MIN_PIECE")/1000,""))</f>
        <v/>
      </c>
      <c r="J286" s="31">
        <f>IF($A286="","",_xll.BDP($A286&amp;" Corp","PX_LAST"))</f>
        <v/>
      </c>
      <c r="K286" s="31">
        <f>IF($A286="","",_xll.BDP($A286&amp;" Corp","YAS_BOND_YLD","YAS_YLD_FLAG=15"))</f>
        <v/>
      </c>
      <c r="L286" s="31">
        <f>IF($A286="","",K286-_xll.BDP($A286&amp;" Corp","YAS_BOND_YLD","YAS_YLD_FLAG=15","SETTLE_DT",Company_desc!$A$1))</f>
        <v/>
      </c>
      <c r="M286" s="31">
        <f>IF($A286="","",K286-_xll.BDP($A286&amp;" Corp","YAS_BOND_YLD","YAS_YLD_FLAG=15","SETTLE_DT",Company_desc!$A$2))</f>
        <v/>
      </c>
      <c r="N286" s="79">
        <f>IF($A286="","",_xll.BDP($A286&amp;" Corp","YAS_OAS_SPRD"))</f>
        <v/>
      </c>
      <c r="O286" s="67">
        <f>IF($A286="","",_xll.BDP($A286&amp;" Corp","YAS_MOD_DUR"))</f>
        <v/>
      </c>
      <c r="P286" s="80">
        <f>IF($A286="","",IFERROR(INDEX(Sheet1!$P:$P,MATCH($A286,Sheet1!$A:$A,0)),""))</f>
        <v/>
      </c>
      <c r="Q286" s="75">
        <f>IF($A286="","",IFERROR(INDEX(Company_desc!$C:$C,MATCH($A286,Company_desc!$A:$A,0)),IFERROR(INDEX(Sheet1!$Q:$Q,MATCH($A286,Sheet1!$A:$A,0)),"")))</f>
        <v/>
      </c>
      <c r="R286" s="75">
        <f>IF($A286="","",_xll.BDP($A286&amp;" Corp","CRNCY"))</f>
        <v/>
      </c>
      <c r="S286" s="75">
        <f>IF($A286="","",IFERROR(INDEX(Sheet1!$S:$S,MATCH($A286,Sheet1!$A:$A,0)),""))</f>
        <v/>
      </c>
      <c r="T286" s="75">
        <f>IF($A286="","",IFERROR(INDEX(Sheet1!$T:$T,MATCH($A286,Sheet1!$A:$A,0)),_xll.BDP($A286&amp;" Corp","RTG_SP")))</f>
        <v/>
      </c>
      <c r="U286" s="75">
        <f>IF($A286="","",IFERROR(INDEX(Sheet1!$U:$U,MATCH($A286,Sheet1!$A:$A,0)),""))</f>
        <v/>
      </c>
      <c r="W286" s="81">
        <f>IF($A286="","",N286-_xll.BDP($A286&amp;" Corp","YAS_OAS_SPRD","SETTLE_DT",Company_desc!$A$1))</f>
        <v/>
      </c>
      <c r="X286" s="81">
        <f>IF($A286="","",N286-_xll.BDP($A286&amp;" Corp","YAS_OAS_SPRD","SETTLE_DT",Company_desc!$A$2))</f>
        <v/>
      </c>
      <c r="Y286" s="80">
        <f>IF($A286="","",N286-_xll.BDP($A286&amp;" Corp","YAS_OAS_SPRD","SETTLE_DT",Company_desc!$D$1))</f>
        <v/>
      </c>
      <c r="Z286" s="82">
        <f>IF($A286="","",K286-_xll.BDP($A286&amp;" Corp","YAS_BOND_YLD","YAS_YLD_FLAG=15","SETTLE_DT",Company_desc!$D$1))</f>
        <v/>
      </c>
      <c r="AA286" s="80">
        <f>IF($A286="","",_xll.BDP($A286&amp;" Corp","YAS_OAS_SPRD","SETTLE_DT",Company_desc!$D$1))</f>
        <v/>
      </c>
    </row>
    <row r="287">
      <c r="B287" s="75">
        <f>IF($A287="","",IFERROR(INDEX(Sheet1!$B:$B,MATCH($A287,Sheet1!$A:$A,0)),""))</f>
        <v/>
      </c>
      <c r="C287" s="75">
        <f>IF($A287="","",PROPER(_xll.BDP($A287&amp;" Corp","NAME")))</f>
        <v/>
      </c>
      <c r="D287" s="76">
        <f>IF($A287="","",_xll.BDP($A287&amp;" Corp","CPN"))</f>
        <v/>
      </c>
      <c r="E287" s="75">
        <f>IF($A287="","",_xll.BDP($A287&amp;" Corp","PAYMENT_RANK"))</f>
        <v/>
      </c>
      <c r="F287" s="100">
        <f>IF($A287="","",_xll.BDP($A287&amp;" Corp","MATURITY"))</f>
        <v/>
      </c>
      <c r="G287" s="75">
        <f>IF($A287="","",PROPER(_xll.BDP($A287&amp;" Corp","COUNTRY_FULL_NAME")))</f>
        <v/>
      </c>
      <c r="H287" s="75">
        <f>IF($A287="","",_xll.BDP($A287&amp;" Corp","INDUSTRY_SECTOR"))</f>
        <v/>
      </c>
      <c r="I287" s="101">
        <f>IF($A287="","",IFERROR(_xll.BDP($A287&amp;" Corp","MIN_PIECE")/1000,""))</f>
        <v/>
      </c>
      <c r="J287" s="31">
        <f>IF($A287="","",_xll.BDP($A287&amp;" Corp","PX_LAST"))</f>
        <v/>
      </c>
      <c r="K287" s="31">
        <f>IF($A287="","",_xll.BDP($A287&amp;" Corp","YAS_BOND_YLD","YAS_YLD_FLAG=15"))</f>
        <v/>
      </c>
      <c r="L287" s="31">
        <f>IF($A287="","",K287-_xll.BDP($A287&amp;" Corp","YAS_BOND_YLD","YAS_YLD_FLAG=15","SETTLE_DT",Company_desc!$A$1))</f>
        <v/>
      </c>
      <c r="M287" s="31">
        <f>IF($A287="","",K287-_xll.BDP($A287&amp;" Corp","YAS_BOND_YLD","YAS_YLD_FLAG=15","SETTLE_DT",Company_desc!$A$2))</f>
        <v/>
      </c>
      <c r="N287" s="79">
        <f>IF($A287="","",_xll.BDP($A287&amp;" Corp","YAS_OAS_SPRD"))</f>
        <v/>
      </c>
      <c r="O287" s="67">
        <f>IF($A287="","",_xll.BDP($A287&amp;" Corp","YAS_MOD_DUR"))</f>
        <v/>
      </c>
      <c r="P287" s="80">
        <f>IF($A287="","",IFERROR(INDEX(Sheet1!$P:$P,MATCH($A287,Sheet1!$A:$A,0)),""))</f>
        <v/>
      </c>
      <c r="Q287" s="75">
        <f>IF($A287="","",IFERROR(INDEX(Company_desc!$C:$C,MATCH($A287,Company_desc!$A:$A,0)),IFERROR(INDEX(Sheet1!$Q:$Q,MATCH($A287,Sheet1!$A:$A,0)),"")))</f>
        <v/>
      </c>
      <c r="R287" s="75">
        <f>IF($A287="","",_xll.BDP($A287&amp;" Corp","CRNCY"))</f>
        <v/>
      </c>
      <c r="S287" s="75">
        <f>IF($A287="","",IFERROR(INDEX(Sheet1!$S:$S,MATCH($A287,Sheet1!$A:$A,0)),""))</f>
        <v/>
      </c>
      <c r="T287" s="75">
        <f>IF($A287="","",IFERROR(INDEX(Sheet1!$T:$T,MATCH($A287,Sheet1!$A:$A,0)),_xll.BDP($A287&amp;" Corp","RTG_SP")))</f>
        <v/>
      </c>
      <c r="U287" s="75">
        <f>IF($A287="","",IFERROR(INDEX(Sheet1!$U:$U,MATCH($A287,Sheet1!$A:$A,0)),""))</f>
        <v/>
      </c>
      <c r="W287" s="81">
        <f>IF($A287="","",N287-_xll.BDP($A287&amp;" Corp","YAS_OAS_SPRD","SETTLE_DT",Company_desc!$A$1))</f>
        <v/>
      </c>
      <c r="X287" s="81">
        <f>IF($A287="","",N287-_xll.BDP($A287&amp;" Corp","YAS_OAS_SPRD","SETTLE_DT",Company_desc!$A$2))</f>
        <v/>
      </c>
      <c r="Y287" s="80">
        <f>IF($A287="","",N287-_xll.BDP($A287&amp;" Corp","YAS_OAS_SPRD","SETTLE_DT",Company_desc!$D$1))</f>
        <v/>
      </c>
      <c r="Z287" s="82">
        <f>IF($A287="","",K287-_xll.BDP($A287&amp;" Corp","YAS_BOND_YLD","YAS_YLD_FLAG=15","SETTLE_DT",Company_desc!$D$1))</f>
        <v/>
      </c>
      <c r="AA287" s="80">
        <f>IF($A287="","",_xll.BDP($A287&amp;" Corp","YAS_OAS_SPRD","SETTLE_DT",Company_desc!$D$1))</f>
        <v/>
      </c>
    </row>
    <row r="288">
      <c r="B288" s="75">
        <f>IF($A288="","",IFERROR(INDEX(Sheet1!$B:$B,MATCH($A288,Sheet1!$A:$A,0)),""))</f>
        <v/>
      </c>
      <c r="C288" s="75">
        <f>IF($A288="","",PROPER(_xll.BDP($A288&amp;" Corp","NAME")))</f>
        <v/>
      </c>
      <c r="D288" s="76">
        <f>IF($A288="","",_xll.BDP($A288&amp;" Corp","CPN"))</f>
        <v/>
      </c>
      <c r="E288" s="75">
        <f>IF($A288="","",_xll.BDP($A288&amp;" Corp","PAYMENT_RANK"))</f>
        <v/>
      </c>
      <c r="F288" s="100">
        <f>IF($A288="","",_xll.BDP($A288&amp;" Corp","MATURITY"))</f>
        <v/>
      </c>
      <c r="G288" s="75">
        <f>IF($A288="","",PROPER(_xll.BDP($A288&amp;" Corp","COUNTRY_FULL_NAME")))</f>
        <v/>
      </c>
      <c r="H288" s="75">
        <f>IF($A288="","",_xll.BDP($A288&amp;" Corp","INDUSTRY_SECTOR"))</f>
        <v/>
      </c>
      <c r="I288" s="101">
        <f>IF($A288="","",IFERROR(_xll.BDP($A288&amp;" Corp","MIN_PIECE")/1000,""))</f>
        <v/>
      </c>
      <c r="J288" s="31">
        <f>IF($A288="","",_xll.BDP($A288&amp;" Corp","PX_LAST"))</f>
        <v/>
      </c>
      <c r="K288" s="31">
        <f>IF($A288="","",_xll.BDP($A288&amp;" Corp","YAS_BOND_YLD","YAS_YLD_FLAG=15"))</f>
        <v/>
      </c>
      <c r="L288" s="31">
        <f>IF($A288="","",K288-_xll.BDP($A288&amp;" Corp","YAS_BOND_YLD","YAS_YLD_FLAG=15","SETTLE_DT",Company_desc!$A$1))</f>
        <v/>
      </c>
      <c r="M288" s="31">
        <f>IF($A288="","",K288-_xll.BDP($A288&amp;" Corp","YAS_BOND_YLD","YAS_YLD_FLAG=15","SETTLE_DT",Company_desc!$A$2))</f>
        <v/>
      </c>
      <c r="N288" s="79">
        <f>IF($A288="","",_xll.BDP($A288&amp;" Corp","YAS_OAS_SPRD"))</f>
        <v/>
      </c>
      <c r="O288" s="67">
        <f>IF($A288="","",_xll.BDP($A288&amp;" Corp","YAS_MOD_DUR"))</f>
        <v/>
      </c>
      <c r="P288" s="80">
        <f>IF($A288="","",IFERROR(INDEX(Sheet1!$P:$P,MATCH($A288,Sheet1!$A:$A,0)),""))</f>
        <v/>
      </c>
      <c r="Q288" s="75">
        <f>IF($A288="","",IFERROR(INDEX(Company_desc!$C:$C,MATCH($A288,Company_desc!$A:$A,0)),IFERROR(INDEX(Sheet1!$Q:$Q,MATCH($A288,Sheet1!$A:$A,0)),"")))</f>
        <v/>
      </c>
      <c r="R288" s="75">
        <f>IF($A288="","",_xll.BDP($A288&amp;" Corp","CRNCY"))</f>
        <v/>
      </c>
      <c r="S288" s="75">
        <f>IF($A288="","",IFERROR(INDEX(Sheet1!$S:$S,MATCH($A288,Sheet1!$A:$A,0)),""))</f>
        <v/>
      </c>
      <c r="T288" s="75">
        <f>IF($A288="","",IFERROR(INDEX(Sheet1!$T:$T,MATCH($A288,Sheet1!$A:$A,0)),_xll.BDP($A288&amp;" Corp","RTG_SP")))</f>
        <v/>
      </c>
      <c r="U288" s="75">
        <f>IF($A288="","",IFERROR(INDEX(Sheet1!$U:$U,MATCH($A288,Sheet1!$A:$A,0)),""))</f>
        <v/>
      </c>
      <c r="W288" s="81">
        <f>IF($A288="","",N288-_xll.BDP($A288&amp;" Corp","YAS_OAS_SPRD","SETTLE_DT",Company_desc!$A$1))</f>
        <v/>
      </c>
      <c r="X288" s="81">
        <f>IF($A288="","",N288-_xll.BDP($A288&amp;" Corp","YAS_OAS_SPRD","SETTLE_DT",Company_desc!$A$2))</f>
        <v/>
      </c>
      <c r="Y288" s="80">
        <f>IF($A288="","",N288-_xll.BDP($A288&amp;" Corp","YAS_OAS_SPRD","SETTLE_DT",Company_desc!$D$1))</f>
        <v/>
      </c>
      <c r="Z288" s="82">
        <f>IF($A288="","",K288-_xll.BDP($A288&amp;" Corp","YAS_BOND_YLD","YAS_YLD_FLAG=15","SETTLE_DT",Company_desc!$D$1))</f>
        <v/>
      </c>
      <c r="AA288" s="80">
        <f>IF($A288="","",_xll.BDP($A288&amp;" Corp","YAS_OAS_SPRD","SETTLE_DT",Company_desc!$D$1))</f>
        <v/>
      </c>
    </row>
    <row r="289">
      <c r="B289" s="75">
        <f>IF($A289="","",IFERROR(INDEX(Sheet1!$B:$B,MATCH($A289,Sheet1!$A:$A,0)),""))</f>
        <v/>
      </c>
      <c r="C289" s="75">
        <f>IF($A289="","",PROPER(_xll.BDP($A289&amp;" Corp","NAME")))</f>
        <v/>
      </c>
      <c r="D289" s="76">
        <f>IF($A289="","",_xll.BDP($A289&amp;" Corp","CPN"))</f>
        <v/>
      </c>
      <c r="E289" s="75">
        <f>IF($A289="","",_xll.BDP($A289&amp;" Corp","PAYMENT_RANK"))</f>
        <v/>
      </c>
      <c r="F289" s="100">
        <f>IF($A289="","",_xll.BDP($A289&amp;" Corp","MATURITY"))</f>
        <v/>
      </c>
      <c r="G289" s="75">
        <f>IF($A289="","",PROPER(_xll.BDP($A289&amp;" Corp","COUNTRY_FULL_NAME")))</f>
        <v/>
      </c>
      <c r="H289" s="75">
        <f>IF($A289="","",_xll.BDP($A289&amp;" Corp","INDUSTRY_SECTOR"))</f>
        <v/>
      </c>
      <c r="I289" s="101">
        <f>IF($A289="","",IFERROR(_xll.BDP($A289&amp;" Corp","MIN_PIECE")/1000,""))</f>
        <v/>
      </c>
      <c r="J289" s="31">
        <f>IF($A289="","",_xll.BDP($A289&amp;" Corp","PX_LAST"))</f>
        <v/>
      </c>
      <c r="K289" s="31">
        <f>IF($A289="","",_xll.BDP($A289&amp;" Corp","YAS_BOND_YLD","YAS_YLD_FLAG=15"))</f>
        <v/>
      </c>
      <c r="L289" s="31">
        <f>IF($A289="","",K289-_xll.BDP($A289&amp;" Corp","YAS_BOND_YLD","YAS_YLD_FLAG=15","SETTLE_DT",Company_desc!$A$1))</f>
        <v/>
      </c>
      <c r="M289" s="31">
        <f>IF($A289="","",K289-_xll.BDP($A289&amp;" Corp","YAS_BOND_YLD","YAS_YLD_FLAG=15","SETTLE_DT",Company_desc!$A$2))</f>
        <v/>
      </c>
      <c r="N289" s="79">
        <f>IF($A289="","",_xll.BDP($A289&amp;" Corp","YAS_OAS_SPRD"))</f>
        <v/>
      </c>
      <c r="O289" s="67">
        <f>IF($A289="","",_xll.BDP($A289&amp;" Corp","YAS_MOD_DUR"))</f>
        <v/>
      </c>
      <c r="P289" s="80">
        <f>IF($A289="","",IFERROR(INDEX(Sheet1!$P:$P,MATCH($A289,Sheet1!$A:$A,0)),""))</f>
        <v/>
      </c>
      <c r="Q289" s="75">
        <f>IF($A289="","",IFERROR(INDEX(Company_desc!$C:$C,MATCH($A289,Company_desc!$A:$A,0)),IFERROR(INDEX(Sheet1!$Q:$Q,MATCH($A289,Sheet1!$A:$A,0)),"")))</f>
        <v/>
      </c>
      <c r="R289" s="75">
        <f>IF($A289="","",_xll.BDP($A289&amp;" Corp","CRNCY"))</f>
        <v/>
      </c>
      <c r="S289" s="75">
        <f>IF($A289="","",IFERROR(INDEX(Sheet1!$S:$S,MATCH($A289,Sheet1!$A:$A,0)),""))</f>
        <v/>
      </c>
      <c r="T289" s="75">
        <f>IF($A289="","",IFERROR(INDEX(Sheet1!$T:$T,MATCH($A289,Sheet1!$A:$A,0)),_xll.BDP($A289&amp;" Corp","RTG_SP")))</f>
        <v/>
      </c>
      <c r="U289" s="75">
        <f>IF($A289="","",IFERROR(INDEX(Sheet1!$U:$U,MATCH($A289,Sheet1!$A:$A,0)),""))</f>
        <v/>
      </c>
      <c r="W289" s="81">
        <f>IF($A289="","",N289-_xll.BDP($A289&amp;" Corp","YAS_OAS_SPRD","SETTLE_DT",Company_desc!$A$1))</f>
        <v/>
      </c>
      <c r="X289" s="81">
        <f>IF($A289="","",N289-_xll.BDP($A289&amp;" Corp","YAS_OAS_SPRD","SETTLE_DT",Company_desc!$A$2))</f>
        <v/>
      </c>
      <c r="Y289" s="80">
        <f>IF($A289="","",N289-_xll.BDP($A289&amp;" Corp","YAS_OAS_SPRD","SETTLE_DT",Company_desc!$D$1))</f>
        <v/>
      </c>
      <c r="Z289" s="82">
        <f>IF($A289="","",K289-_xll.BDP($A289&amp;" Corp","YAS_BOND_YLD","YAS_YLD_FLAG=15","SETTLE_DT",Company_desc!$D$1))</f>
        <v/>
      </c>
      <c r="AA289" s="80">
        <f>IF($A289="","",_xll.BDP($A289&amp;" Corp","YAS_OAS_SPRD","SETTLE_DT",Company_desc!$D$1))</f>
        <v/>
      </c>
    </row>
    <row r="290">
      <c r="B290" s="75">
        <f>IF($A290="","",IFERROR(INDEX(Sheet1!$B:$B,MATCH($A290,Sheet1!$A:$A,0)),""))</f>
        <v/>
      </c>
      <c r="C290" s="75">
        <f>IF($A290="","",PROPER(_xll.BDP($A290&amp;" Corp","NAME")))</f>
        <v/>
      </c>
      <c r="D290" s="76">
        <f>IF($A290="","",_xll.BDP($A290&amp;" Corp","CPN"))</f>
        <v/>
      </c>
      <c r="E290" s="75">
        <f>IF($A290="","",_xll.BDP($A290&amp;" Corp","PAYMENT_RANK"))</f>
        <v/>
      </c>
      <c r="F290" s="100">
        <f>IF($A290="","",_xll.BDP($A290&amp;" Corp","MATURITY"))</f>
        <v/>
      </c>
      <c r="G290" s="75">
        <f>IF($A290="","",PROPER(_xll.BDP($A290&amp;" Corp","COUNTRY_FULL_NAME")))</f>
        <v/>
      </c>
      <c r="H290" s="75">
        <f>IF($A290="","",_xll.BDP($A290&amp;" Corp","INDUSTRY_SECTOR"))</f>
        <v/>
      </c>
      <c r="I290" s="101">
        <f>IF($A290="","",IFERROR(_xll.BDP($A290&amp;" Corp","MIN_PIECE")/1000,""))</f>
        <v/>
      </c>
      <c r="J290" s="31">
        <f>IF($A290="","",_xll.BDP($A290&amp;" Corp","PX_LAST"))</f>
        <v/>
      </c>
      <c r="K290" s="31">
        <f>IF($A290="","",_xll.BDP($A290&amp;" Corp","YAS_BOND_YLD","YAS_YLD_FLAG=15"))</f>
        <v/>
      </c>
      <c r="L290" s="31">
        <f>IF($A290="","",K290-_xll.BDP($A290&amp;" Corp","YAS_BOND_YLD","YAS_YLD_FLAG=15","SETTLE_DT",Company_desc!$A$1))</f>
        <v/>
      </c>
      <c r="M290" s="31">
        <f>IF($A290="","",K290-_xll.BDP($A290&amp;" Corp","YAS_BOND_YLD","YAS_YLD_FLAG=15","SETTLE_DT",Company_desc!$A$2))</f>
        <v/>
      </c>
      <c r="N290" s="79">
        <f>IF($A290="","",_xll.BDP($A290&amp;" Corp","YAS_OAS_SPRD"))</f>
        <v/>
      </c>
      <c r="O290" s="67">
        <f>IF($A290="","",_xll.BDP($A290&amp;" Corp","YAS_MOD_DUR"))</f>
        <v/>
      </c>
      <c r="P290" s="80">
        <f>IF($A290="","",IFERROR(INDEX(Sheet1!$P:$P,MATCH($A290,Sheet1!$A:$A,0)),""))</f>
        <v/>
      </c>
      <c r="Q290" s="75">
        <f>IF($A290="","",IFERROR(INDEX(Company_desc!$C:$C,MATCH($A290,Company_desc!$A:$A,0)),IFERROR(INDEX(Sheet1!$Q:$Q,MATCH($A290,Sheet1!$A:$A,0)),"")))</f>
        <v/>
      </c>
      <c r="R290" s="75">
        <f>IF($A290="","",_xll.BDP($A290&amp;" Corp","CRNCY"))</f>
        <v/>
      </c>
      <c r="S290" s="75">
        <f>IF($A290="","",IFERROR(INDEX(Sheet1!$S:$S,MATCH($A290,Sheet1!$A:$A,0)),""))</f>
        <v/>
      </c>
      <c r="T290" s="75">
        <f>IF($A290="","",IFERROR(INDEX(Sheet1!$T:$T,MATCH($A290,Sheet1!$A:$A,0)),_xll.BDP($A290&amp;" Corp","RTG_SP")))</f>
        <v/>
      </c>
      <c r="U290" s="75">
        <f>IF($A290="","",IFERROR(INDEX(Sheet1!$U:$U,MATCH($A290,Sheet1!$A:$A,0)),""))</f>
        <v/>
      </c>
      <c r="W290" s="81">
        <f>IF($A290="","",N290-_xll.BDP($A290&amp;" Corp","YAS_OAS_SPRD","SETTLE_DT",Company_desc!$A$1))</f>
        <v/>
      </c>
      <c r="X290" s="81">
        <f>IF($A290="","",N290-_xll.BDP($A290&amp;" Corp","YAS_OAS_SPRD","SETTLE_DT",Company_desc!$A$2))</f>
        <v/>
      </c>
      <c r="Y290" s="80">
        <f>IF($A290="","",N290-_xll.BDP($A290&amp;" Corp","YAS_OAS_SPRD","SETTLE_DT",Company_desc!$D$1))</f>
        <v/>
      </c>
      <c r="Z290" s="82">
        <f>IF($A290="","",K290-_xll.BDP($A290&amp;" Corp","YAS_BOND_YLD","YAS_YLD_FLAG=15","SETTLE_DT",Company_desc!$D$1))</f>
        <v/>
      </c>
      <c r="AA290" s="80">
        <f>IF($A290="","",_xll.BDP($A290&amp;" Corp","YAS_OAS_SPRD","SETTLE_DT",Company_desc!$D$1))</f>
        <v/>
      </c>
    </row>
    <row r="291">
      <c r="B291" s="75">
        <f>IF($A291="","",IFERROR(INDEX(Sheet1!$B:$B,MATCH($A291,Sheet1!$A:$A,0)),""))</f>
        <v/>
      </c>
      <c r="C291" s="75">
        <f>IF($A291="","",PROPER(_xll.BDP($A291&amp;" Corp","NAME")))</f>
        <v/>
      </c>
      <c r="D291" s="76">
        <f>IF($A291="","",_xll.BDP($A291&amp;" Corp","CPN"))</f>
        <v/>
      </c>
      <c r="E291" s="75">
        <f>IF($A291="","",_xll.BDP($A291&amp;" Corp","PAYMENT_RANK"))</f>
        <v/>
      </c>
      <c r="F291" s="100">
        <f>IF($A291="","",_xll.BDP($A291&amp;" Corp","MATURITY"))</f>
        <v/>
      </c>
      <c r="G291" s="75">
        <f>IF($A291="","",PROPER(_xll.BDP($A291&amp;" Corp","COUNTRY_FULL_NAME")))</f>
        <v/>
      </c>
      <c r="H291" s="75">
        <f>IF($A291="","",_xll.BDP($A291&amp;" Corp","INDUSTRY_SECTOR"))</f>
        <v/>
      </c>
      <c r="I291" s="101">
        <f>IF($A291="","",IFERROR(_xll.BDP($A291&amp;" Corp","MIN_PIECE")/1000,""))</f>
        <v/>
      </c>
      <c r="J291" s="31">
        <f>IF($A291="","",_xll.BDP($A291&amp;" Corp","PX_LAST"))</f>
        <v/>
      </c>
      <c r="K291" s="31">
        <f>IF($A291="","",_xll.BDP($A291&amp;" Corp","YAS_BOND_YLD","YAS_YLD_FLAG=15"))</f>
        <v/>
      </c>
      <c r="L291" s="31">
        <f>IF($A291="","",K291-_xll.BDP($A291&amp;" Corp","YAS_BOND_YLD","YAS_YLD_FLAG=15","SETTLE_DT",Company_desc!$A$1))</f>
        <v/>
      </c>
      <c r="M291" s="31">
        <f>IF($A291="","",K291-_xll.BDP($A291&amp;" Corp","YAS_BOND_YLD","YAS_YLD_FLAG=15","SETTLE_DT",Company_desc!$A$2))</f>
        <v/>
      </c>
      <c r="N291" s="79">
        <f>IF($A291="","",_xll.BDP($A291&amp;" Corp","YAS_OAS_SPRD"))</f>
        <v/>
      </c>
      <c r="O291" s="67">
        <f>IF($A291="","",_xll.BDP($A291&amp;" Corp","YAS_MOD_DUR"))</f>
        <v/>
      </c>
      <c r="P291" s="80">
        <f>IF($A291="","",IFERROR(INDEX(Sheet1!$P:$P,MATCH($A291,Sheet1!$A:$A,0)),""))</f>
        <v/>
      </c>
      <c r="Q291" s="75">
        <f>IF($A291="","",IFERROR(INDEX(Company_desc!$C:$C,MATCH($A291,Company_desc!$A:$A,0)),IFERROR(INDEX(Sheet1!$Q:$Q,MATCH($A291,Sheet1!$A:$A,0)),"")))</f>
        <v/>
      </c>
      <c r="R291" s="75">
        <f>IF($A291="","",_xll.BDP($A291&amp;" Corp","CRNCY"))</f>
        <v/>
      </c>
      <c r="S291" s="75">
        <f>IF($A291="","",IFERROR(INDEX(Sheet1!$S:$S,MATCH($A291,Sheet1!$A:$A,0)),""))</f>
        <v/>
      </c>
      <c r="T291" s="75">
        <f>IF($A291="","",IFERROR(INDEX(Sheet1!$T:$T,MATCH($A291,Sheet1!$A:$A,0)),_xll.BDP($A291&amp;" Corp","RTG_SP")))</f>
        <v/>
      </c>
      <c r="U291" s="75">
        <f>IF($A291="","",IFERROR(INDEX(Sheet1!$U:$U,MATCH($A291,Sheet1!$A:$A,0)),""))</f>
        <v/>
      </c>
      <c r="W291" s="81">
        <f>IF($A291="","",N291-_xll.BDP($A291&amp;" Corp","YAS_OAS_SPRD","SETTLE_DT",Company_desc!$A$1))</f>
        <v/>
      </c>
      <c r="X291" s="81">
        <f>IF($A291="","",N291-_xll.BDP($A291&amp;" Corp","YAS_OAS_SPRD","SETTLE_DT",Company_desc!$A$2))</f>
        <v/>
      </c>
      <c r="Y291" s="80">
        <f>IF($A291="","",N291-_xll.BDP($A291&amp;" Corp","YAS_OAS_SPRD","SETTLE_DT",Company_desc!$D$1))</f>
        <v/>
      </c>
      <c r="Z291" s="82">
        <f>IF($A291="","",K291-_xll.BDP($A291&amp;" Corp","YAS_BOND_YLD","YAS_YLD_FLAG=15","SETTLE_DT",Company_desc!$D$1))</f>
        <v/>
      </c>
      <c r="AA291" s="80">
        <f>IF($A291="","",_xll.BDP($A291&amp;" Corp","YAS_OAS_SPRD","SETTLE_DT",Company_desc!$D$1))</f>
        <v/>
      </c>
    </row>
    <row r="292">
      <c r="B292" s="75">
        <f>IF($A292="","",IFERROR(INDEX(Sheet1!$B:$B,MATCH($A292,Sheet1!$A:$A,0)),""))</f>
        <v/>
      </c>
      <c r="C292" s="75">
        <f>IF($A292="","",PROPER(_xll.BDP($A292&amp;" Corp","NAME")))</f>
        <v/>
      </c>
      <c r="D292" s="76">
        <f>IF($A292="","",_xll.BDP($A292&amp;" Corp","CPN"))</f>
        <v/>
      </c>
      <c r="E292" s="75">
        <f>IF($A292="","",_xll.BDP($A292&amp;" Corp","PAYMENT_RANK"))</f>
        <v/>
      </c>
      <c r="F292" s="100">
        <f>IF($A292="","",_xll.BDP($A292&amp;" Corp","MATURITY"))</f>
        <v/>
      </c>
      <c r="G292" s="75">
        <f>IF($A292="","",PROPER(_xll.BDP($A292&amp;" Corp","COUNTRY_FULL_NAME")))</f>
        <v/>
      </c>
      <c r="H292" s="75">
        <f>IF($A292="","",_xll.BDP($A292&amp;" Corp","INDUSTRY_SECTOR"))</f>
        <v/>
      </c>
      <c r="I292" s="101">
        <f>IF($A292="","",IFERROR(_xll.BDP($A292&amp;" Corp","MIN_PIECE")/1000,""))</f>
        <v/>
      </c>
      <c r="J292" s="31">
        <f>IF($A292="","",_xll.BDP($A292&amp;" Corp","PX_LAST"))</f>
        <v/>
      </c>
      <c r="K292" s="31">
        <f>IF($A292="","",_xll.BDP($A292&amp;" Corp","YAS_BOND_YLD","YAS_YLD_FLAG=15"))</f>
        <v/>
      </c>
      <c r="L292" s="31">
        <f>IF($A292="","",K292-_xll.BDP($A292&amp;" Corp","YAS_BOND_YLD","YAS_YLD_FLAG=15","SETTLE_DT",Company_desc!$A$1))</f>
        <v/>
      </c>
      <c r="M292" s="31">
        <f>IF($A292="","",K292-_xll.BDP($A292&amp;" Corp","YAS_BOND_YLD","YAS_YLD_FLAG=15","SETTLE_DT",Company_desc!$A$2))</f>
        <v/>
      </c>
      <c r="N292" s="79">
        <f>IF($A292="","",_xll.BDP($A292&amp;" Corp","YAS_OAS_SPRD"))</f>
        <v/>
      </c>
      <c r="O292" s="67">
        <f>IF($A292="","",_xll.BDP($A292&amp;" Corp","YAS_MOD_DUR"))</f>
        <v/>
      </c>
      <c r="P292" s="80">
        <f>IF($A292="","",IFERROR(INDEX(Sheet1!$P:$P,MATCH($A292,Sheet1!$A:$A,0)),""))</f>
        <v/>
      </c>
      <c r="Q292" s="75">
        <f>IF($A292="","",IFERROR(INDEX(Company_desc!$C:$C,MATCH($A292,Company_desc!$A:$A,0)),IFERROR(INDEX(Sheet1!$Q:$Q,MATCH($A292,Sheet1!$A:$A,0)),"")))</f>
        <v/>
      </c>
      <c r="R292" s="75">
        <f>IF($A292="","",_xll.BDP($A292&amp;" Corp","CRNCY"))</f>
        <v/>
      </c>
      <c r="S292" s="75">
        <f>IF($A292="","",IFERROR(INDEX(Sheet1!$S:$S,MATCH($A292,Sheet1!$A:$A,0)),""))</f>
        <v/>
      </c>
      <c r="T292" s="75">
        <f>IF($A292="","",IFERROR(INDEX(Sheet1!$T:$T,MATCH($A292,Sheet1!$A:$A,0)),_xll.BDP($A292&amp;" Corp","RTG_SP")))</f>
        <v/>
      </c>
      <c r="U292" s="75">
        <f>IF($A292="","",IFERROR(INDEX(Sheet1!$U:$U,MATCH($A292,Sheet1!$A:$A,0)),""))</f>
        <v/>
      </c>
      <c r="W292" s="81">
        <f>IF($A292="","",N292-_xll.BDP($A292&amp;" Corp","YAS_OAS_SPRD","SETTLE_DT",Company_desc!$A$1))</f>
        <v/>
      </c>
      <c r="X292" s="81">
        <f>IF($A292="","",N292-_xll.BDP($A292&amp;" Corp","YAS_OAS_SPRD","SETTLE_DT",Company_desc!$A$2))</f>
        <v/>
      </c>
      <c r="Y292" s="80">
        <f>IF($A292="","",N292-_xll.BDP($A292&amp;" Corp","YAS_OAS_SPRD","SETTLE_DT",Company_desc!$D$1))</f>
        <v/>
      </c>
      <c r="Z292" s="82">
        <f>IF($A292="","",K292-_xll.BDP($A292&amp;" Corp","YAS_BOND_YLD","YAS_YLD_FLAG=15","SETTLE_DT",Company_desc!$D$1))</f>
        <v/>
      </c>
      <c r="AA292" s="80">
        <f>IF($A292="","",_xll.BDP($A292&amp;" Corp","YAS_OAS_SPRD","SETTLE_DT",Company_desc!$D$1))</f>
        <v/>
      </c>
    </row>
    <row r="293">
      <c r="B293" s="75">
        <f>IF($A293="","",IFERROR(INDEX(Sheet1!$B:$B,MATCH($A293,Sheet1!$A:$A,0)),""))</f>
        <v/>
      </c>
      <c r="C293" s="75">
        <f>IF($A293="","",PROPER(_xll.BDP($A293&amp;" Corp","NAME")))</f>
        <v/>
      </c>
      <c r="D293" s="76">
        <f>IF($A293="","",_xll.BDP($A293&amp;" Corp","CPN"))</f>
        <v/>
      </c>
      <c r="E293" s="75">
        <f>IF($A293="","",_xll.BDP($A293&amp;" Corp","PAYMENT_RANK"))</f>
        <v/>
      </c>
      <c r="F293" s="100">
        <f>IF($A293="","",_xll.BDP($A293&amp;" Corp","MATURITY"))</f>
        <v/>
      </c>
      <c r="G293" s="75">
        <f>IF($A293="","",PROPER(_xll.BDP($A293&amp;" Corp","COUNTRY_FULL_NAME")))</f>
        <v/>
      </c>
      <c r="H293" s="75">
        <f>IF($A293="","",_xll.BDP($A293&amp;" Corp","INDUSTRY_SECTOR"))</f>
        <v/>
      </c>
      <c r="I293" s="101">
        <f>IF($A293="","",IFERROR(_xll.BDP($A293&amp;" Corp","MIN_PIECE")/1000,""))</f>
        <v/>
      </c>
      <c r="J293" s="31">
        <f>IF($A293="","",_xll.BDP($A293&amp;" Corp","PX_LAST"))</f>
        <v/>
      </c>
      <c r="K293" s="31">
        <f>IF($A293="","",_xll.BDP($A293&amp;" Corp","YAS_BOND_YLD","YAS_YLD_FLAG=15"))</f>
        <v/>
      </c>
      <c r="L293" s="31">
        <f>IF($A293="","",K293-_xll.BDP($A293&amp;" Corp","YAS_BOND_YLD","YAS_YLD_FLAG=15","SETTLE_DT",Company_desc!$A$1))</f>
        <v/>
      </c>
      <c r="M293" s="31">
        <f>IF($A293="","",K293-_xll.BDP($A293&amp;" Corp","YAS_BOND_YLD","YAS_YLD_FLAG=15","SETTLE_DT",Company_desc!$A$2))</f>
        <v/>
      </c>
      <c r="N293" s="79">
        <f>IF($A293="","",_xll.BDP($A293&amp;" Corp","YAS_OAS_SPRD"))</f>
        <v/>
      </c>
      <c r="O293" s="67">
        <f>IF($A293="","",_xll.BDP($A293&amp;" Corp","YAS_MOD_DUR"))</f>
        <v/>
      </c>
      <c r="P293" s="80">
        <f>IF($A293="","",IFERROR(INDEX(Sheet1!$P:$P,MATCH($A293,Sheet1!$A:$A,0)),""))</f>
        <v/>
      </c>
      <c r="Q293" s="75">
        <f>IF($A293="","",IFERROR(INDEX(Company_desc!$C:$C,MATCH($A293,Company_desc!$A:$A,0)),IFERROR(INDEX(Sheet1!$Q:$Q,MATCH($A293,Sheet1!$A:$A,0)),"")))</f>
        <v/>
      </c>
      <c r="R293" s="75">
        <f>IF($A293="","",_xll.BDP($A293&amp;" Corp","CRNCY"))</f>
        <v/>
      </c>
      <c r="S293" s="75">
        <f>IF($A293="","",IFERROR(INDEX(Sheet1!$S:$S,MATCH($A293,Sheet1!$A:$A,0)),""))</f>
        <v/>
      </c>
      <c r="T293" s="75">
        <f>IF($A293="","",IFERROR(INDEX(Sheet1!$T:$T,MATCH($A293,Sheet1!$A:$A,0)),_xll.BDP($A293&amp;" Corp","RTG_SP")))</f>
        <v/>
      </c>
      <c r="U293" s="75">
        <f>IF($A293="","",IFERROR(INDEX(Sheet1!$U:$U,MATCH($A293,Sheet1!$A:$A,0)),""))</f>
        <v/>
      </c>
      <c r="W293" s="81">
        <f>IF($A293="","",N293-_xll.BDP($A293&amp;" Corp","YAS_OAS_SPRD","SETTLE_DT",Company_desc!$A$1))</f>
        <v/>
      </c>
      <c r="X293" s="81">
        <f>IF($A293="","",N293-_xll.BDP($A293&amp;" Corp","YAS_OAS_SPRD","SETTLE_DT",Company_desc!$A$2))</f>
        <v/>
      </c>
      <c r="Y293" s="80">
        <f>IF($A293="","",N293-_xll.BDP($A293&amp;" Corp","YAS_OAS_SPRD","SETTLE_DT",Company_desc!$D$1))</f>
        <v/>
      </c>
      <c r="Z293" s="82">
        <f>IF($A293="","",K293-_xll.BDP($A293&amp;" Corp","YAS_BOND_YLD","YAS_YLD_FLAG=15","SETTLE_DT",Company_desc!$D$1))</f>
        <v/>
      </c>
      <c r="AA293" s="80">
        <f>IF($A293="","",_xll.BDP($A293&amp;" Corp","YAS_OAS_SPRD","SETTLE_DT",Company_desc!$D$1))</f>
        <v/>
      </c>
    </row>
    <row r="294">
      <c r="B294" s="75">
        <f>IF($A294="","",IFERROR(INDEX(Sheet1!$B:$B,MATCH($A294,Sheet1!$A:$A,0)),""))</f>
        <v/>
      </c>
      <c r="C294" s="75">
        <f>IF($A294="","",PROPER(_xll.BDP($A294&amp;" Corp","NAME")))</f>
        <v/>
      </c>
      <c r="D294" s="76">
        <f>IF($A294="","",_xll.BDP($A294&amp;" Corp","CPN"))</f>
        <v/>
      </c>
      <c r="E294" s="75">
        <f>IF($A294="","",_xll.BDP($A294&amp;" Corp","PAYMENT_RANK"))</f>
        <v/>
      </c>
      <c r="F294" s="100">
        <f>IF($A294="","",_xll.BDP($A294&amp;" Corp","MATURITY"))</f>
        <v/>
      </c>
      <c r="G294" s="75">
        <f>IF($A294="","",PROPER(_xll.BDP($A294&amp;" Corp","COUNTRY_FULL_NAME")))</f>
        <v/>
      </c>
      <c r="H294" s="75">
        <f>IF($A294="","",_xll.BDP($A294&amp;" Corp","INDUSTRY_SECTOR"))</f>
        <v/>
      </c>
      <c r="I294" s="101">
        <f>IF($A294="","",IFERROR(_xll.BDP($A294&amp;" Corp","MIN_PIECE")/1000,""))</f>
        <v/>
      </c>
      <c r="J294" s="31">
        <f>IF($A294="","",_xll.BDP($A294&amp;" Corp","PX_LAST"))</f>
        <v/>
      </c>
      <c r="K294" s="31">
        <f>IF($A294="","",_xll.BDP($A294&amp;" Corp","YAS_BOND_YLD","YAS_YLD_FLAG=15"))</f>
        <v/>
      </c>
      <c r="L294" s="31">
        <f>IF($A294="","",K294-_xll.BDP($A294&amp;" Corp","YAS_BOND_YLD","YAS_YLD_FLAG=15","SETTLE_DT",Company_desc!$A$1))</f>
        <v/>
      </c>
      <c r="M294" s="31">
        <f>IF($A294="","",K294-_xll.BDP($A294&amp;" Corp","YAS_BOND_YLD","YAS_YLD_FLAG=15","SETTLE_DT",Company_desc!$A$2))</f>
        <v/>
      </c>
      <c r="N294" s="79">
        <f>IF($A294="","",_xll.BDP($A294&amp;" Corp","YAS_OAS_SPRD"))</f>
        <v/>
      </c>
      <c r="O294" s="67">
        <f>IF($A294="","",_xll.BDP($A294&amp;" Corp","YAS_MOD_DUR"))</f>
        <v/>
      </c>
      <c r="P294" s="80">
        <f>IF($A294="","",IFERROR(INDEX(Sheet1!$P:$P,MATCH($A294,Sheet1!$A:$A,0)),""))</f>
        <v/>
      </c>
      <c r="Q294" s="75">
        <f>IF($A294="","",IFERROR(INDEX(Company_desc!$C:$C,MATCH($A294,Company_desc!$A:$A,0)),IFERROR(INDEX(Sheet1!$Q:$Q,MATCH($A294,Sheet1!$A:$A,0)),"")))</f>
        <v/>
      </c>
      <c r="R294" s="75">
        <f>IF($A294="","",_xll.BDP($A294&amp;" Corp","CRNCY"))</f>
        <v/>
      </c>
      <c r="S294" s="75">
        <f>IF($A294="","",IFERROR(INDEX(Sheet1!$S:$S,MATCH($A294,Sheet1!$A:$A,0)),""))</f>
        <v/>
      </c>
      <c r="T294" s="75">
        <f>IF($A294="","",IFERROR(INDEX(Sheet1!$T:$T,MATCH($A294,Sheet1!$A:$A,0)),_xll.BDP($A294&amp;" Corp","RTG_SP")))</f>
        <v/>
      </c>
      <c r="U294" s="75">
        <f>IF($A294="","",IFERROR(INDEX(Sheet1!$U:$U,MATCH($A294,Sheet1!$A:$A,0)),""))</f>
        <v/>
      </c>
      <c r="W294" s="81">
        <f>IF($A294="","",N294-_xll.BDP($A294&amp;" Corp","YAS_OAS_SPRD","SETTLE_DT",Company_desc!$A$1))</f>
        <v/>
      </c>
      <c r="X294" s="81">
        <f>IF($A294="","",N294-_xll.BDP($A294&amp;" Corp","YAS_OAS_SPRD","SETTLE_DT",Company_desc!$A$2))</f>
        <v/>
      </c>
      <c r="Y294" s="80">
        <f>IF($A294="","",N294-_xll.BDP($A294&amp;" Corp","YAS_OAS_SPRD","SETTLE_DT",Company_desc!$D$1))</f>
        <v/>
      </c>
      <c r="Z294" s="82">
        <f>IF($A294="","",K294-_xll.BDP($A294&amp;" Corp","YAS_BOND_YLD","YAS_YLD_FLAG=15","SETTLE_DT",Company_desc!$D$1))</f>
        <v/>
      </c>
      <c r="AA294" s="80">
        <f>IF($A294="","",_xll.BDP($A294&amp;" Corp","YAS_OAS_SPRD","SETTLE_DT",Company_desc!$D$1))</f>
        <v/>
      </c>
    </row>
    <row r="295">
      <c r="B295" s="75">
        <f>IF($A295="","",IFERROR(INDEX(Sheet1!$B:$B,MATCH($A295,Sheet1!$A:$A,0)),""))</f>
        <v/>
      </c>
      <c r="C295" s="75">
        <f>IF($A295="","",PROPER(_xll.BDP($A295&amp;" Corp","NAME")))</f>
        <v/>
      </c>
      <c r="D295" s="76">
        <f>IF($A295="","",_xll.BDP($A295&amp;" Corp","CPN"))</f>
        <v/>
      </c>
      <c r="E295" s="75">
        <f>IF($A295="","",_xll.BDP($A295&amp;" Corp","PAYMENT_RANK"))</f>
        <v/>
      </c>
      <c r="F295" s="100">
        <f>IF($A295="","",_xll.BDP($A295&amp;" Corp","MATURITY"))</f>
        <v/>
      </c>
      <c r="G295" s="75">
        <f>IF($A295="","",PROPER(_xll.BDP($A295&amp;" Corp","COUNTRY_FULL_NAME")))</f>
        <v/>
      </c>
      <c r="H295" s="75">
        <f>IF($A295="","",_xll.BDP($A295&amp;" Corp","INDUSTRY_SECTOR"))</f>
        <v/>
      </c>
      <c r="I295" s="101">
        <f>IF($A295="","",IFERROR(_xll.BDP($A295&amp;" Corp","MIN_PIECE")/1000,""))</f>
        <v/>
      </c>
      <c r="J295" s="31">
        <f>IF($A295="","",_xll.BDP($A295&amp;" Corp","PX_LAST"))</f>
        <v/>
      </c>
      <c r="K295" s="31">
        <f>IF($A295="","",_xll.BDP($A295&amp;" Corp","YAS_BOND_YLD","YAS_YLD_FLAG=15"))</f>
        <v/>
      </c>
      <c r="L295" s="31">
        <f>IF($A295="","",K295-_xll.BDP($A295&amp;" Corp","YAS_BOND_YLD","YAS_YLD_FLAG=15","SETTLE_DT",Company_desc!$A$1))</f>
        <v/>
      </c>
      <c r="M295" s="31">
        <f>IF($A295="","",K295-_xll.BDP($A295&amp;" Corp","YAS_BOND_YLD","YAS_YLD_FLAG=15","SETTLE_DT",Company_desc!$A$2))</f>
        <v/>
      </c>
      <c r="N295" s="79">
        <f>IF($A295="","",_xll.BDP($A295&amp;" Corp","YAS_OAS_SPRD"))</f>
        <v/>
      </c>
      <c r="O295" s="67">
        <f>IF($A295="","",_xll.BDP($A295&amp;" Corp","YAS_MOD_DUR"))</f>
        <v/>
      </c>
      <c r="P295" s="80">
        <f>IF($A295="","",IFERROR(INDEX(Sheet1!$P:$P,MATCH($A295,Sheet1!$A:$A,0)),""))</f>
        <v/>
      </c>
      <c r="Q295" s="75">
        <f>IF($A295="","",IFERROR(INDEX(Company_desc!$C:$C,MATCH($A295,Company_desc!$A:$A,0)),IFERROR(INDEX(Sheet1!$Q:$Q,MATCH($A295,Sheet1!$A:$A,0)),"")))</f>
        <v/>
      </c>
      <c r="R295" s="75">
        <f>IF($A295="","",_xll.BDP($A295&amp;" Corp","CRNCY"))</f>
        <v/>
      </c>
      <c r="S295" s="75">
        <f>IF($A295="","",IFERROR(INDEX(Sheet1!$S:$S,MATCH($A295,Sheet1!$A:$A,0)),""))</f>
        <v/>
      </c>
      <c r="T295" s="75">
        <f>IF($A295="","",IFERROR(INDEX(Sheet1!$T:$T,MATCH($A295,Sheet1!$A:$A,0)),_xll.BDP($A295&amp;" Corp","RTG_SP")))</f>
        <v/>
      </c>
      <c r="U295" s="75">
        <f>IF($A295="","",IFERROR(INDEX(Sheet1!$U:$U,MATCH($A295,Sheet1!$A:$A,0)),""))</f>
        <v/>
      </c>
      <c r="W295" s="81">
        <f>IF($A295="","",N295-_xll.BDP($A295&amp;" Corp","YAS_OAS_SPRD","SETTLE_DT",Company_desc!$A$1))</f>
        <v/>
      </c>
      <c r="X295" s="81">
        <f>IF($A295="","",N295-_xll.BDP($A295&amp;" Corp","YAS_OAS_SPRD","SETTLE_DT",Company_desc!$A$2))</f>
        <v/>
      </c>
      <c r="Y295" s="80">
        <f>IF($A295="","",N295-_xll.BDP($A295&amp;" Corp","YAS_OAS_SPRD","SETTLE_DT",Company_desc!$D$1))</f>
        <v/>
      </c>
      <c r="Z295" s="82">
        <f>IF($A295="","",K295-_xll.BDP($A295&amp;" Corp","YAS_BOND_YLD","YAS_YLD_FLAG=15","SETTLE_DT",Company_desc!$D$1))</f>
        <v/>
      </c>
      <c r="AA295" s="80">
        <f>IF($A295="","",_xll.BDP($A295&amp;" Corp","YAS_OAS_SPRD","SETTLE_DT",Company_desc!$D$1))</f>
        <v/>
      </c>
    </row>
    <row r="296">
      <c r="B296" s="75">
        <f>IF($A296="","",IFERROR(INDEX(Sheet1!$B:$B,MATCH($A296,Sheet1!$A:$A,0)),""))</f>
        <v/>
      </c>
      <c r="C296" s="75">
        <f>IF($A296="","",PROPER(_xll.BDP($A296&amp;" Corp","NAME")))</f>
        <v/>
      </c>
      <c r="D296" s="76">
        <f>IF($A296="","",_xll.BDP($A296&amp;" Corp","CPN"))</f>
        <v/>
      </c>
      <c r="E296" s="75">
        <f>IF($A296="","",_xll.BDP($A296&amp;" Corp","PAYMENT_RANK"))</f>
        <v/>
      </c>
      <c r="F296" s="100">
        <f>IF($A296="","",_xll.BDP($A296&amp;" Corp","MATURITY"))</f>
        <v/>
      </c>
      <c r="G296" s="75">
        <f>IF($A296="","",PROPER(_xll.BDP($A296&amp;" Corp","COUNTRY_FULL_NAME")))</f>
        <v/>
      </c>
      <c r="H296" s="75">
        <f>IF($A296="","",_xll.BDP($A296&amp;" Corp","INDUSTRY_SECTOR"))</f>
        <v/>
      </c>
      <c r="I296" s="101">
        <f>IF($A296="","",IFERROR(_xll.BDP($A296&amp;" Corp","MIN_PIECE")/1000,""))</f>
        <v/>
      </c>
      <c r="J296" s="31">
        <f>IF($A296="","",_xll.BDP($A296&amp;" Corp","PX_LAST"))</f>
        <v/>
      </c>
      <c r="K296" s="31">
        <f>IF($A296="","",_xll.BDP($A296&amp;" Corp","YAS_BOND_YLD","YAS_YLD_FLAG=15"))</f>
        <v/>
      </c>
      <c r="L296" s="31">
        <f>IF($A296="","",K296-_xll.BDP($A296&amp;" Corp","YAS_BOND_YLD","YAS_YLD_FLAG=15","SETTLE_DT",Company_desc!$A$1))</f>
        <v/>
      </c>
      <c r="M296" s="31">
        <f>IF($A296="","",K296-_xll.BDP($A296&amp;" Corp","YAS_BOND_YLD","YAS_YLD_FLAG=15","SETTLE_DT",Company_desc!$A$2))</f>
        <v/>
      </c>
      <c r="N296" s="79">
        <f>IF($A296="","",_xll.BDP($A296&amp;" Corp","YAS_OAS_SPRD"))</f>
        <v/>
      </c>
      <c r="O296" s="67">
        <f>IF($A296="","",_xll.BDP($A296&amp;" Corp","YAS_MOD_DUR"))</f>
        <v/>
      </c>
      <c r="P296" s="80">
        <f>IF($A296="","",IFERROR(INDEX(Sheet1!$P:$P,MATCH($A296,Sheet1!$A:$A,0)),""))</f>
        <v/>
      </c>
      <c r="Q296" s="75">
        <f>IF($A296="","",IFERROR(INDEX(Company_desc!$C:$C,MATCH($A296,Company_desc!$A:$A,0)),IFERROR(INDEX(Sheet1!$Q:$Q,MATCH($A296,Sheet1!$A:$A,0)),"")))</f>
        <v/>
      </c>
      <c r="R296" s="75">
        <f>IF($A296="","",_xll.BDP($A296&amp;" Corp","CRNCY"))</f>
        <v/>
      </c>
      <c r="S296" s="75">
        <f>IF($A296="","",IFERROR(INDEX(Sheet1!$S:$S,MATCH($A296,Sheet1!$A:$A,0)),""))</f>
        <v/>
      </c>
      <c r="T296" s="75">
        <f>IF($A296="","",IFERROR(INDEX(Sheet1!$T:$T,MATCH($A296,Sheet1!$A:$A,0)),_xll.BDP($A296&amp;" Corp","RTG_SP")))</f>
        <v/>
      </c>
      <c r="U296" s="75">
        <f>IF($A296="","",IFERROR(INDEX(Sheet1!$U:$U,MATCH($A296,Sheet1!$A:$A,0)),""))</f>
        <v/>
      </c>
      <c r="W296" s="81">
        <f>IF($A296="","",N296-_xll.BDP($A296&amp;" Corp","YAS_OAS_SPRD","SETTLE_DT",Company_desc!$A$1))</f>
        <v/>
      </c>
      <c r="X296" s="81">
        <f>IF($A296="","",N296-_xll.BDP($A296&amp;" Corp","YAS_OAS_SPRD","SETTLE_DT",Company_desc!$A$2))</f>
        <v/>
      </c>
      <c r="Y296" s="80">
        <f>IF($A296="","",N296-_xll.BDP($A296&amp;" Corp","YAS_OAS_SPRD","SETTLE_DT",Company_desc!$D$1))</f>
        <v/>
      </c>
      <c r="Z296" s="82">
        <f>IF($A296="","",K296-_xll.BDP($A296&amp;" Corp","YAS_BOND_YLD","YAS_YLD_FLAG=15","SETTLE_DT",Company_desc!$D$1))</f>
        <v/>
      </c>
      <c r="AA296" s="80">
        <f>IF($A296="","",_xll.BDP($A296&amp;" Corp","YAS_OAS_SPRD","SETTLE_DT",Company_desc!$D$1))</f>
        <v/>
      </c>
    </row>
    <row r="297">
      <c r="B297" s="75">
        <f>IF($A297="","",IFERROR(INDEX(Sheet1!$B:$B,MATCH($A297,Sheet1!$A:$A,0)),""))</f>
        <v/>
      </c>
      <c r="C297" s="75">
        <f>IF($A297="","",PROPER(_xll.BDP($A297&amp;" Corp","NAME")))</f>
        <v/>
      </c>
      <c r="D297" s="76">
        <f>IF($A297="","",_xll.BDP($A297&amp;" Corp","CPN"))</f>
        <v/>
      </c>
      <c r="E297" s="75">
        <f>IF($A297="","",_xll.BDP($A297&amp;" Corp","PAYMENT_RANK"))</f>
        <v/>
      </c>
      <c r="F297" s="100">
        <f>IF($A297="","",_xll.BDP($A297&amp;" Corp","MATURITY"))</f>
        <v/>
      </c>
      <c r="G297" s="75">
        <f>IF($A297="","",PROPER(_xll.BDP($A297&amp;" Corp","COUNTRY_FULL_NAME")))</f>
        <v/>
      </c>
      <c r="H297" s="75">
        <f>IF($A297="","",_xll.BDP($A297&amp;" Corp","INDUSTRY_SECTOR"))</f>
        <v/>
      </c>
      <c r="I297" s="101">
        <f>IF($A297="","",IFERROR(_xll.BDP($A297&amp;" Corp","MIN_PIECE")/1000,""))</f>
        <v/>
      </c>
      <c r="J297" s="31">
        <f>IF($A297="","",_xll.BDP($A297&amp;" Corp","PX_LAST"))</f>
        <v/>
      </c>
      <c r="K297" s="31">
        <f>IF($A297="","",_xll.BDP($A297&amp;" Corp","YAS_BOND_YLD","YAS_YLD_FLAG=15"))</f>
        <v/>
      </c>
      <c r="L297" s="31">
        <f>IF($A297="","",K297-_xll.BDP($A297&amp;" Corp","YAS_BOND_YLD","YAS_YLD_FLAG=15","SETTLE_DT",Company_desc!$A$1))</f>
        <v/>
      </c>
      <c r="M297" s="31">
        <f>IF($A297="","",K297-_xll.BDP($A297&amp;" Corp","YAS_BOND_YLD","YAS_YLD_FLAG=15","SETTLE_DT",Company_desc!$A$2))</f>
        <v/>
      </c>
      <c r="N297" s="79">
        <f>IF($A297="","",_xll.BDP($A297&amp;" Corp","YAS_OAS_SPRD"))</f>
        <v/>
      </c>
      <c r="O297" s="67">
        <f>IF($A297="","",_xll.BDP($A297&amp;" Corp","YAS_MOD_DUR"))</f>
        <v/>
      </c>
      <c r="P297" s="80">
        <f>IF($A297="","",IFERROR(INDEX(Sheet1!$P:$P,MATCH($A297,Sheet1!$A:$A,0)),""))</f>
        <v/>
      </c>
      <c r="Q297" s="75">
        <f>IF($A297="","",IFERROR(INDEX(Company_desc!$C:$C,MATCH($A297,Company_desc!$A:$A,0)),IFERROR(INDEX(Sheet1!$Q:$Q,MATCH($A297,Sheet1!$A:$A,0)),"")))</f>
        <v/>
      </c>
      <c r="R297" s="75">
        <f>IF($A297="","",_xll.BDP($A297&amp;" Corp","CRNCY"))</f>
        <v/>
      </c>
      <c r="S297" s="75">
        <f>IF($A297="","",IFERROR(INDEX(Sheet1!$S:$S,MATCH($A297,Sheet1!$A:$A,0)),""))</f>
        <v/>
      </c>
      <c r="T297" s="75">
        <f>IF($A297="","",IFERROR(INDEX(Sheet1!$T:$T,MATCH($A297,Sheet1!$A:$A,0)),_xll.BDP($A297&amp;" Corp","RTG_SP")))</f>
        <v/>
      </c>
      <c r="U297" s="75">
        <f>IF($A297="","",IFERROR(INDEX(Sheet1!$U:$U,MATCH($A297,Sheet1!$A:$A,0)),""))</f>
        <v/>
      </c>
      <c r="W297" s="81">
        <f>IF($A297="","",N297-_xll.BDP($A297&amp;" Corp","YAS_OAS_SPRD","SETTLE_DT",Company_desc!$A$1))</f>
        <v/>
      </c>
      <c r="X297" s="81">
        <f>IF($A297="","",N297-_xll.BDP($A297&amp;" Corp","YAS_OAS_SPRD","SETTLE_DT",Company_desc!$A$2))</f>
        <v/>
      </c>
      <c r="Y297" s="80">
        <f>IF($A297="","",N297-_xll.BDP($A297&amp;" Corp","YAS_OAS_SPRD","SETTLE_DT",Company_desc!$D$1))</f>
        <v/>
      </c>
      <c r="Z297" s="82">
        <f>IF($A297="","",K297-_xll.BDP($A297&amp;" Corp","YAS_BOND_YLD","YAS_YLD_FLAG=15","SETTLE_DT",Company_desc!$D$1))</f>
        <v/>
      </c>
      <c r="AA297" s="80">
        <f>IF($A297="","",_xll.BDP($A297&amp;" Corp","YAS_OAS_SPRD","SETTLE_DT",Company_desc!$D$1))</f>
        <v/>
      </c>
    </row>
    <row r="298">
      <c r="B298" s="75">
        <f>IF($A298="","",IFERROR(INDEX(Sheet1!$B:$B,MATCH($A298,Sheet1!$A:$A,0)),""))</f>
        <v/>
      </c>
      <c r="C298" s="75">
        <f>IF($A298="","",PROPER(_xll.BDP($A298&amp;" Corp","NAME")))</f>
        <v/>
      </c>
      <c r="D298" s="76">
        <f>IF($A298="","",_xll.BDP($A298&amp;" Corp","CPN"))</f>
        <v/>
      </c>
      <c r="E298" s="75">
        <f>IF($A298="","",_xll.BDP($A298&amp;" Corp","PAYMENT_RANK"))</f>
        <v/>
      </c>
      <c r="F298" s="100">
        <f>IF($A298="","",_xll.BDP($A298&amp;" Corp","MATURITY"))</f>
        <v/>
      </c>
      <c r="G298" s="75">
        <f>IF($A298="","",PROPER(_xll.BDP($A298&amp;" Corp","COUNTRY_FULL_NAME")))</f>
        <v/>
      </c>
      <c r="H298" s="75">
        <f>IF($A298="","",_xll.BDP($A298&amp;" Corp","INDUSTRY_SECTOR"))</f>
        <v/>
      </c>
      <c r="I298" s="101">
        <f>IF($A298="","",IFERROR(_xll.BDP($A298&amp;" Corp","MIN_PIECE")/1000,""))</f>
        <v/>
      </c>
      <c r="J298" s="31">
        <f>IF($A298="","",_xll.BDP($A298&amp;" Corp","PX_LAST"))</f>
        <v/>
      </c>
      <c r="K298" s="31">
        <f>IF($A298="","",_xll.BDP($A298&amp;" Corp","YAS_BOND_YLD","YAS_YLD_FLAG=15"))</f>
        <v/>
      </c>
      <c r="L298" s="31">
        <f>IF($A298="","",K298-_xll.BDP($A298&amp;" Corp","YAS_BOND_YLD","YAS_YLD_FLAG=15","SETTLE_DT",Company_desc!$A$1))</f>
        <v/>
      </c>
      <c r="M298" s="31">
        <f>IF($A298="","",K298-_xll.BDP($A298&amp;" Corp","YAS_BOND_YLD","YAS_YLD_FLAG=15","SETTLE_DT",Company_desc!$A$2))</f>
        <v/>
      </c>
      <c r="N298" s="79">
        <f>IF($A298="","",_xll.BDP($A298&amp;" Corp","YAS_OAS_SPRD"))</f>
        <v/>
      </c>
      <c r="O298" s="67">
        <f>IF($A298="","",_xll.BDP($A298&amp;" Corp","YAS_MOD_DUR"))</f>
        <v/>
      </c>
      <c r="P298" s="80">
        <f>IF($A298="","",IFERROR(INDEX(Sheet1!$P:$P,MATCH($A298,Sheet1!$A:$A,0)),""))</f>
        <v/>
      </c>
      <c r="Q298" s="75">
        <f>IF($A298="","",IFERROR(INDEX(Company_desc!$C:$C,MATCH($A298,Company_desc!$A:$A,0)),IFERROR(INDEX(Sheet1!$Q:$Q,MATCH($A298,Sheet1!$A:$A,0)),"")))</f>
        <v/>
      </c>
      <c r="R298" s="75">
        <f>IF($A298="","",_xll.BDP($A298&amp;" Corp","CRNCY"))</f>
        <v/>
      </c>
      <c r="S298" s="75">
        <f>IF($A298="","",IFERROR(INDEX(Sheet1!$S:$S,MATCH($A298,Sheet1!$A:$A,0)),""))</f>
        <v/>
      </c>
      <c r="T298" s="75">
        <f>IF($A298="","",IFERROR(INDEX(Sheet1!$T:$T,MATCH($A298,Sheet1!$A:$A,0)),_xll.BDP($A298&amp;" Corp","RTG_SP")))</f>
        <v/>
      </c>
      <c r="U298" s="75">
        <f>IF($A298="","",IFERROR(INDEX(Sheet1!$U:$U,MATCH($A298,Sheet1!$A:$A,0)),""))</f>
        <v/>
      </c>
      <c r="W298" s="81">
        <f>IF($A298="","",N298-_xll.BDP($A298&amp;" Corp","YAS_OAS_SPRD","SETTLE_DT",Company_desc!$A$1))</f>
        <v/>
      </c>
      <c r="X298" s="81">
        <f>IF($A298="","",N298-_xll.BDP($A298&amp;" Corp","YAS_OAS_SPRD","SETTLE_DT",Company_desc!$A$2))</f>
        <v/>
      </c>
      <c r="Y298" s="80">
        <f>IF($A298="","",N298-_xll.BDP($A298&amp;" Corp","YAS_OAS_SPRD","SETTLE_DT",Company_desc!$D$1))</f>
        <v/>
      </c>
      <c r="Z298" s="82">
        <f>IF($A298="","",K298-_xll.BDP($A298&amp;" Corp","YAS_BOND_YLD","YAS_YLD_FLAG=15","SETTLE_DT",Company_desc!$D$1))</f>
        <v/>
      </c>
      <c r="AA298" s="80">
        <f>IF($A298="","",_xll.BDP($A298&amp;" Corp","YAS_OAS_SPRD","SETTLE_DT",Company_desc!$D$1))</f>
        <v/>
      </c>
    </row>
    <row r="299">
      <c r="B299" s="75">
        <f>IF($A299="","",IFERROR(INDEX(Sheet1!$B:$B,MATCH($A299,Sheet1!$A:$A,0)),""))</f>
        <v/>
      </c>
      <c r="C299" s="75">
        <f>IF($A299="","",PROPER(_xll.BDP($A299&amp;" Corp","NAME")))</f>
        <v/>
      </c>
      <c r="D299" s="76">
        <f>IF($A299="","",_xll.BDP($A299&amp;" Corp","CPN"))</f>
        <v/>
      </c>
      <c r="E299" s="75">
        <f>IF($A299="","",_xll.BDP($A299&amp;" Corp","PAYMENT_RANK"))</f>
        <v/>
      </c>
      <c r="F299" s="100">
        <f>IF($A299="","",_xll.BDP($A299&amp;" Corp","MATURITY"))</f>
        <v/>
      </c>
      <c r="G299" s="75">
        <f>IF($A299="","",PROPER(_xll.BDP($A299&amp;" Corp","COUNTRY_FULL_NAME")))</f>
        <v/>
      </c>
      <c r="H299" s="75">
        <f>IF($A299="","",_xll.BDP($A299&amp;" Corp","INDUSTRY_SECTOR"))</f>
        <v/>
      </c>
      <c r="I299" s="101">
        <f>IF($A299="","",IFERROR(_xll.BDP($A299&amp;" Corp","MIN_PIECE")/1000,""))</f>
        <v/>
      </c>
      <c r="J299" s="31">
        <f>IF($A299="","",_xll.BDP($A299&amp;" Corp","PX_LAST"))</f>
        <v/>
      </c>
      <c r="K299" s="31">
        <f>IF($A299="","",_xll.BDP($A299&amp;" Corp","YAS_BOND_YLD","YAS_YLD_FLAG=15"))</f>
        <v/>
      </c>
      <c r="L299" s="31">
        <f>IF($A299="","",K299-_xll.BDP($A299&amp;" Corp","YAS_BOND_YLD","YAS_YLD_FLAG=15","SETTLE_DT",Company_desc!$A$1))</f>
        <v/>
      </c>
      <c r="M299" s="31">
        <f>IF($A299="","",K299-_xll.BDP($A299&amp;" Corp","YAS_BOND_YLD","YAS_YLD_FLAG=15","SETTLE_DT",Company_desc!$A$2))</f>
        <v/>
      </c>
      <c r="N299" s="79">
        <f>IF($A299="","",_xll.BDP($A299&amp;" Corp","YAS_OAS_SPRD"))</f>
        <v/>
      </c>
      <c r="O299" s="67">
        <f>IF($A299="","",_xll.BDP($A299&amp;" Corp","YAS_MOD_DUR"))</f>
        <v/>
      </c>
      <c r="P299" s="80">
        <f>IF($A299="","",IFERROR(INDEX(Sheet1!$P:$P,MATCH($A299,Sheet1!$A:$A,0)),""))</f>
        <v/>
      </c>
      <c r="Q299" s="75">
        <f>IF($A299="","",IFERROR(INDEX(Company_desc!$C:$C,MATCH($A299,Company_desc!$A:$A,0)),IFERROR(INDEX(Sheet1!$Q:$Q,MATCH($A299,Sheet1!$A:$A,0)),"")))</f>
        <v/>
      </c>
      <c r="R299" s="75">
        <f>IF($A299="","",_xll.BDP($A299&amp;" Corp","CRNCY"))</f>
        <v/>
      </c>
      <c r="S299" s="75">
        <f>IF($A299="","",IFERROR(INDEX(Sheet1!$S:$S,MATCH($A299,Sheet1!$A:$A,0)),""))</f>
        <v/>
      </c>
      <c r="T299" s="75">
        <f>IF($A299="","",IFERROR(INDEX(Sheet1!$T:$T,MATCH($A299,Sheet1!$A:$A,0)),_xll.BDP($A299&amp;" Corp","RTG_SP")))</f>
        <v/>
      </c>
      <c r="U299" s="75">
        <f>IF($A299="","",IFERROR(INDEX(Sheet1!$U:$U,MATCH($A299,Sheet1!$A:$A,0)),""))</f>
        <v/>
      </c>
      <c r="W299" s="81">
        <f>IF($A299="","",N299-_xll.BDP($A299&amp;" Corp","YAS_OAS_SPRD","SETTLE_DT",Company_desc!$A$1))</f>
        <v/>
      </c>
      <c r="X299" s="81">
        <f>IF($A299="","",N299-_xll.BDP($A299&amp;" Corp","YAS_OAS_SPRD","SETTLE_DT",Company_desc!$A$2))</f>
        <v/>
      </c>
      <c r="Y299" s="80">
        <f>IF($A299="","",N299-_xll.BDP($A299&amp;" Corp","YAS_OAS_SPRD","SETTLE_DT",Company_desc!$D$1))</f>
        <v/>
      </c>
      <c r="Z299" s="82">
        <f>IF($A299="","",K299-_xll.BDP($A299&amp;" Corp","YAS_BOND_YLD","YAS_YLD_FLAG=15","SETTLE_DT",Company_desc!$D$1))</f>
        <v/>
      </c>
      <c r="AA299" s="80">
        <f>IF($A299="","",_xll.BDP($A299&amp;" Corp","YAS_OAS_SPRD","SETTLE_DT",Company_desc!$D$1))</f>
        <v/>
      </c>
    </row>
    <row r="300">
      <c r="B300" s="75">
        <f>IF($A300="","",IFERROR(INDEX(Sheet1!$B:$B,MATCH($A300,Sheet1!$A:$A,0)),""))</f>
        <v/>
      </c>
      <c r="C300" s="75">
        <f>IF($A300="","",PROPER(_xll.BDP($A300&amp;" Corp","NAME")))</f>
        <v/>
      </c>
      <c r="D300" s="76">
        <f>IF($A300="","",_xll.BDP($A300&amp;" Corp","CPN"))</f>
        <v/>
      </c>
      <c r="E300" s="75">
        <f>IF($A300="","",_xll.BDP($A300&amp;" Corp","PAYMENT_RANK"))</f>
        <v/>
      </c>
      <c r="F300" s="100">
        <f>IF($A300="","",_xll.BDP($A300&amp;" Corp","MATURITY"))</f>
        <v/>
      </c>
      <c r="G300" s="75">
        <f>IF($A300="","",PROPER(_xll.BDP($A300&amp;" Corp","COUNTRY_FULL_NAME")))</f>
        <v/>
      </c>
      <c r="H300" s="75">
        <f>IF($A300="","",_xll.BDP($A300&amp;" Corp","INDUSTRY_SECTOR"))</f>
        <v/>
      </c>
      <c r="I300" s="101">
        <f>IF($A300="","",IFERROR(_xll.BDP($A300&amp;" Corp","MIN_PIECE")/1000,""))</f>
        <v/>
      </c>
      <c r="J300" s="31">
        <f>IF($A300="","",_xll.BDP($A300&amp;" Corp","PX_LAST"))</f>
        <v/>
      </c>
      <c r="K300" s="31">
        <f>IF($A300="","",_xll.BDP($A300&amp;" Corp","YAS_BOND_YLD","YAS_YLD_FLAG=15"))</f>
        <v/>
      </c>
      <c r="L300" s="31">
        <f>IF($A300="","",K300-_xll.BDP($A300&amp;" Corp","YAS_BOND_YLD","YAS_YLD_FLAG=15","SETTLE_DT",Company_desc!$A$1))</f>
        <v/>
      </c>
      <c r="M300" s="31">
        <f>IF($A300="","",K300-_xll.BDP($A300&amp;" Corp","YAS_BOND_YLD","YAS_YLD_FLAG=15","SETTLE_DT",Company_desc!$A$2))</f>
        <v/>
      </c>
      <c r="N300" s="79">
        <f>IF($A300="","",_xll.BDP($A300&amp;" Corp","YAS_OAS_SPRD"))</f>
        <v/>
      </c>
      <c r="O300" s="67">
        <f>IF($A300="","",_xll.BDP($A300&amp;" Corp","YAS_MOD_DUR"))</f>
        <v/>
      </c>
      <c r="P300" s="80">
        <f>IF($A300="","",IFERROR(INDEX(Sheet1!$P:$P,MATCH($A300,Sheet1!$A:$A,0)),""))</f>
        <v/>
      </c>
      <c r="Q300" s="75">
        <f>IF($A300="","",IFERROR(INDEX(Company_desc!$C:$C,MATCH($A300,Company_desc!$A:$A,0)),IFERROR(INDEX(Sheet1!$Q:$Q,MATCH($A300,Sheet1!$A:$A,0)),"")))</f>
        <v/>
      </c>
      <c r="R300" s="75">
        <f>IF($A300="","",_xll.BDP($A300&amp;" Corp","CRNCY"))</f>
        <v/>
      </c>
      <c r="S300" s="75">
        <f>IF($A300="","",IFERROR(INDEX(Sheet1!$S:$S,MATCH($A300,Sheet1!$A:$A,0)),""))</f>
        <v/>
      </c>
      <c r="T300" s="75">
        <f>IF($A300="","",IFERROR(INDEX(Sheet1!$T:$T,MATCH($A300,Sheet1!$A:$A,0)),_xll.BDP($A300&amp;" Corp","RTG_SP")))</f>
        <v/>
      </c>
      <c r="U300" s="75">
        <f>IF($A300="","",IFERROR(INDEX(Sheet1!$U:$U,MATCH($A300,Sheet1!$A:$A,0)),""))</f>
        <v/>
      </c>
      <c r="W300" s="81">
        <f>IF($A300="","",N300-_xll.BDP($A300&amp;" Corp","YAS_OAS_SPRD","SETTLE_DT",Company_desc!$A$1))</f>
        <v/>
      </c>
      <c r="X300" s="81">
        <f>IF($A300="","",N300-_xll.BDP($A300&amp;" Corp","YAS_OAS_SPRD","SETTLE_DT",Company_desc!$A$2))</f>
        <v/>
      </c>
      <c r="Y300" s="80">
        <f>IF($A300="","",N300-_xll.BDP($A300&amp;" Corp","YAS_OAS_SPRD","SETTLE_DT",Company_desc!$D$1))</f>
        <v/>
      </c>
      <c r="Z300" s="82">
        <f>IF($A300="","",K300-_xll.BDP($A300&amp;" Corp","YAS_BOND_YLD","YAS_YLD_FLAG=15","SETTLE_DT",Company_desc!$D$1))</f>
        <v/>
      </c>
      <c r="AA300" s="80">
        <f>IF($A300="","",_xll.BDP($A300&amp;" Corp","YAS_OAS_SPRD","SETTLE_DT",Company_desc!$D$1))</f>
        <v/>
      </c>
    </row>
    <row r="301">
      <c r="B301" s="75">
        <f>IF($A301="","",IFERROR(INDEX(Sheet1!$B:$B,MATCH($A301,Sheet1!$A:$A,0)),""))</f>
        <v/>
      </c>
      <c r="C301" s="75">
        <f>IF($A301="","",PROPER(_xll.BDP($A301&amp;" Corp","NAME")))</f>
        <v/>
      </c>
      <c r="D301" s="76">
        <f>IF($A301="","",_xll.BDP($A301&amp;" Corp","CPN"))</f>
        <v/>
      </c>
      <c r="E301" s="75">
        <f>IF($A301="","",_xll.BDP($A301&amp;" Corp","PAYMENT_RANK"))</f>
        <v/>
      </c>
      <c r="F301" s="100">
        <f>IF($A301="","",_xll.BDP($A301&amp;" Corp","MATURITY"))</f>
        <v/>
      </c>
      <c r="G301" s="75">
        <f>IF($A301="","",PROPER(_xll.BDP($A301&amp;" Corp","COUNTRY_FULL_NAME")))</f>
        <v/>
      </c>
      <c r="H301" s="75">
        <f>IF($A301="","",_xll.BDP($A301&amp;" Corp","INDUSTRY_SECTOR"))</f>
        <v/>
      </c>
      <c r="I301" s="101">
        <f>IF($A301="","",IFERROR(_xll.BDP($A301&amp;" Corp","MIN_PIECE")/1000,""))</f>
        <v/>
      </c>
      <c r="J301" s="31">
        <f>IF($A301="","",_xll.BDP($A301&amp;" Corp","PX_LAST"))</f>
        <v/>
      </c>
      <c r="K301" s="31">
        <f>IF($A301="","",_xll.BDP($A301&amp;" Corp","YAS_BOND_YLD","YAS_YLD_FLAG=15"))</f>
        <v/>
      </c>
      <c r="L301" s="31">
        <f>IF($A301="","",K301-_xll.BDP($A301&amp;" Corp","YAS_BOND_YLD","YAS_YLD_FLAG=15","SETTLE_DT",Company_desc!$A$1))</f>
        <v/>
      </c>
      <c r="M301" s="31">
        <f>IF($A301="","",K301-_xll.BDP($A301&amp;" Corp","YAS_BOND_YLD","YAS_YLD_FLAG=15","SETTLE_DT",Company_desc!$A$2))</f>
        <v/>
      </c>
      <c r="N301" s="79">
        <f>IF($A301="","",_xll.BDP($A301&amp;" Corp","YAS_OAS_SPRD"))</f>
        <v/>
      </c>
      <c r="O301" s="67">
        <f>IF($A301="","",_xll.BDP($A301&amp;" Corp","YAS_MOD_DUR"))</f>
        <v/>
      </c>
      <c r="P301" s="80">
        <f>IF($A301="","",IFERROR(INDEX(Sheet1!$P:$P,MATCH($A301,Sheet1!$A:$A,0)),""))</f>
        <v/>
      </c>
      <c r="Q301" s="75">
        <f>IF($A301="","",IFERROR(INDEX(Company_desc!$C:$C,MATCH($A301,Company_desc!$A:$A,0)),IFERROR(INDEX(Sheet1!$Q:$Q,MATCH($A301,Sheet1!$A:$A,0)),"")))</f>
        <v/>
      </c>
      <c r="R301" s="75">
        <f>IF($A301="","",_xll.BDP($A301&amp;" Corp","CRNCY"))</f>
        <v/>
      </c>
      <c r="S301" s="75">
        <f>IF($A301="","",IFERROR(INDEX(Sheet1!$S:$S,MATCH($A301,Sheet1!$A:$A,0)),""))</f>
        <v/>
      </c>
      <c r="T301" s="75">
        <f>IF($A301="","",IFERROR(INDEX(Sheet1!$T:$T,MATCH($A301,Sheet1!$A:$A,0)),_xll.BDP($A301&amp;" Corp","RTG_SP")))</f>
        <v/>
      </c>
      <c r="U301" s="75">
        <f>IF($A301="","",IFERROR(INDEX(Sheet1!$U:$U,MATCH($A301,Sheet1!$A:$A,0)),""))</f>
        <v/>
      </c>
      <c r="W301" s="81">
        <f>IF($A301="","",N301-_xll.BDP($A301&amp;" Corp","YAS_OAS_SPRD","SETTLE_DT",Company_desc!$A$1))</f>
        <v/>
      </c>
      <c r="X301" s="81">
        <f>IF($A301="","",N301-_xll.BDP($A301&amp;" Corp","YAS_OAS_SPRD","SETTLE_DT",Company_desc!$A$2))</f>
        <v/>
      </c>
      <c r="Y301" s="80">
        <f>IF($A301="","",N301-_xll.BDP($A301&amp;" Corp","YAS_OAS_SPRD","SETTLE_DT",Company_desc!$D$1))</f>
        <v/>
      </c>
      <c r="Z301" s="82">
        <f>IF($A301="","",K301-_xll.BDP($A301&amp;" Corp","YAS_BOND_YLD","YAS_YLD_FLAG=15","SETTLE_DT",Company_desc!$D$1))</f>
        <v/>
      </c>
      <c r="AA301" s="80">
        <f>IF($A301="","",_xll.BDP($A301&amp;" Corp","YAS_OAS_SPRD","SETTLE_DT",Company_desc!$D$1))</f>
        <v/>
      </c>
    </row>
    <row r="302">
      <c r="B302" s="75">
        <f>IF($A302="","",IFERROR(INDEX(Sheet1!$B:$B,MATCH($A302,Sheet1!$A:$A,0)),""))</f>
        <v/>
      </c>
      <c r="C302" s="75">
        <f>IF($A302="","",PROPER(_xll.BDP($A302&amp;" Corp","NAME")))</f>
        <v/>
      </c>
      <c r="D302" s="76">
        <f>IF($A302="","",_xll.BDP($A302&amp;" Corp","CPN"))</f>
        <v/>
      </c>
      <c r="E302" s="75">
        <f>IF($A302="","",_xll.BDP($A302&amp;" Corp","PAYMENT_RANK"))</f>
        <v/>
      </c>
      <c r="F302" s="100">
        <f>IF($A302="","",_xll.BDP($A302&amp;" Corp","MATURITY"))</f>
        <v/>
      </c>
      <c r="G302" s="75">
        <f>IF($A302="","",PROPER(_xll.BDP($A302&amp;" Corp","COUNTRY_FULL_NAME")))</f>
        <v/>
      </c>
      <c r="H302" s="75">
        <f>IF($A302="","",_xll.BDP($A302&amp;" Corp","INDUSTRY_SECTOR"))</f>
        <v/>
      </c>
      <c r="I302" s="101">
        <f>IF($A302="","",IFERROR(_xll.BDP($A302&amp;" Corp","MIN_PIECE")/1000,""))</f>
        <v/>
      </c>
      <c r="J302" s="31">
        <f>IF($A302="","",_xll.BDP($A302&amp;" Corp","PX_LAST"))</f>
        <v/>
      </c>
      <c r="K302" s="31">
        <f>IF($A302="","",_xll.BDP($A302&amp;" Corp","YAS_BOND_YLD","YAS_YLD_FLAG=15"))</f>
        <v/>
      </c>
      <c r="L302" s="31">
        <f>IF($A302="","",K302-_xll.BDP($A302&amp;" Corp","YAS_BOND_YLD","YAS_YLD_FLAG=15","SETTLE_DT",Company_desc!$A$1))</f>
        <v/>
      </c>
      <c r="M302" s="31">
        <f>IF($A302="","",K302-_xll.BDP($A302&amp;" Corp","YAS_BOND_YLD","YAS_YLD_FLAG=15","SETTLE_DT",Company_desc!$A$2))</f>
        <v/>
      </c>
      <c r="N302" s="79">
        <f>IF($A302="","",_xll.BDP($A302&amp;" Corp","YAS_OAS_SPRD"))</f>
        <v/>
      </c>
      <c r="O302" s="67">
        <f>IF($A302="","",_xll.BDP($A302&amp;" Corp","YAS_MOD_DUR"))</f>
        <v/>
      </c>
      <c r="P302" s="80">
        <f>IF($A302="","",IFERROR(INDEX(Sheet1!$P:$P,MATCH($A302,Sheet1!$A:$A,0)),""))</f>
        <v/>
      </c>
      <c r="Q302" s="75">
        <f>IF($A302="","",IFERROR(INDEX(Company_desc!$C:$C,MATCH($A302,Company_desc!$A:$A,0)),IFERROR(INDEX(Sheet1!$Q:$Q,MATCH($A302,Sheet1!$A:$A,0)),"")))</f>
        <v/>
      </c>
      <c r="R302" s="75">
        <f>IF($A302="","",_xll.BDP($A302&amp;" Corp","CRNCY"))</f>
        <v/>
      </c>
      <c r="S302" s="75">
        <f>IF($A302="","",IFERROR(INDEX(Sheet1!$S:$S,MATCH($A302,Sheet1!$A:$A,0)),""))</f>
        <v/>
      </c>
      <c r="T302" s="75">
        <f>IF($A302="","",IFERROR(INDEX(Sheet1!$T:$T,MATCH($A302,Sheet1!$A:$A,0)),_xll.BDP($A302&amp;" Corp","RTG_SP")))</f>
        <v/>
      </c>
      <c r="U302" s="75">
        <f>IF($A302="","",IFERROR(INDEX(Sheet1!$U:$U,MATCH($A302,Sheet1!$A:$A,0)),""))</f>
        <v/>
      </c>
      <c r="W302" s="81">
        <f>IF($A302="","",N302-_xll.BDP($A302&amp;" Corp","YAS_OAS_SPRD","SETTLE_DT",Company_desc!$A$1))</f>
        <v/>
      </c>
      <c r="X302" s="81">
        <f>IF($A302="","",N302-_xll.BDP($A302&amp;" Corp","YAS_OAS_SPRD","SETTLE_DT",Company_desc!$A$2))</f>
        <v/>
      </c>
      <c r="Y302" s="80">
        <f>IF($A302="","",N302-_xll.BDP($A302&amp;" Corp","YAS_OAS_SPRD","SETTLE_DT",Company_desc!$D$1))</f>
        <v/>
      </c>
      <c r="Z302" s="82">
        <f>IF($A302="","",K302-_xll.BDP($A302&amp;" Corp","YAS_BOND_YLD","YAS_YLD_FLAG=15","SETTLE_DT",Company_desc!$D$1))</f>
        <v/>
      </c>
      <c r="AA302" s="80">
        <f>IF($A302="","",_xll.BDP($A302&amp;" Corp","YAS_OAS_SPRD","SETTLE_DT",Company_desc!$D$1))</f>
        <v/>
      </c>
    </row>
    <row r="303">
      <c r="B303" s="75">
        <f>IF($A303="","",IFERROR(INDEX(Sheet1!$B:$B,MATCH($A303,Sheet1!$A:$A,0)),""))</f>
        <v/>
      </c>
      <c r="C303" s="75">
        <f>IF($A303="","",PROPER(_xll.BDP($A303&amp;" Corp","NAME")))</f>
        <v/>
      </c>
      <c r="D303" s="76">
        <f>IF($A303="","",_xll.BDP($A303&amp;" Corp","CPN"))</f>
        <v/>
      </c>
      <c r="E303" s="75">
        <f>IF($A303="","",_xll.BDP($A303&amp;" Corp","PAYMENT_RANK"))</f>
        <v/>
      </c>
      <c r="F303" s="100">
        <f>IF($A303="","",_xll.BDP($A303&amp;" Corp","MATURITY"))</f>
        <v/>
      </c>
      <c r="G303" s="75">
        <f>IF($A303="","",PROPER(_xll.BDP($A303&amp;" Corp","COUNTRY_FULL_NAME")))</f>
        <v/>
      </c>
      <c r="H303" s="75">
        <f>IF($A303="","",_xll.BDP($A303&amp;" Corp","INDUSTRY_SECTOR"))</f>
        <v/>
      </c>
      <c r="I303" s="101">
        <f>IF($A303="","",IFERROR(_xll.BDP($A303&amp;" Corp","MIN_PIECE")/1000,""))</f>
        <v/>
      </c>
      <c r="J303" s="31">
        <f>IF($A303="","",_xll.BDP($A303&amp;" Corp","PX_LAST"))</f>
        <v/>
      </c>
      <c r="K303" s="31">
        <f>IF($A303="","",_xll.BDP($A303&amp;" Corp","YAS_BOND_YLD","YAS_YLD_FLAG=15"))</f>
        <v/>
      </c>
      <c r="L303" s="31">
        <f>IF($A303="","",K303-_xll.BDP($A303&amp;" Corp","YAS_BOND_YLD","YAS_YLD_FLAG=15","SETTLE_DT",Company_desc!$A$1))</f>
        <v/>
      </c>
      <c r="M303" s="31">
        <f>IF($A303="","",K303-_xll.BDP($A303&amp;" Corp","YAS_BOND_YLD","YAS_YLD_FLAG=15","SETTLE_DT",Company_desc!$A$2))</f>
        <v/>
      </c>
      <c r="N303" s="79">
        <f>IF($A303="","",_xll.BDP($A303&amp;" Corp","YAS_OAS_SPRD"))</f>
        <v/>
      </c>
      <c r="O303" s="67">
        <f>IF($A303="","",_xll.BDP($A303&amp;" Corp","YAS_MOD_DUR"))</f>
        <v/>
      </c>
      <c r="P303" s="80">
        <f>IF($A303="","",IFERROR(INDEX(Sheet1!$P:$P,MATCH($A303,Sheet1!$A:$A,0)),""))</f>
        <v/>
      </c>
      <c r="Q303" s="75">
        <f>IF($A303="","",IFERROR(INDEX(Company_desc!$C:$C,MATCH($A303,Company_desc!$A:$A,0)),IFERROR(INDEX(Sheet1!$Q:$Q,MATCH($A303,Sheet1!$A:$A,0)),"")))</f>
        <v/>
      </c>
      <c r="R303" s="75">
        <f>IF($A303="","",_xll.BDP($A303&amp;" Corp","CRNCY"))</f>
        <v/>
      </c>
      <c r="S303" s="75">
        <f>IF($A303="","",IFERROR(INDEX(Sheet1!$S:$S,MATCH($A303,Sheet1!$A:$A,0)),""))</f>
        <v/>
      </c>
      <c r="T303" s="75">
        <f>IF($A303="","",IFERROR(INDEX(Sheet1!$T:$T,MATCH($A303,Sheet1!$A:$A,0)),_xll.BDP($A303&amp;" Corp","RTG_SP")))</f>
        <v/>
      </c>
      <c r="U303" s="75">
        <f>IF($A303="","",IFERROR(INDEX(Sheet1!$U:$U,MATCH($A303,Sheet1!$A:$A,0)),""))</f>
        <v/>
      </c>
      <c r="W303" s="81">
        <f>IF($A303="","",N303-_xll.BDP($A303&amp;" Corp","YAS_OAS_SPRD","SETTLE_DT",Company_desc!$A$1))</f>
        <v/>
      </c>
      <c r="X303" s="81">
        <f>IF($A303="","",N303-_xll.BDP($A303&amp;" Corp","YAS_OAS_SPRD","SETTLE_DT",Company_desc!$A$2))</f>
        <v/>
      </c>
      <c r="Y303" s="80">
        <f>IF($A303="","",N303-_xll.BDP($A303&amp;" Corp","YAS_OAS_SPRD","SETTLE_DT",Company_desc!$D$1))</f>
        <v/>
      </c>
      <c r="Z303" s="82">
        <f>IF($A303="","",K303-_xll.BDP($A303&amp;" Corp","YAS_BOND_YLD","YAS_YLD_FLAG=15","SETTLE_DT",Company_desc!$D$1))</f>
        <v/>
      </c>
      <c r="AA303" s="80">
        <f>IF($A303="","",_xll.BDP($A303&amp;" Corp","YAS_OAS_SPRD","SETTLE_DT",Company_desc!$D$1))</f>
        <v/>
      </c>
    </row>
    <row r="304">
      <c r="B304" s="75">
        <f>IF($A304="","",IFERROR(INDEX(Sheet1!$B:$B,MATCH($A304,Sheet1!$A:$A,0)),""))</f>
        <v/>
      </c>
      <c r="C304" s="75">
        <f>IF($A304="","",PROPER(_xll.BDP($A304&amp;" Corp","NAME")))</f>
        <v/>
      </c>
      <c r="D304" s="76">
        <f>IF($A304="","",_xll.BDP($A304&amp;" Corp","CPN"))</f>
        <v/>
      </c>
      <c r="E304" s="75">
        <f>IF($A304="","",_xll.BDP($A304&amp;" Corp","PAYMENT_RANK"))</f>
        <v/>
      </c>
      <c r="F304" s="100">
        <f>IF($A304="","",_xll.BDP($A304&amp;" Corp","MATURITY"))</f>
        <v/>
      </c>
      <c r="G304" s="75">
        <f>IF($A304="","",PROPER(_xll.BDP($A304&amp;" Corp","COUNTRY_FULL_NAME")))</f>
        <v/>
      </c>
      <c r="H304" s="75">
        <f>IF($A304="","",_xll.BDP($A304&amp;" Corp","INDUSTRY_SECTOR"))</f>
        <v/>
      </c>
      <c r="I304" s="101">
        <f>IF($A304="","",IFERROR(_xll.BDP($A304&amp;" Corp","MIN_PIECE")/1000,""))</f>
        <v/>
      </c>
      <c r="J304" s="31">
        <f>IF($A304="","",_xll.BDP($A304&amp;" Corp","PX_LAST"))</f>
        <v/>
      </c>
      <c r="K304" s="31">
        <f>IF($A304="","",_xll.BDP($A304&amp;" Corp","YAS_BOND_YLD","YAS_YLD_FLAG=15"))</f>
        <v/>
      </c>
      <c r="L304" s="31">
        <f>IF($A304="","",K304-_xll.BDP($A304&amp;" Corp","YAS_BOND_YLD","YAS_YLD_FLAG=15","SETTLE_DT",Company_desc!$A$1))</f>
        <v/>
      </c>
      <c r="M304" s="31">
        <f>IF($A304="","",K304-_xll.BDP($A304&amp;" Corp","YAS_BOND_YLD","YAS_YLD_FLAG=15","SETTLE_DT",Company_desc!$A$2))</f>
        <v/>
      </c>
      <c r="N304" s="79">
        <f>IF($A304="","",_xll.BDP($A304&amp;" Corp","YAS_OAS_SPRD"))</f>
        <v/>
      </c>
      <c r="O304" s="67">
        <f>IF($A304="","",_xll.BDP($A304&amp;" Corp","YAS_MOD_DUR"))</f>
        <v/>
      </c>
      <c r="P304" s="80">
        <f>IF($A304="","",IFERROR(INDEX(Sheet1!$P:$P,MATCH($A304,Sheet1!$A:$A,0)),""))</f>
        <v/>
      </c>
      <c r="Q304" s="75">
        <f>IF($A304="","",IFERROR(INDEX(Company_desc!$C:$C,MATCH($A304,Company_desc!$A:$A,0)),IFERROR(INDEX(Sheet1!$Q:$Q,MATCH($A304,Sheet1!$A:$A,0)),"")))</f>
        <v/>
      </c>
      <c r="R304" s="75">
        <f>IF($A304="","",_xll.BDP($A304&amp;" Corp","CRNCY"))</f>
        <v/>
      </c>
      <c r="S304" s="75">
        <f>IF($A304="","",IFERROR(INDEX(Sheet1!$S:$S,MATCH($A304,Sheet1!$A:$A,0)),""))</f>
        <v/>
      </c>
      <c r="T304" s="75">
        <f>IF($A304="","",IFERROR(INDEX(Sheet1!$T:$T,MATCH($A304,Sheet1!$A:$A,0)),_xll.BDP($A304&amp;" Corp","RTG_SP")))</f>
        <v/>
      </c>
      <c r="U304" s="75">
        <f>IF($A304="","",IFERROR(INDEX(Sheet1!$U:$U,MATCH($A304,Sheet1!$A:$A,0)),""))</f>
        <v/>
      </c>
      <c r="W304" s="81">
        <f>IF($A304="","",N304-_xll.BDP($A304&amp;" Corp","YAS_OAS_SPRD","SETTLE_DT",Company_desc!$A$1))</f>
        <v/>
      </c>
      <c r="X304" s="81">
        <f>IF($A304="","",N304-_xll.BDP($A304&amp;" Corp","YAS_OAS_SPRD","SETTLE_DT",Company_desc!$A$2))</f>
        <v/>
      </c>
      <c r="Y304" s="80">
        <f>IF($A304="","",N304-_xll.BDP($A304&amp;" Corp","YAS_OAS_SPRD","SETTLE_DT",Company_desc!$D$1))</f>
        <v/>
      </c>
      <c r="Z304" s="82">
        <f>IF($A304="","",K304-_xll.BDP($A304&amp;" Corp","YAS_BOND_YLD","YAS_YLD_FLAG=15","SETTLE_DT",Company_desc!$D$1))</f>
        <v/>
      </c>
      <c r="AA304" s="80">
        <f>IF($A304="","",_xll.BDP($A304&amp;" Corp","YAS_OAS_SPRD","SETTLE_DT",Company_desc!$D$1))</f>
        <v/>
      </c>
    </row>
    <row r="305">
      <c r="B305" s="75">
        <f>IF($A305="","",IFERROR(INDEX(Sheet1!$B:$B,MATCH($A305,Sheet1!$A:$A,0)),""))</f>
        <v/>
      </c>
      <c r="C305" s="75">
        <f>IF($A305="","",PROPER(_xll.BDP($A305&amp;" Corp","NAME")))</f>
        <v/>
      </c>
      <c r="D305" s="76">
        <f>IF($A305="","",_xll.BDP($A305&amp;" Corp","CPN"))</f>
        <v/>
      </c>
      <c r="E305" s="75">
        <f>IF($A305="","",_xll.BDP($A305&amp;" Corp","PAYMENT_RANK"))</f>
        <v/>
      </c>
      <c r="F305" s="100">
        <f>IF($A305="","",_xll.BDP($A305&amp;" Corp","MATURITY"))</f>
        <v/>
      </c>
      <c r="G305" s="75">
        <f>IF($A305="","",PROPER(_xll.BDP($A305&amp;" Corp","COUNTRY_FULL_NAME")))</f>
        <v/>
      </c>
      <c r="H305" s="75">
        <f>IF($A305="","",_xll.BDP($A305&amp;" Corp","INDUSTRY_SECTOR"))</f>
        <v/>
      </c>
      <c r="I305" s="101">
        <f>IF($A305="","",IFERROR(_xll.BDP($A305&amp;" Corp","MIN_PIECE")/1000,""))</f>
        <v/>
      </c>
      <c r="J305" s="31">
        <f>IF($A305="","",_xll.BDP($A305&amp;" Corp","PX_LAST"))</f>
        <v/>
      </c>
      <c r="K305" s="31">
        <f>IF($A305="","",_xll.BDP($A305&amp;" Corp","YAS_BOND_YLD","YAS_YLD_FLAG=15"))</f>
        <v/>
      </c>
      <c r="L305" s="31">
        <f>IF($A305="","",K305-_xll.BDP($A305&amp;" Corp","YAS_BOND_YLD","YAS_YLD_FLAG=15","SETTLE_DT",Company_desc!$A$1))</f>
        <v/>
      </c>
      <c r="M305" s="31">
        <f>IF($A305="","",K305-_xll.BDP($A305&amp;" Corp","YAS_BOND_YLD","YAS_YLD_FLAG=15","SETTLE_DT",Company_desc!$A$2))</f>
        <v/>
      </c>
      <c r="N305" s="79">
        <f>IF($A305="","",_xll.BDP($A305&amp;" Corp","YAS_OAS_SPRD"))</f>
        <v/>
      </c>
      <c r="O305" s="67">
        <f>IF($A305="","",_xll.BDP($A305&amp;" Corp","YAS_MOD_DUR"))</f>
        <v/>
      </c>
      <c r="P305" s="80">
        <f>IF($A305="","",IFERROR(INDEX(Sheet1!$P:$P,MATCH($A305,Sheet1!$A:$A,0)),""))</f>
        <v/>
      </c>
      <c r="Q305" s="75">
        <f>IF($A305="","",IFERROR(INDEX(Company_desc!$C:$C,MATCH($A305,Company_desc!$A:$A,0)),IFERROR(INDEX(Sheet1!$Q:$Q,MATCH($A305,Sheet1!$A:$A,0)),"")))</f>
        <v/>
      </c>
      <c r="R305" s="75">
        <f>IF($A305="","",_xll.BDP($A305&amp;" Corp","CRNCY"))</f>
        <v/>
      </c>
      <c r="S305" s="75">
        <f>IF($A305="","",IFERROR(INDEX(Sheet1!$S:$S,MATCH($A305,Sheet1!$A:$A,0)),""))</f>
        <v/>
      </c>
      <c r="T305" s="75">
        <f>IF($A305="","",IFERROR(INDEX(Sheet1!$T:$T,MATCH($A305,Sheet1!$A:$A,0)),_xll.BDP($A305&amp;" Corp","RTG_SP")))</f>
        <v/>
      </c>
      <c r="U305" s="75">
        <f>IF($A305="","",IFERROR(INDEX(Sheet1!$U:$U,MATCH($A305,Sheet1!$A:$A,0)),""))</f>
        <v/>
      </c>
      <c r="W305" s="81">
        <f>IF($A305="","",N305-_xll.BDP($A305&amp;" Corp","YAS_OAS_SPRD","SETTLE_DT",Company_desc!$A$1))</f>
        <v/>
      </c>
      <c r="X305" s="81">
        <f>IF($A305="","",N305-_xll.BDP($A305&amp;" Corp","YAS_OAS_SPRD","SETTLE_DT",Company_desc!$A$2))</f>
        <v/>
      </c>
      <c r="Y305" s="80">
        <f>IF($A305="","",N305-_xll.BDP($A305&amp;" Corp","YAS_OAS_SPRD","SETTLE_DT",Company_desc!$D$1))</f>
        <v/>
      </c>
      <c r="Z305" s="82">
        <f>IF($A305="","",K305-_xll.BDP($A305&amp;" Corp","YAS_BOND_YLD","YAS_YLD_FLAG=15","SETTLE_DT",Company_desc!$D$1))</f>
        <v/>
      </c>
      <c r="AA305" s="80">
        <f>IF($A305="","",_xll.BDP($A305&amp;" Corp","YAS_OAS_SPRD","SETTLE_DT",Company_desc!$D$1))</f>
        <v/>
      </c>
    </row>
    <row r="306">
      <c r="B306" s="75">
        <f>IF($A306="","",IFERROR(INDEX(Sheet1!$B:$B,MATCH($A306,Sheet1!$A:$A,0)),""))</f>
        <v/>
      </c>
      <c r="C306" s="75">
        <f>IF($A306="","",PROPER(_xll.BDP($A306&amp;" Corp","NAME")))</f>
        <v/>
      </c>
      <c r="D306" s="76">
        <f>IF($A306="","",_xll.BDP($A306&amp;" Corp","CPN"))</f>
        <v/>
      </c>
      <c r="E306" s="75">
        <f>IF($A306="","",_xll.BDP($A306&amp;" Corp","PAYMENT_RANK"))</f>
        <v/>
      </c>
      <c r="F306" s="100">
        <f>IF($A306="","",_xll.BDP($A306&amp;" Corp","MATURITY"))</f>
        <v/>
      </c>
      <c r="G306" s="75">
        <f>IF($A306="","",PROPER(_xll.BDP($A306&amp;" Corp","COUNTRY_FULL_NAME")))</f>
        <v/>
      </c>
      <c r="H306" s="75">
        <f>IF($A306="","",_xll.BDP($A306&amp;" Corp","INDUSTRY_SECTOR"))</f>
        <v/>
      </c>
      <c r="I306" s="101">
        <f>IF($A306="","",IFERROR(_xll.BDP($A306&amp;" Corp","MIN_PIECE")/1000,""))</f>
        <v/>
      </c>
      <c r="J306" s="31">
        <f>IF($A306="","",_xll.BDP($A306&amp;" Corp","PX_LAST"))</f>
        <v/>
      </c>
      <c r="K306" s="31">
        <f>IF($A306="","",_xll.BDP($A306&amp;" Corp","YAS_BOND_YLD","YAS_YLD_FLAG=15"))</f>
        <v/>
      </c>
      <c r="L306" s="31">
        <f>IF($A306="","",K306-_xll.BDP($A306&amp;" Corp","YAS_BOND_YLD","YAS_YLD_FLAG=15","SETTLE_DT",Company_desc!$A$1))</f>
        <v/>
      </c>
      <c r="M306" s="31">
        <f>IF($A306="","",K306-_xll.BDP($A306&amp;" Corp","YAS_BOND_YLD","YAS_YLD_FLAG=15","SETTLE_DT",Company_desc!$A$2))</f>
        <v/>
      </c>
      <c r="N306" s="79">
        <f>IF($A306="","",_xll.BDP($A306&amp;" Corp","YAS_OAS_SPRD"))</f>
        <v/>
      </c>
      <c r="O306" s="67">
        <f>IF($A306="","",_xll.BDP($A306&amp;" Corp","YAS_MOD_DUR"))</f>
        <v/>
      </c>
      <c r="P306" s="80">
        <f>IF($A306="","",IFERROR(INDEX(Sheet1!$P:$P,MATCH($A306,Sheet1!$A:$A,0)),""))</f>
        <v/>
      </c>
      <c r="Q306" s="75">
        <f>IF($A306="","",IFERROR(INDEX(Company_desc!$C:$C,MATCH($A306,Company_desc!$A:$A,0)),IFERROR(INDEX(Sheet1!$Q:$Q,MATCH($A306,Sheet1!$A:$A,0)),"")))</f>
        <v/>
      </c>
      <c r="R306" s="75">
        <f>IF($A306="","",_xll.BDP($A306&amp;" Corp","CRNCY"))</f>
        <v/>
      </c>
      <c r="S306" s="75">
        <f>IF($A306="","",IFERROR(INDEX(Sheet1!$S:$S,MATCH($A306,Sheet1!$A:$A,0)),""))</f>
        <v/>
      </c>
      <c r="T306" s="75">
        <f>IF($A306="","",IFERROR(INDEX(Sheet1!$T:$T,MATCH($A306,Sheet1!$A:$A,0)),_xll.BDP($A306&amp;" Corp","RTG_SP")))</f>
        <v/>
      </c>
      <c r="U306" s="75">
        <f>IF($A306="","",IFERROR(INDEX(Sheet1!$U:$U,MATCH($A306,Sheet1!$A:$A,0)),""))</f>
        <v/>
      </c>
      <c r="W306" s="81">
        <f>IF($A306="","",N306-_xll.BDP($A306&amp;" Corp","YAS_OAS_SPRD","SETTLE_DT",Company_desc!$A$1))</f>
        <v/>
      </c>
      <c r="X306" s="81">
        <f>IF($A306="","",N306-_xll.BDP($A306&amp;" Corp","YAS_OAS_SPRD","SETTLE_DT",Company_desc!$A$2))</f>
        <v/>
      </c>
      <c r="Y306" s="80">
        <f>IF($A306="","",N306-_xll.BDP($A306&amp;" Corp","YAS_OAS_SPRD","SETTLE_DT",Company_desc!$D$1))</f>
        <v/>
      </c>
      <c r="Z306" s="82">
        <f>IF($A306="","",K306-_xll.BDP($A306&amp;" Corp","YAS_BOND_YLD","YAS_YLD_FLAG=15","SETTLE_DT",Company_desc!$D$1))</f>
        <v/>
      </c>
      <c r="AA306" s="80">
        <f>IF($A306="","",_xll.BDP($A306&amp;" Corp","YAS_OAS_SPRD","SETTLE_DT",Company_desc!$D$1))</f>
        <v/>
      </c>
    </row>
    <row r="307">
      <c r="B307" s="75">
        <f>IF($A307="","",IFERROR(INDEX(Sheet1!$B:$B,MATCH($A307,Sheet1!$A:$A,0)),""))</f>
        <v/>
      </c>
      <c r="C307" s="75">
        <f>IF($A307="","",PROPER(_xll.BDP($A307&amp;" Corp","NAME")))</f>
        <v/>
      </c>
      <c r="D307" s="76">
        <f>IF($A307="","",_xll.BDP($A307&amp;" Corp","CPN"))</f>
        <v/>
      </c>
      <c r="E307" s="75">
        <f>IF($A307="","",_xll.BDP($A307&amp;" Corp","PAYMENT_RANK"))</f>
        <v/>
      </c>
      <c r="F307" s="100">
        <f>IF($A307="","",_xll.BDP($A307&amp;" Corp","MATURITY"))</f>
        <v/>
      </c>
      <c r="G307" s="75">
        <f>IF($A307="","",PROPER(_xll.BDP($A307&amp;" Corp","COUNTRY_FULL_NAME")))</f>
        <v/>
      </c>
      <c r="H307" s="75">
        <f>IF($A307="","",_xll.BDP($A307&amp;" Corp","INDUSTRY_SECTOR"))</f>
        <v/>
      </c>
      <c r="I307" s="101">
        <f>IF($A307="","",IFERROR(_xll.BDP($A307&amp;" Corp","MIN_PIECE")/1000,""))</f>
        <v/>
      </c>
      <c r="J307" s="31">
        <f>IF($A307="","",_xll.BDP($A307&amp;" Corp","PX_LAST"))</f>
        <v/>
      </c>
      <c r="K307" s="31">
        <f>IF($A307="","",_xll.BDP($A307&amp;" Corp","YAS_BOND_YLD","YAS_YLD_FLAG=15"))</f>
        <v/>
      </c>
      <c r="L307" s="31">
        <f>IF($A307="","",K307-_xll.BDP($A307&amp;" Corp","YAS_BOND_YLD","YAS_YLD_FLAG=15","SETTLE_DT",Company_desc!$A$1))</f>
        <v/>
      </c>
      <c r="M307" s="31">
        <f>IF($A307="","",K307-_xll.BDP($A307&amp;" Corp","YAS_BOND_YLD","YAS_YLD_FLAG=15","SETTLE_DT",Company_desc!$A$2))</f>
        <v/>
      </c>
      <c r="N307" s="79">
        <f>IF($A307="","",_xll.BDP($A307&amp;" Corp","YAS_OAS_SPRD"))</f>
        <v/>
      </c>
      <c r="O307" s="67">
        <f>IF($A307="","",_xll.BDP($A307&amp;" Corp","YAS_MOD_DUR"))</f>
        <v/>
      </c>
      <c r="P307" s="80">
        <f>IF($A307="","",IFERROR(INDEX(Sheet1!$P:$P,MATCH($A307,Sheet1!$A:$A,0)),""))</f>
        <v/>
      </c>
      <c r="Q307" s="75">
        <f>IF($A307="","",IFERROR(INDEX(Company_desc!$C:$C,MATCH($A307,Company_desc!$A:$A,0)),IFERROR(INDEX(Sheet1!$Q:$Q,MATCH($A307,Sheet1!$A:$A,0)),"")))</f>
        <v/>
      </c>
      <c r="R307" s="75">
        <f>IF($A307="","",_xll.BDP($A307&amp;" Corp","CRNCY"))</f>
        <v/>
      </c>
      <c r="S307" s="75">
        <f>IF($A307="","",IFERROR(INDEX(Sheet1!$S:$S,MATCH($A307,Sheet1!$A:$A,0)),""))</f>
        <v/>
      </c>
      <c r="T307" s="75">
        <f>IF($A307="","",IFERROR(INDEX(Sheet1!$T:$T,MATCH($A307,Sheet1!$A:$A,0)),_xll.BDP($A307&amp;" Corp","RTG_SP")))</f>
        <v/>
      </c>
      <c r="U307" s="75">
        <f>IF($A307="","",IFERROR(INDEX(Sheet1!$U:$U,MATCH($A307,Sheet1!$A:$A,0)),""))</f>
        <v/>
      </c>
      <c r="W307" s="81">
        <f>IF($A307="","",N307-_xll.BDP($A307&amp;" Corp","YAS_OAS_SPRD","SETTLE_DT",Company_desc!$A$1))</f>
        <v/>
      </c>
      <c r="X307" s="81">
        <f>IF($A307="","",N307-_xll.BDP($A307&amp;" Corp","YAS_OAS_SPRD","SETTLE_DT",Company_desc!$A$2))</f>
        <v/>
      </c>
      <c r="Y307" s="80">
        <f>IF($A307="","",N307-_xll.BDP($A307&amp;" Corp","YAS_OAS_SPRD","SETTLE_DT",Company_desc!$D$1))</f>
        <v/>
      </c>
      <c r="Z307" s="82">
        <f>IF($A307="","",K307-_xll.BDP($A307&amp;" Corp","YAS_BOND_YLD","YAS_YLD_FLAG=15","SETTLE_DT",Company_desc!$D$1))</f>
        <v/>
      </c>
      <c r="AA307" s="80">
        <f>IF($A307="","",_xll.BDP($A307&amp;" Corp","YAS_OAS_SPRD","SETTLE_DT",Company_desc!$D$1))</f>
        <v/>
      </c>
    </row>
    <row r="308">
      <c r="B308" s="75">
        <f>IF($A308="","",IFERROR(INDEX(Sheet1!$B:$B,MATCH($A308,Sheet1!$A:$A,0)),""))</f>
        <v/>
      </c>
      <c r="C308" s="75">
        <f>IF($A308="","",PROPER(_xll.BDP($A308&amp;" Corp","NAME")))</f>
        <v/>
      </c>
      <c r="D308" s="76">
        <f>IF($A308="","",_xll.BDP($A308&amp;" Corp","CPN"))</f>
        <v/>
      </c>
      <c r="E308" s="75">
        <f>IF($A308="","",_xll.BDP($A308&amp;" Corp","PAYMENT_RANK"))</f>
        <v/>
      </c>
      <c r="F308" s="100">
        <f>IF($A308="","",_xll.BDP($A308&amp;" Corp","MATURITY"))</f>
        <v/>
      </c>
      <c r="G308" s="75">
        <f>IF($A308="","",PROPER(_xll.BDP($A308&amp;" Corp","COUNTRY_FULL_NAME")))</f>
        <v/>
      </c>
      <c r="H308" s="75">
        <f>IF($A308="","",_xll.BDP($A308&amp;" Corp","INDUSTRY_SECTOR"))</f>
        <v/>
      </c>
      <c r="I308" s="101">
        <f>IF($A308="","",IFERROR(_xll.BDP($A308&amp;" Corp","MIN_PIECE")/1000,""))</f>
        <v/>
      </c>
      <c r="J308" s="31">
        <f>IF($A308="","",_xll.BDP($A308&amp;" Corp","PX_LAST"))</f>
        <v/>
      </c>
      <c r="K308" s="31">
        <f>IF($A308="","",_xll.BDP($A308&amp;" Corp","YAS_BOND_YLD","YAS_YLD_FLAG=15"))</f>
        <v/>
      </c>
      <c r="L308" s="31">
        <f>IF($A308="","",K308-_xll.BDP($A308&amp;" Corp","YAS_BOND_YLD","YAS_YLD_FLAG=15","SETTLE_DT",Company_desc!$A$1))</f>
        <v/>
      </c>
      <c r="M308" s="31">
        <f>IF($A308="","",K308-_xll.BDP($A308&amp;" Corp","YAS_BOND_YLD","YAS_YLD_FLAG=15","SETTLE_DT",Company_desc!$A$2))</f>
        <v/>
      </c>
      <c r="N308" s="79">
        <f>IF($A308="","",_xll.BDP($A308&amp;" Corp","YAS_OAS_SPRD"))</f>
        <v/>
      </c>
      <c r="O308" s="67">
        <f>IF($A308="","",_xll.BDP($A308&amp;" Corp","YAS_MOD_DUR"))</f>
        <v/>
      </c>
      <c r="P308" s="80">
        <f>IF($A308="","",IFERROR(INDEX(Sheet1!$P:$P,MATCH($A308,Sheet1!$A:$A,0)),""))</f>
        <v/>
      </c>
      <c r="Q308" s="75">
        <f>IF($A308="","",IFERROR(INDEX(Company_desc!$C:$C,MATCH($A308,Company_desc!$A:$A,0)),IFERROR(INDEX(Sheet1!$Q:$Q,MATCH($A308,Sheet1!$A:$A,0)),"")))</f>
        <v/>
      </c>
      <c r="R308" s="75">
        <f>IF($A308="","",_xll.BDP($A308&amp;" Corp","CRNCY"))</f>
        <v/>
      </c>
      <c r="S308" s="75">
        <f>IF($A308="","",IFERROR(INDEX(Sheet1!$S:$S,MATCH($A308,Sheet1!$A:$A,0)),""))</f>
        <v/>
      </c>
      <c r="T308" s="75">
        <f>IF($A308="","",IFERROR(INDEX(Sheet1!$T:$T,MATCH($A308,Sheet1!$A:$A,0)),_xll.BDP($A308&amp;" Corp","RTG_SP")))</f>
        <v/>
      </c>
      <c r="U308" s="75">
        <f>IF($A308="","",IFERROR(INDEX(Sheet1!$U:$U,MATCH($A308,Sheet1!$A:$A,0)),""))</f>
        <v/>
      </c>
      <c r="W308" s="81">
        <f>IF($A308="","",N308-_xll.BDP($A308&amp;" Corp","YAS_OAS_SPRD","SETTLE_DT",Company_desc!$A$1))</f>
        <v/>
      </c>
      <c r="X308" s="81">
        <f>IF($A308="","",N308-_xll.BDP($A308&amp;" Corp","YAS_OAS_SPRD","SETTLE_DT",Company_desc!$A$2))</f>
        <v/>
      </c>
      <c r="Y308" s="80">
        <f>IF($A308="","",N308-_xll.BDP($A308&amp;" Corp","YAS_OAS_SPRD","SETTLE_DT",Company_desc!$D$1))</f>
        <v/>
      </c>
      <c r="Z308" s="82">
        <f>IF($A308="","",K308-_xll.BDP($A308&amp;" Corp","YAS_BOND_YLD","YAS_YLD_FLAG=15","SETTLE_DT",Company_desc!$D$1))</f>
        <v/>
      </c>
      <c r="AA308" s="80">
        <f>IF($A308="","",_xll.BDP($A308&amp;" Corp","YAS_OAS_SPRD","SETTLE_DT",Company_desc!$D$1))</f>
        <v/>
      </c>
    </row>
    <row r="309">
      <c r="B309" s="75">
        <f>IF($A309="","",IFERROR(INDEX(Sheet1!$B:$B,MATCH($A309,Sheet1!$A:$A,0)),""))</f>
        <v/>
      </c>
      <c r="C309" s="75">
        <f>IF($A309="","",PROPER(_xll.BDP($A309&amp;" Corp","NAME")))</f>
        <v/>
      </c>
      <c r="D309" s="76">
        <f>IF($A309="","",_xll.BDP($A309&amp;" Corp","CPN"))</f>
        <v/>
      </c>
      <c r="E309" s="75">
        <f>IF($A309="","",_xll.BDP($A309&amp;" Corp","PAYMENT_RANK"))</f>
        <v/>
      </c>
      <c r="F309" s="100">
        <f>IF($A309="","",_xll.BDP($A309&amp;" Corp","MATURITY"))</f>
        <v/>
      </c>
      <c r="G309" s="75">
        <f>IF($A309="","",PROPER(_xll.BDP($A309&amp;" Corp","COUNTRY_FULL_NAME")))</f>
        <v/>
      </c>
      <c r="H309" s="75">
        <f>IF($A309="","",_xll.BDP($A309&amp;" Corp","INDUSTRY_SECTOR"))</f>
        <v/>
      </c>
      <c r="I309" s="101">
        <f>IF($A309="","",IFERROR(_xll.BDP($A309&amp;" Corp","MIN_PIECE")/1000,""))</f>
        <v/>
      </c>
      <c r="J309" s="31">
        <f>IF($A309="","",_xll.BDP($A309&amp;" Corp","PX_LAST"))</f>
        <v/>
      </c>
      <c r="K309" s="31">
        <f>IF($A309="","",_xll.BDP($A309&amp;" Corp","YAS_BOND_YLD","YAS_YLD_FLAG=15"))</f>
        <v/>
      </c>
      <c r="L309" s="31">
        <f>IF($A309="","",K309-_xll.BDP($A309&amp;" Corp","YAS_BOND_YLD","YAS_YLD_FLAG=15","SETTLE_DT",Company_desc!$A$1))</f>
        <v/>
      </c>
      <c r="M309" s="31">
        <f>IF($A309="","",K309-_xll.BDP($A309&amp;" Corp","YAS_BOND_YLD","YAS_YLD_FLAG=15","SETTLE_DT",Company_desc!$A$2))</f>
        <v/>
      </c>
      <c r="N309" s="79">
        <f>IF($A309="","",_xll.BDP($A309&amp;" Corp","YAS_OAS_SPRD"))</f>
        <v/>
      </c>
      <c r="O309" s="67">
        <f>IF($A309="","",_xll.BDP($A309&amp;" Corp","YAS_MOD_DUR"))</f>
        <v/>
      </c>
      <c r="P309" s="80">
        <f>IF($A309="","",IFERROR(INDEX(Sheet1!$P:$P,MATCH($A309,Sheet1!$A:$A,0)),""))</f>
        <v/>
      </c>
      <c r="Q309" s="75">
        <f>IF($A309="","",IFERROR(INDEX(Company_desc!$C:$C,MATCH($A309,Company_desc!$A:$A,0)),IFERROR(INDEX(Sheet1!$Q:$Q,MATCH($A309,Sheet1!$A:$A,0)),"")))</f>
        <v/>
      </c>
      <c r="R309" s="75">
        <f>IF($A309="","",_xll.BDP($A309&amp;" Corp","CRNCY"))</f>
        <v/>
      </c>
      <c r="S309" s="75">
        <f>IF($A309="","",IFERROR(INDEX(Sheet1!$S:$S,MATCH($A309,Sheet1!$A:$A,0)),""))</f>
        <v/>
      </c>
      <c r="T309" s="75">
        <f>IF($A309="","",IFERROR(INDEX(Sheet1!$T:$T,MATCH($A309,Sheet1!$A:$A,0)),_xll.BDP($A309&amp;" Corp","RTG_SP")))</f>
        <v/>
      </c>
      <c r="U309" s="75">
        <f>IF($A309="","",IFERROR(INDEX(Sheet1!$U:$U,MATCH($A309,Sheet1!$A:$A,0)),""))</f>
        <v/>
      </c>
      <c r="W309" s="81">
        <f>IF($A309="","",N309-_xll.BDP($A309&amp;" Corp","YAS_OAS_SPRD","SETTLE_DT",Company_desc!$A$1))</f>
        <v/>
      </c>
      <c r="X309" s="81">
        <f>IF($A309="","",N309-_xll.BDP($A309&amp;" Corp","YAS_OAS_SPRD","SETTLE_DT",Company_desc!$A$2))</f>
        <v/>
      </c>
      <c r="Y309" s="80">
        <f>IF($A309="","",N309-_xll.BDP($A309&amp;" Corp","YAS_OAS_SPRD","SETTLE_DT",Company_desc!$D$1))</f>
        <v/>
      </c>
      <c r="Z309" s="82">
        <f>IF($A309="","",K309-_xll.BDP($A309&amp;" Corp","YAS_BOND_YLD","YAS_YLD_FLAG=15","SETTLE_DT",Company_desc!$D$1))</f>
        <v/>
      </c>
      <c r="AA309" s="80">
        <f>IF($A309="","",_xll.BDP($A309&amp;" Corp","YAS_OAS_SPRD","SETTLE_DT",Company_desc!$D$1))</f>
        <v/>
      </c>
    </row>
    <row r="310">
      <c r="B310" s="75">
        <f>IF($A310="","",IFERROR(INDEX(Sheet1!$B:$B,MATCH($A310,Sheet1!$A:$A,0)),""))</f>
        <v/>
      </c>
      <c r="C310" s="75">
        <f>IF($A310="","",PROPER(_xll.BDP($A310&amp;" Corp","NAME")))</f>
        <v/>
      </c>
      <c r="D310" s="76">
        <f>IF($A310="","",_xll.BDP($A310&amp;" Corp","CPN"))</f>
        <v/>
      </c>
      <c r="E310" s="75">
        <f>IF($A310="","",_xll.BDP($A310&amp;" Corp","PAYMENT_RANK"))</f>
        <v/>
      </c>
      <c r="F310" s="100">
        <f>IF($A310="","",_xll.BDP($A310&amp;" Corp","MATURITY"))</f>
        <v/>
      </c>
      <c r="G310" s="75">
        <f>IF($A310="","",PROPER(_xll.BDP($A310&amp;" Corp","COUNTRY_FULL_NAME")))</f>
        <v/>
      </c>
      <c r="H310" s="75">
        <f>IF($A310="","",_xll.BDP($A310&amp;" Corp","INDUSTRY_SECTOR"))</f>
        <v/>
      </c>
      <c r="I310" s="101">
        <f>IF($A310="","",IFERROR(_xll.BDP($A310&amp;" Corp","MIN_PIECE")/1000,""))</f>
        <v/>
      </c>
      <c r="J310" s="31">
        <f>IF($A310="","",_xll.BDP($A310&amp;" Corp","PX_LAST"))</f>
        <v/>
      </c>
      <c r="K310" s="31">
        <f>IF($A310="","",_xll.BDP($A310&amp;" Corp","YAS_BOND_YLD","YAS_YLD_FLAG=15"))</f>
        <v/>
      </c>
      <c r="L310" s="31">
        <f>IF($A310="","",K310-_xll.BDP($A310&amp;" Corp","YAS_BOND_YLD","YAS_YLD_FLAG=15","SETTLE_DT",Company_desc!$A$1))</f>
        <v/>
      </c>
      <c r="M310" s="31">
        <f>IF($A310="","",K310-_xll.BDP($A310&amp;" Corp","YAS_BOND_YLD","YAS_YLD_FLAG=15","SETTLE_DT",Company_desc!$A$2))</f>
        <v/>
      </c>
      <c r="N310" s="79">
        <f>IF($A310="","",_xll.BDP($A310&amp;" Corp","YAS_OAS_SPRD"))</f>
        <v/>
      </c>
      <c r="O310" s="67">
        <f>IF($A310="","",_xll.BDP($A310&amp;" Corp","YAS_MOD_DUR"))</f>
        <v/>
      </c>
      <c r="P310" s="80">
        <f>IF($A310="","",IFERROR(INDEX(Sheet1!$P:$P,MATCH($A310,Sheet1!$A:$A,0)),""))</f>
        <v/>
      </c>
      <c r="Q310" s="75">
        <f>IF($A310="","",IFERROR(INDEX(Company_desc!$C:$C,MATCH($A310,Company_desc!$A:$A,0)),IFERROR(INDEX(Sheet1!$Q:$Q,MATCH($A310,Sheet1!$A:$A,0)),"")))</f>
        <v/>
      </c>
      <c r="R310" s="75">
        <f>IF($A310="","",_xll.BDP($A310&amp;" Corp","CRNCY"))</f>
        <v/>
      </c>
      <c r="S310" s="75">
        <f>IF($A310="","",IFERROR(INDEX(Sheet1!$S:$S,MATCH($A310,Sheet1!$A:$A,0)),""))</f>
        <v/>
      </c>
      <c r="T310" s="75">
        <f>IF($A310="","",IFERROR(INDEX(Sheet1!$T:$T,MATCH($A310,Sheet1!$A:$A,0)),_xll.BDP($A310&amp;" Corp","RTG_SP")))</f>
        <v/>
      </c>
      <c r="U310" s="75">
        <f>IF($A310="","",IFERROR(INDEX(Sheet1!$U:$U,MATCH($A310,Sheet1!$A:$A,0)),""))</f>
        <v/>
      </c>
      <c r="W310" s="81">
        <f>IF($A310="","",N310-_xll.BDP($A310&amp;" Corp","YAS_OAS_SPRD","SETTLE_DT",Company_desc!$A$1))</f>
        <v/>
      </c>
      <c r="X310" s="81">
        <f>IF($A310="","",N310-_xll.BDP($A310&amp;" Corp","YAS_OAS_SPRD","SETTLE_DT",Company_desc!$A$2))</f>
        <v/>
      </c>
      <c r="Y310" s="80">
        <f>IF($A310="","",N310-_xll.BDP($A310&amp;" Corp","YAS_OAS_SPRD","SETTLE_DT",Company_desc!$D$1))</f>
        <v/>
      </c>
      <c r="Z310" s="82">
        <f>IF($A310="","",K310-_xll.BDP($A310&amp;" Corp","YAS_BOND_YLD","YAS_YLD_FLAG=15","SETTLE_DT",Company_desc!$D$1))</f>
        <v/>
      </c>
      <c r="AA310" s="80">
        <f>IF($A310="","",_xll.BDP($A310&amp;" Corp","YAS_OAS_SPRD","SETTLE_DT",Company_desc!$D$1))</f>
        <v/>
      </c>
    </row>
    <row r="311">
      <c r="A311" s="42" t="n"/>
      <c r="B311" s="75">
        <f>IF($A311="","",IFERROR(INDEX(Sheet1!$B:$B,MATCH($A311,Sheet1!$A:$A,0)),""))</f>
        <v/>
      </c>
      <c r="C311" s="75">
        <f>IF($A311="","",PROPER(_xll.BDP($A311&amp;" Corp","NAME")))</f>
        <v/>
      </c>
      <c r="D311" s="76">
        <f>IF($A311="","",_xll.BDP($A311&amp;" Corp","CPN"))</f>
        <v/>
      </c>
      <c r="E311" s="75">
        <f>IF($A311="","",_xll.BDP($A311&amp;" Corp","PAYMENT_RANK"))</f>
        <v/>
      </c>
      <c r="F311" s="100">
        <f>IF($A311="","",_xll.BDP($A311&amp;" Corp","MATURITY"))</f>
        <v/>
      </c>
      <c r="G311" s="75">
        <f>IF($A311="","",PROPER(_xll.BDP($A311&amp;" Corp","COUNTRY_FULL_NAME")))</f>
        <v/>
      </c>
      <c r="H311" s="75">
        <f>IF($A311="","",_xll.BDP($A311&amp;" Corp","INDUSTRY_SECTOR"))</f>
        <v/>
      </c>
      <c r="I311" s="101">
        <f>IF($A311="","",IFERROR(_xll.BDP($A311&amp;" Corp","MIN_PIECE")/1000,""))</f>
        <v/>
      </c>
      <c r="J311" s="31">
        <f>IF($A311="","",_xll.BDP($A311&amp;" Corp","PX_LAST"))</f>
        <v/>
      </c>
      <c r="K311" s="31">
        <f>IF($A311="","",_xll.BDP($A311&amp;" Corp","YAS_BOND_YLD","YAS_YLD_FLAG=15"))</f>
        <v/>
      </c>
      <c r="L311" s="31">
        <f>IF($A311="","",K311-_xll.BDP($A311&amp;" Corp","YAS_BOND_YLD","YAS_YLD_FLAG=15","SETTLE_DT",Company_desc!$A$1))</f>
        <v/>
      </c>
      <c r="M311" s="31">
        <f>IF($A311="","",K311-_xll.BDP($A311&amp;" Corp","YAS_BOND_YLD","YAS_YLD_FLAG=15","SETTLE_DT",Company_desc!$A$2))</f>
        <v/>
      </c>
      <c r="N311" s="79">
        <f>IF($A311="","",_xll.BDP($A311&amp;" Corp","YAS_OAS_SPRD"))</f>
        <v/>
      </c>
      <c r="O311" s="67">
        <f>IF($A311="","",_xll.BDP($A311&amp;" Corp","YAS_MOD_DUR"))</f>
        <v/>
      </c>
      <c r="P311" s="80">
        <f>IF($A311="","",IFERROR(INDEX(Sheet1!$P:$P,MATCH($A311,Sheet1!$A:$A,0)),""))</f>
        <v/>
      </c>
      <c r="Q311" s="75">
        <f>IF($A311="","",IFERROR(INDEX(Company_desc!$C:$C,MATCH($A311,Company_desc!$A:$A,0)),IFERROR(INDEX(Sheet1!$Q:$Q,MATCH($A311,Sheet1!$A:$A,0)),"")))</f>
        <v/>
      </c>
      <c r="R311" s="75">
        <f>IF($A311="","",_xll.BDP($A311&amp;" Corp","CRNCY"))</f>
        <v/>
      </c>
      <c r="S311" s="75">
        <f>IF($A311="","",IFERROR(INDEX(Sheet1!$S:$S,MATCH($A311,Sheet1!$A:$A,0)),""))</f>
        <v/>
      </c>
      <c r="T311" s="75">
        <f>IF($A311="","",IFERROR(INDEX(Sheet1!$T:$T,MATCH($A311,Sheet1!$A:$A,0)),_xll.BDP($A311&amp;" Corp","RTG_SP")))</f>
        <v/>
      </c>
      <c r="U311" s="75">
        <f>IF($A311="","",IFERROR(INDEX(Sheet1!$U:$U,MATCH($A311,Sheet1!$A:$A,0)),""))</f>
        <v/>
      </c>
      <c r="W311" s="81">
        <f>IF($A311="","",N311-_xll.BDP($A311&amp;" Corp","YAS_OAS_SPRD","SETTLE_DT",Company_desc!$A$1))</f>
        <v/>
      </c>
      <c r="X311" s="81">
        <f>IF($A311="","",N311-_xll.BDP($A311&amp;" Corp","YAS_OAS_SPRD","SETTLE_DT",Company_desc!$A$2))</f>
        <v/>
      </c>
      <c r="Y311" s="80">
        <f>IF($A311="","",N311-_xll.BDP($A311&amp;" Corp","YAS_OAS_SPRD","SETTLE_DT",Company_desc!$D$1))</f>
        <v/>
      </c>
      <c r="Z311" s="82">
        <f>IF($A311="","",K311-_xll.BDP($A311&amp;" Corp","YAS_BOND_YLD","YAS_YLD_FLAG=15","SETTLE_DT",Company_desc!$D$1))</f>
        <v/>
      </c>
      <c r="AA311" s="80">
        <f>IF($A311="","",_xll.BDP($A311&amp;" Corp","YAS_OAS_SPRD","SETTLE_DT",Company_desc!$D$1))</f>
        <v/>
      </c>
    </row>
    <row r="312">
      <c r="B312" s="75">
        <f>IF($A312="","",IFERROR(INDEX(Sheet1!$B:$B,MATCH($A312,Sheet1!$A:$A,0)),""))</f>
        <v/>
      </c>
      <c r="C312" s="75">
        <f>IF($A312="","",PROPER(_xll.BDP($A312&amp;" Corp","NAME")))</f>
        <v/>
      </c>
      <c r="D312" s="76">
        <f>IF($A312="","",_xll.BDP($A312&amp;" Corp","CPN"))</f>
        <v/>
      </c>
      <c r="E312" s="75">
        <f>IF($A312="","",_xll.BDP($A312&amp;" Corp","PAYMENT_RANK"))</f>
        <v/>
      </c>
      <c r="F312" s="100">
        <f>IF($A312="","",_xll.BDP($A312&amp;" Corp","MATURITY"))</f>
        <v/>
      </c>
      <c r="G312" s="75">
        <f>IF($A312="","",PROPER(_xll.BDP($A312&amp;" Corp","COUNTRY_FULL_NAME")))</f>
        <v/>
      </c>
      <c r="H312" s="75">
        <f>IF($A312="","",_xll.BDP($A312&amp;" Corp","INDUSTRY_SECTOR"))</f>
        <v/>
      </c>
      <c r="I312" s="101">
        <f>IF($A312="","",IFERROR(_xll.BDP($A312&amp;" Corp","MIN_PIECE")/1000,""))</f>
        <v/>
      </c>
      <c r="J312" s="31">
        <f>IF($A312="","",_xll.BDP($A312&amp;" Corp","PX_LAST"))</f>
        <v/>
      </c>
      <c r="K312" s="31">
        <f>IF($A312="","",_xll.BDP($A312&amp;" Corp","YAS_BOND_YLD","YAS_YLD_FLAG=15"))</f>
        <v/>
      </c>
      <c r="L312" s="31">
        <f>IF($A312="","",K312-_xll.BDP($A312&amp;" Corp","YAS_BOND_YLD","YAS_YLD_FLAG=15","SETTLE_DT",Company_desc!$A$1))</f>
        <v/>
      </c>
      <c r="M312" s="31">
        <f>IF($A312="","",K312-_xll.BDP($A312&amp;" Corp","YAS_BOND_YLD","YAS_YLD_FLAG=15","SETTLE_DT",Company_desc!$A$2))</f>
        <v/>
      </c>
      <c r="N312" s="79">
        <f>IF($A312="","",_xll.BDP($A312&amp;" Corp","YAS_OAS_SPRD"))</f>
        <v/>
      </c>
      <c r="O312" s="67">
        <f>IF($A312="","",_xll.BDP($A312&amp;" Corp","YAS_MOD_DUR"))</f>
        <v/>
      </c>
      <c r="P312" s="80">
        <f>IF($A312="","",IFERROR(INDEX(Sheet1!$P:$P,MATCH($A312,Sheet1!$A:$A,0)),""))</f>
        <v/>
      </c>
      <c r="Q312" s="75">
        <f>IF($A312="","",IFERROR(INDEX(Company_desc!$C:$C,MATCH($A312,Company_desc!$A:$A,0)),IFERROR(INDEX(Sheet1!$Q:$Q,MATCH($A312,Sheet1!$A:$A,0)),"")))</f>
        <v/>
      </c>
      <c r="R312" s="75">
        <f>IF($A312="","",_xll.BDP($A312&amp;" Corp","CRNCY"))</f>
        <v/>
      </c>
      <c r="S312" s="75">
        <f>IF($A312="","",IFERROR(INDEX(Sheet1!$S:$S,MATCH($A312,Sheet1!$A:$A,0)),""))</f>
        <v/>
      </c>
      <c r="T312" s="75">
        <f>IF($A312="","",IFERROR(INDEX(Sheet1!$T:$T,MATCH($A312,Sheet1!$A:$A,0)),_xll.BDP($A312&amp;" Corp","RTG_SP")))</f>
        <v/>
      </c>
      <c r="U312" s="75">
        <f>IF($A312="","",IFERROR(INDEX(Sheet1!$U:$U,MATCH($A312,Sheet1!$A:$A,0)),""))</f>
        <v/>
      </c>
      <c r="W312" s="81">
        <f>IF($A312="","",N312-_xll.BDP($A312&amp;" Corp","YAS_OAS_SPRD","SETTLE_DT",Company_desc!$A$1))</f>
        <v/>
      </c>
      <c r="X312" s="81">
        <f>IF($A312="","",N312-_xll.BDP($A312&amp;" Corp","YAS_OAS_SPRD","SETTLE_DT",Company_desc!$A$2))</f>
        <v/>
      </c>
      <c r="Y312" s="80">
        <f>IF($A312="","",N312-_xll.BDP($A312&amp;" Corp","YAS_OAS_SPRD","SETTLE_DT",Company_desc!$D$1))</f>
        <v/>
      </c>
      <c r="Z312" s="82">
        <f>IF($A312="","",K312-_xll.BDP($A312&amp;" Corp","YAS_BOND_YLD","YAS_YLD_FLAG=15","SETTLE_DT",Company_desc!$D$1))</f>
        <v/>
      </c>
      <c r="AA312" s="80">
        <f>IF($A312="","",_xll.BDP($A312&amp;" Corp","YAS_OAS_SPRD","SETTLE_DT",Company_desc!$D$1))</f>
        <v/>
      </c>
    </row>
    <row r="313">
      <c r="B313" s="75">
        <f>IF($A313="","",IFERROR(INDEX(Sheet1!$B:$B,MATCH($A313,Sheet1!$A:$A,0)),""))</f>
        <v/>
      </c>
      <c r="C313" s="75">
        <f>IF($A313="","",PROPER(_xll.BDP($A313&amp;" Corp","NAME")))</f>
        <v/>
      </c>
      <c r="D313" s="76">
        <f>IF($A313="","",_xll.BDP($A313&amp;" Corp","CPN"))</f>
        <v/>
      </c>
      <c r="E313" s="75">
        <f>IF($A313="","",_xll.BDP($A313&amp;" Corp","PAYMENT_RANK"))</f>
        <v/>
      </c>
      <c r="F313" s="100">
        <f>IF($A313="","",_xll.BDP($A313&amp;" Corp","MATURITY"))</f>
        <v/>
      </c>
      <c r="G313" s="75">
        <f>IF($A313="","",PROPER(_xll.BDP($A313&amp;" Corp","COUNTRY_FULL_NAME")))</f>
        <v/>
      </c>
      <c r="H313" s="75">
        <f>IF($A313="","",_xll.BDP($A313&amp;" Corp","INDUSTRY_SECTOR"))</f>
        <v/>
      </c>
      <c r="I313" s="101">
        <f>IF($A313="","",IFERROR(_xll.BDP($A313&amp;" Corp","MIN_PIECE")/1000,""))</f>
        <v/>
      </c>
      <c r="J313" s="31">
        <f>IF($A313="","",_xll.BDP($A313&amp;" Corp","PX_LAST"))</f>
        <v/>
      </c>
      <c r="K313" s="31">
        <f>IF($A313="","",_xll.BDP($A313&amp;" Corp","YAS_BOND_YLD","YAS_YLD_FLAG=15"))</f>
        <v/>
      </c>
      <c r="L313" s="31">
        <f>IF($A313="","",K313-_xll.BDP($A313&amp;" Corp","YAS_BOND_YLD","YAS_YLD_FLAG=15","SETTLE_DT",Company_desc!$A$1))</f>
        <v/>
      </c>
      <c r="M313" s="31">
        <f>IF($A313="","",K313-_xll.BDP($A313&amp;" Corp","YAS_BOND_YLD","YAS_YLD_FLAG=15","SETTLE_DT",Company_desc!$A$2))</f>
        <v/>
      </c>
      <c r="N313" s="79">
        <f>IF($A313="","",_xll.BDP($A313&amp;" Corp","YAS_OAS_SPRD"))</f>
        <v/>
      </c>
      <c r="O313" s="67">
        <f>IF($A313="","",_xll.BDP($A313&amp;" Corp","YAS_MOD_DUR"))</f>
        <v/>
      </c>
      <c r="P313" s="80">
        <f>IF($A313="","",IFERROR(INDEX(Sheet1!$P:$P,MATCH($A313,Sheet1!$A:$A,0)),""))</f>
        <v/>
      </c>
      <c r="Q313" s="75">
        <f>IF($A313="","",IFERROR(INDEX(Company_desc!$C:$C,MATCH($A313,Company_desc!$A:$A,0)),IFERROR(INDEX(Sheet1!$Q:$Q,MATCH($A313,Sheet1!$A:$A,0)),"")))</f>
        <v/>
      </c>
      <c r="R313" s="75">
        <f>IF($A313="","",_xll.BDP($A313&amp;" Corp","CRNCY"))</f>
        <v/>
      </c>
      <c r="S313" s="75">
        <f>IF($A313="","",IFERROR(INDEX(Sheet1!$S:$S,MATCH($A313,Sheet1!$A:$A,0)),""))</f>
        <v/>
      </c>
      <c r="T313" s="75">
        <f>IF($A313="","",IFERROR(INDEX(Sheet1!$T:$T,MATCH($A313,Sheet1!$A:$A,0)),_xll.BDP($A313&amp;" Corp","RTG_SP")))</f>
        <v/>
      </c>
      <c r="U313" s="75">
        <f>IF($A313="","",IFERROR(INDEX(Sheet1!$U:$U,MATCH($A313,Sheet1!$A:$A,0)),""))</f>
        <v/>
      </c>
      <c r="W313" s="81">
        <f>IF($A313="","",N313-_xll.BDP($A313&amp;" Corp","YAS_OAS_SPRD","SETTLE_DT",Company_desc!$A$1))</f>
        <v/>
      </c>
      <c r="X313" s="81">
        <f>IF($A313="","",N313-_xll.BDP($A313&amp;" Corp","YAS_OAS_SPRD","SETTLE_DT",Company_desc!$A$2))</f>
        <v/>
      </c>
      <c r="Y313" s="80">
        <f>IF($A313="","",N313-_xll.BDP($A313&amp;" Corp","YAS_OAS_SPRD","SETTLE_DT",Company_desc!$D$1))</f>
        <v/>
      </c>
      <c r="Z313" s="82">
        <f>IF($A313="","",K313-_xll.BDP($A313&amp;" Corp","YAS_BOND_YLD","YAS_YLD_FLAG=15","SETTLE_DT",Company_desc!$D$1))</f>
        <v/>
      </c>
      <c r="AA313" s="80">
        <f>IF($A313="","",_xll.BDP($A313&amp;" Corp","YAS_OAS_SPRD","SETTLE_DT",Company_desc!$D$1))</f>
        <v/>
      </c>
    </row>
    <row r="314">
      <c r="B314" s="75">
        <f>IF($A314="","",IFERROR(INDEX(Sheet1!$B:$B,MATCH($A314,Sheet1!$A:$A,0)),""))</f>
        <v/>
      </c>
      <c r="C314" s="75">
        <f>IF($A314="","",PROPER(_xll.BDP($A314&amp;" Corp","NAME")))</f>
        <v/>
      </c>
      <c r="D314" s="76">
        <f>IF($A314="","",_xll.BDP($A314&amp;" Corp","CPN"))</f>
        <v/>
      </c>
      <c r="E314" s="75">
        <f>IF($A314="","",_xll.BDP($A314&amp;" Corp","PAYMENT_RANK"))</f>
        <v/>
      </c>
      <c r="F314" s="100">
        <f>IF($A314="","",_xll.BDP($A314&amp;" Corp","MATURITY"))</f>
        <v/>
      </c>
      <c r="G314" s="75">
        <f>IF($A314="","",PROPER(_xll.BDP($A314&amp;" Corp","COUNTRY_FULL_NAME")))</f>
        <v/>
      </c>
      <c r="H314" s="75">
        <f>IF($A314="","",_xll.BDP($A314&amp;" Corp","INDUSTRY_SECTOR"))</f>
        <v/>
      </c>
      <c r="I314" s="101">
        <f>IF($A314="","",IFERROR(_xll.BDP($A314&amp;" Corp","MIN_PIECE")/1000,""))</f>
        <v/>
      </c>
      <c r="J314" s="31">
        <f>IF($A314="","",_xll.BDP($A314&amp;" Corp","PX_LAST"))</f>
        <v/>
      </c>
      <c r="K314" s="31">
        <f>IF($A314="","",_xll.BDP($A314&amp;" Corp","YAS_BOND_YLD","YAS_YLD_FLAG=15"))</f>
        <v/>
      </c>
      <c r="L314" s="31">
        <f>IF($A314="","",K314-_xll.BDP($A314&amp;" Corp","YAS_BOND_YLD","YAS_YLD_FLAG=15","SETTLE_DT",Company_desc!$A$1))</f>
        <v/>
      </c>
      <c r="M314" s="31">
        <f>IF($A314="","",K314-_xll.BDP($A314&amp;" Corp","YAS_BOND_YLD","YAS_YLD_FLAG=15","SETTLE_DT",Company_desc!$A$2))</f>
        <v/>
      </c>
      <c r="N314" s="79">
        <f>IF($A314="","",_xll.BDP($A314&amp;" Corp","YAS_OAS_SPRD"))</f>
        <v/>
      </c>
      <c r="O314" s="67">
        <f>IF($A314="","",_xll.BDP($A314&amp;" Corp","YAS_MOD_DUR"))</f>
        <v/>
      </c>
      <c r="P314" s="80">
        <f>IF($A314="","",IFERROR(INDEX(Sheet1!$P:$P,MATCH($A314,Sheet1!$A:$A,0)),""))</f>
        <v/>
      </c>
      <c r="Q314" s="75">
        <f>IF($A314="","",IFERROR(INDEX(Company_desc!$C:$C,MATCH($A314,Company_desc!$A:$A,0)),IFERROR(INDEX(Sheet1!$Q:$Q,MATCH($A314,Sheet1!$A:$A,0)),"")))</f>
        <v/>
      </c>
      <c r="R314" s="75">
        <f>IF($A314="","",_xll.BDP($A314&amp;" Corp","CRNCY"))</f>
        <v/>
      </c>
      <c r="S314" s="75">
        <f>IF($A314="","",IFERROR(INDEX(Sheet1!$S:$S,MATCH($A314,Sheet1!$A:$A,0)),""))</f>
        <v/>
      </c>
      <c r="T314" s="75">
        <f>IF($A314="","",IFERROR(INDEX(Sheet1!$T:$T,MATCH($A314,Sheet1!$A:$A,0)),_xll.BDP($A314&amp;" Corp","RTG_SP")))</f>
        <v/>
      </c>
      <c r="U314" s="75">
        <f>IF($A314="","",IFERROR(INDEX(Sheet1!$U:$U,MATCH($A314,Sheet1!$A:$A,0)),""))</f>
        <v/>
      </c>
      <c r="W314" s="81">
        <f>IF($A314="","",N314-_xll.BDP($A314&amp;" Corp","YAS_OAS_SPRD","SETTLE_DT",Company_desc!$A$1))</f>
        <v/>
      </c>
      <c r="X314" s="81">
        <f>IF($A314="","",N314-_xll.BDP($A314&amp;" Corp","YAS_OAS_SPRD","SETTLE_DT",Company_desc!$A$2))</f>
        <v/>
      </c>
      <c r="Y314" s="80">
        <f>IF($A314="","",N314-_xll.BDP($A314&amp;" Corp","YAS_OAS_SPRD","SETTLE_DT",Company_desc!$D$1))</f>
        <v/>
      </c>
      <c r="Z314" s="82">
        <f>IF($A314="","",K314-_xll.BDP($A314&amp;" Corp","YAS_BOND_YLD","YAS_YLD_FLAG=15","SETTLE_DT",Company_desc!$D$1))</f>
        <v/>
      </c>
      <c r="AA314" s="80">
        <f>IF($A314="","",_xll.BDP($A314&amp;" Corp","YAS_OAS_SPRD","SETTLE_DT",Company_desc!$D$1))</f>
        <v/>
      </c>
    </row>
    <row r="315">
      <c r="B315" s="75">
        <f>IF($A315="","",IFERROR(INDEX(Sheet1!$B:$B,MATCH($A315,Sheet1!$A:$A,0)),""))</f>
        <v/>
      </c>
      <c r="C315" s="75">
        <f>IF($A315="","",PROPER(_xll.BDP($A315&amp;" Corp","NAME")))</f>
        <v/>
      </c>
      <c r="D315" s="76">
        <f>IF($A315="","",_xll.BDP($A315&amp;" Corp","CPN"))</f>
        <v/>
      </c>
      <c r="E315" s="75">
        <f>IF($A315="","",_xll.BDP($A315&amp;" Corp","PAYMENT_RANK"))</f>
        <v/>
      </c>
      <c r="F315" s="100">
        <f>IF($A315="","",_xll.BDP($A315&amp;" Corp","MATURITY"))</f>
        <v/>
      </c>
      <c r="G315" s="75">
        <f>IF($A315="","",PROPER(_xll.BDP($A315&amp;" Corp","COUNTRY_FULL_NAME")))</f>
        <v/>
      </c>
      <c r="H315" s="75">
        <f>IF($A315="","",_xll.BDP($A315&amp;" Corp","INDUSTRY_SECTOR"))</f>
        <v/>
      </c>
      <c r="I315" s="101">
        <f>IF($A315="","",IFERROR(_xll.BDP($A315&amp;" Corp","MIN_PIECE")/1000,""))</f>
        <v/>
      </c>
      <c r="J315" s="31">
        <f>IF($A315="","",_xll.BDP($A315&amp;" Corp","PX_LAST"))</f>
        <v/>
      </c>
      <c r="K315" s="31">
        <f>IF($A315="","",_xll.BDP($A315&amp;" Corp","YAS_BOND_YLD","YAS_YLD_FLAG=15"))</f>
        <v/>
      </c>
      <c r="L315" s="31">
        <f>IF($A315="","",K315-_xll.BDP($A315&amp;" Corp","YAS_BOND_YLD","YAS_YLD_FLAG=15","SETTLE_DT",Company_desc!$A$1))</f>
        <v/>
      </c>
      <c r="M315" s="31">
        <f>IF($A315="","",K315-_xll.BDP($A315&amp;" Corp","YAS_BOND_YLD","YAS_YLD_FLAG=15","SETTLE_DT",Company_desc!$A$2))</f>
        <v/>
      </c>
      <c r="N315" s="79">
        <f>IF($A315="","",_xll.BDP($A315&amp;" Corp","YAS_OAS_SPRD"))</f>
        <v/>
      </c>
      <c r="O315" s="67">
        <f>IF($A315="","",_xll.BDP($A315&amp;" Corp","YAS_MOD_DUR"))</f>
        <v/>
      </c>
      <c r="P315" s="80">
        <f>IF($A315="","",IFERROR(INDEX(Sheet1!$P:$P,MATCH($A315,Sheet1!$A:$A,0)),""))</f>
        <v/>
      </c>
      <c r="Q315" s="75">
        <f>IF($A315="","",IFERROR(INDEX(Company_desc!$C:$C,MATCH($A315,Company_desc!$A:$A,0)),IFERROR(INDEX(Sheet1!$Q:$Q,MATCH($A315,Sheet1!$A:$A,0)),"")))</f>
        <v/>
      </c>
      <c r="R315" s="75">
        <f>IF($A315="","",_xll.BDP($A315&amp;" Corp","CRNCY"))</f>
        <v/>
      </c>
      <c r="S315" s="75">
        <f>IF($A315="","",IFERROR(INDEX(Sheet1!$S:$S,MATCH($A315,Sheet1!$A:$A,0)),""))</f>
        <v/>
      </c>
      <c r="T315" s="75">
        <f>IF($A315="","",IFERROR(INDEX(Sheet1!$T:$T,MATCH($A315,Sheet1!$A:$A,0)),_xll.BDP($A315&amp;" Corp","RTG_SP")))</f>
        <v/>
      </c>
      <c r="U315" s="75">
        <f>IF($A315="","",IFERROR(INDEX(Sheet1!$U:$U,MATCH($A315,Sheet1!$A:$A,0)),""))</f>
        <v/>
      </c>
      <c r="W315" s="81">
        <f>IF($A315="","",N315-_xll.BDP($A315&amp;" Corp","YAS_OAS_SPRD","SETTLE_DT",Company_desc!$A$1))</f>
        <v/>
      </c>
      <c r="X315" s="81">
        <f>IF($A315="","",N315-_xll.BDP($A315&amp;" Corp","YAS_OAS_SPRD","SETTLE_DT",Company_desc!$A$2))</f>
        <v/>
      </c>
      <c r="Y315" s="80">
        <f>IF($A315="","",N315-_xll.BDP($A315&amp;" Corp","YAS_OAS_SPRD","SETTLE_DT",Company_desc!$D$1))</f>
        <v/>
      </c>
      <c r="Z315" s="82">
        <f>IF($A315="","",K315-_xll.BDP($A315&amp;" Corp","YAS_BOND_YLD","YAS_YLD_FLAG=15","SETTLE_DT",Company_desc!$D$1))</f>
        <v/>
      </c>
      <c r="AA315" s="80">
        <f>IF($A315="","",_xll.BDP($A315&amp;" Corp","YAS_OAS_SPRD","SETTLE_DT",Company_desc!$D$1))</f>
        <v/>
      </c>
    </row>
    <row r="316">
      <c r="A316" s="42" t="n"/>
      <c r="B316" s="75">
        <f>IF($A316="","",IFERROR(INDEX(Sheet1!$B:$B,MATCH($A316,Sheet1!$A:$A,0)),""))</f>
        <v/>
      </c>
      <c r="C316" s="75">
        <f>IF($A316="","",PROPER(_xll.BDP($A316&amp;" Corp","NAME")))</f>
        <v/>
      </c>
      <c r="D316" s="76">
        <f>IF($A316="","",_xll.BDP($A316&amp;" Corp","CPN"))</f>
        <v/>
      </c>
      <c r="E316" s="75">
        <f>IF($A316="","",_xll.BDP($A316&amp;" Corp","PAYMENT_RANK"))</f>
        <v/>
      </c>
      <c r="F316" s="100">
        <f>IF($A316="","",_xll.BDP($A316&amp;" Corp","MATURITY"))</f>
        <v/>
      </c>
      <c r="G316" s="75">
        <f>IF($A316="","",PROPER(_xll.BDP($A316&amp;" Corp","COUNTRY_FULL_NAME")))</f>
        <v/>
      </c>
      <c r="H316" s="75">
        <f>IF($A316="","",_xll.BDP($A316&amp;" Corp","INDUSTRY_SECTOR"))</f>
        <v/>
      </c>
      <c r="I316" s="101">
        <f>IF($A316="","",IFERROR(_xll.BDP($A316&amp;" Corp","MIN_PIECE")/1000,""))</f>
        <v/>
      </c>
      <c r="J316" s="31">
        <f>IF($A316="","",_xll.BDP($A316&amp;" Corp","PX_LAST"))</f>
        <v/>
      </c>
      <c r="K316" s="31">
        <f>IF($A316="","",_xll.BDP($A316&amp;" Corp","YAS_BOND_YLD","YAS_YLD_FLAG=15"))</f>
        <v/>
      </c>
      <c r="L316" s="31">
        <f>IF($A316="","",K316-_xll.BDP($A316&amp;" Corp","YAS_BOND_YLD","YAS_YLD_FLAG=15","SETTLE_DT",Company_desc!$A$1))</f>
        <v/>
      </c>
      <c r="M316" s="31">
        <f>IF($A316="","",K316-_xll.BDP($A316&amp;" Corp","YAS_BOND_YLD","YAS_YLD_FLAG=15","SETTLE_DT",Company_desc!$A$2))</f>
        <v/>
      </c>
      <c r="N316" s="79">
        <f>IF($A316="","",_xll.BDP($A316&amp;" Corp","YAS_OAS_SPRD"))</f>
        <v/>
      </c>
      <c r="O316" s="67">
        <f>IF($A316="","",_xll.BDP($A316&amp;" Corp","YAS_MOD_DUR"))</f>
        <v/>
      </c>
      <c r="P316" s="80">
        <f>IF($A316="","",IFERROR(INDEX(Sheet1!$P:$P,MATCH($A316,Sheet1!$A:$A,0)),""))</f>
        <v/>
      </c>
      <c r="Q316" s="75">
        <f>IF($A316="","",IFERROR(INDEX(Company_desc!$C:$C,MATCH($A316,Company_desc!$A:$A,0)),IFERROR(INDEX(Sheet1!$Q:$Q,MATCH($A316,Sheet1!$A:$A,0)),"")))</f>
        <v/>
      </c>
      <c r="R316" s="75">
        <f>IF($A316="","",_xll.BDP($A316&amp;" Corp","CRNCY"))</f>
        <v/>
      </c>
      <c r="S316" s="75">
        <f>IF($A316="","",IFERROR(INDEX(Sheet1!$S:$S,MATCH($A316,Sheet1!$A:$A,0)),""))</f>
        <v/>
      </c>
      <c r="T316" s="75">
        <f>IF($A316="","",IFERROR(INDEX(Sheet1!$T:$T,MATCH($A316,Sheet1!$A:$A,0)),_xll.BDP($A316&amp;" Corp","RTG_SP")))</f>
        <v/>
      </c>
      <c r="U316" s="75">
        <f>IF($A316="","",IFERROR(INDEX(Sheet1!$U:$U,MATCH($A316,Sheet1!$A:$A,0)),""))</f>
        <v/>
      </c>
      <c r="W316" s="81">
        <f>IF($A316="","",N316-_xll.BDP($A316&amp;" Corp","YAS_OAS_SPRD","SETTLE_DT",Company_desc!$A$1))</f>
        <v/>
      </c>
      <c r="X316" s="81">
        <f>IF($A316="","",N316-_xll.BDP($A316&amp;" Corp","YAS_OAS_SPRD","SETTLE_DT",Company_desc!$A$2))</f>
        <v/>
      </c>
      <c r="Y316" s="80">
        <f>IF($A316="","",N316-_xll.BDP($A316&amp;" Corp","YAS_OAS_SPRD","SETTLE_DT",Company_desc!$D$1))</f>
        <v/>
      </c>
      <c r="Z316" s="82">
        <f>IF($A316="","",K316-_xll.BDP($A316&amp;" Corp","YAS_BOND_YLD","YAS_YLD_FLAG=15","SETTLE_DT",Company_desc!$D$1))</f>
        <v/>
      </c>
      <c r="AA316" s="80">
        <f>IF($A316="","",_xll.BDP($A316&amp;" Corp","YAS_OAS_SPRD","SETTLE_DT",Company_desc!$D$1))</f>
        <v/>
      </c>
    </row>
    <row r="317">
      <c r="B317" s="75">
        <f>IF($A317="","",IFERROR(INDEX(Sheet1!$B:$B,MATCH($A317,Sheet1!$A:$A,0)),""))</f>
        <v/>
      </c>
      <c r="C317" s="75">
        <f>IF($A317="","",PROPER(_xll.BDP($A317&amp;" Corp","NAME")))</f>
        <v/>
      </c>
      <c r="D317" s="76">
        <f>IF($A317="","",_xll.BDP($A317&amp;" Corp","CPN"))</f>
        <v/>
      </c>
      <c r="E317" s="75">
        <f>IF($A317="","",_xll.BDP($A317&amp;" Corp","PAYMENT_RANK"))</f>
        <v/>
      </c>
      <c r="F317" s="100">
        <f>IF($A317="","",_xll.BDP($A317&amp;" Corp","MATURITY"))</f>
        <v/>
      </c>
      <c r="G317" s="75">
        <f>IF($A317="","",PROPER(_xll.BDP($A317&amp;" Corp","COUNTRY_FULL_NAME")))</f>
        <v/>
      </c>
      <c r="H317" s="75">
        <f>IF($A317="","",_xll.BDP($A317&amp;" Corp","INDUSTRY_SECTOR"))</f>
        <v/>
      </c>
      <c r="I317" s="101">
        <f>IF($A317="","",IFERROR(_xll.BDP($A317&amp;" Corp","MIN_PIECE")/1000,""))</f>
        <v/>
      </c>
      <c r="J317" s="31">
        <f>IF($A317="","",_xll.BDP($A317&amp;" Corp","PX_LAST"))</f>
        <v/>
      </c>
      <c r="K317" s="31">
        <f>IF($A317="","",_xll.BDP($A317&amp;" Corp","YAS_BOND_YLD","YAS_YLD_FLAG=15"))</f>
        <v/>
      </c>
      <c r="L317" s="31">
        <f>IF($A317="","",K317-_xll.BDP($A317&amp;" Corp","YAS_BOND_YLD","YAS_YLD_FLAG=15","SETTLE_DT",Company_desc!$A$1))</f>
        <v/>
      </c>
      <c r="M317" s="31">
        <f>IF($A317="","",K317-_xll.BDP($A317&amp;" Corp","YAS_BOND_YLD","YAS_YLD_FLAG=15","SETTLE_DT",Company_desc!$A$2))</f>
        <v/>
      </c>
      <c r="N317" s="79">
        <f>IF($A317="","",_xll.BDP($A317&amp;" Corp","YAS_OAS_SPRD"))</f>
        <v/>
      </c>
      <c r="O317" s="67">
        <f>IF($A317="","",_xll.BDP($A317&amp;" Corp","YAS_MOD_DUR"))</f>
        <v/>
      </c>
      <c r="P317" s="80">
        <f>IF($A317="","",IFERROR(INDEX(Sheet1!$P:$P,MATCH($A317,Sheet1!$A:$A,0)),""))</f>
        <v/>
      </c>
      <c r="Q317" s="75">
        <f>IF($A317="","",IFERROR(INDEX(Company_desc!$C:$C,MATCH($A317,Company_desc!$A:$A,0)),IFERROR(INDEX(Sheet1!$Q:$Q,MATCH($A317,Sheet1!$A:$A,0)),"")))</f>
        <v/>
      </c>
      <c r="R317" s="75">
        <f>IF($A317="","",_xll.BDP($A317&amp;" Corp","CRNCY"))</f>
        <v/>
      </c>
      <c r="S317" s="75">
        <f>IF($A317="","",IFERROR(INDEX(Sheet1!$S:$S,MATCH($A317,Sheet1!$A:$A,0)),""))</f>
        <v/>
      </c>
      <c r="T317" s="75">
        <f>IF($A317="","",IFERROR(INDEX(Sheet1!$T:$T,MATCH($A317,Sheet1!$A:$A,0)),_xll.BDP($A317&amp;" Corp","RTG_SP")))</f>
        <v/>
      </c>
      <c r="U317" s="75">
        <f>IF($A317="","",IFERROR(INDEX(Sheet1!$U:$U,MATCH($A317,Sheet1!$A:$A,0)),""))</f>
        <v/>
      </c>
      <c r="W317" s="81">
        <f>IF($A317="","",N317-_xll.BDP($A317&amp;" Corp","YAS_OAS_SPRD","SETTLE_DT",Company_desc!$A$1))</f>
        <v/>
      </c>
      <c r="X317" s="81">
        <f>IF($A317="","",N317-_xll.BDP($A317&amp;" Corp","YAS_OAS_SPRD","SETTLE_DT",Company_desc!$A$2))</f>
        <v/>
      </c>
      <c r="Y317" s="80">
        <f>IF($A317="","",N317-_xll.BDP($A317&amp;" Corp","YAS_OAS_SPRD","SETTLE_DT",Company_desc!$D$1))</f>
        <v/>
      </c>
      <c r="Z317" s="82">
        <f>IF($A317="","",K317-_xll.BDP($A317&amp;" Corp","YAS_BOND_YLD","YAS_YLD_FLAG=15","SETTLE_DT",Company_desc!$D$1))</f>
        <v/>
      </c>
      <c r="AA317" s="80">
        <f>IF($A317="","",_xll.BDP($A317&amp;" Corp","YAS_OAS_SPRD","SETTLE_DT",Company_desc!$D$1))</f>
        <v/>
      </c>
    </row>
    <row r="318">
      <c r="B318" s="75">
        <f>IF($A318="","",IFERROR(INDEX(Sheet1!$B:$B,MATCH($A318,Sheet1!$A:$A,0)),""))</f>
        <v/>
      </c>
      <c r="C318" s="75">
        <f>IF($A318="","",PROPER(_xll.BDP($A318&amp;" Corp","NAME")))</f>
        <v/>
      </c>
      <c r="D318" s="76">
        <f>IF($A318="","",_xll.BDP($A318&amp;" Corp","CPN"))</f>
        <v/>
      </c>
      <c r="E318" s="75">
        <f>IF($A318="","",_xll.BDP($A318&amp;" Corp","PAYMENT_RANK"))</f>
        <v/>
      </c>
      <c r="F318" s="100">
        <f>IF($A318="","",_xll.BDP($A318&amp;" Corp","MATURITY"))</f>
        <v/>
      </c>
      <c r="G318" s="75">
        <f>IF($A318="","",PROPER(_xll.BDP($A318&amp;" Corp","COUNTRY_FULL_NAME")))</f>
        <v/>
      </c>
      <c r="H318" s="75">
        <f>IF($A318="","",_xll.BDP($A318&amp;" Corp","INDUSTRY_SECTOR"))</f>
        <v/>
      </c>
      <c r="I318" s="101">
        <f>IF($A318="","",IFERROR(_xll.BDP($A318&amp;" Corp","MIN_PIECE")/1000,""))</f>
        <v/>
      </c>
      <c r="J318" s="31">
        <f>IF($A318="","",_xll.BDP($A318&amp;" Corp","PX_LAST"))</f>
        <v/>
      </c>
      <c r="K318" s="31">
        <f>IF($A318="","",_xll.BDP($A318&amp;" Corp","YAS_BOND_YLD","YAS_YLD_FLAG=15"))</f>
        <v/>
      </c>
      <c r="L318" s="31">
        <f>IF($A318="","",K318-_xll.BDP($A318&amp;" Corp","YAS_BOND_YLD","YAS_YLD_FLAG=15","SETTLE_DT",Company_desc!$A$1))</f>
        <v/>
      </c>
      <c r="M318" s="31">
        <f>IF($A318="","",K318-_xll.BDP($A318&amp;" Corp","YAS_BOND_YLD","YAS_YLD_FLAG=15","SETTLE_DT",Company_desc!$A$2))</f>
        <v/>
      </c>
      <c r="N318" s="79">
        <f>IF($A318="","",_xll.BDP($A318&amp;" Corp","YAS_OAS_SPRD"))</f>
        <v/>
      </c>
      <c r="O318" s="67">
        <f>IF($A318="","",_xll.BDP($A318&amp;" Corp","YAS_MOD_DUR"))</f>
        <v/>
      </c>
      <c r="P318" s="80">
        <f>IF($A318="","",IFERROR(INDEX(Sheet1!$P:$P,MATCH($A318,Sheet1!$A:$A,0)),""))</f>
        <v/>
      </c>
      <c r="Q318" s="75">
        <f>IF($A318="","",IFERROR(INDEX(Company_desc!$C:$C,MATCH($A318,Company_desc!$A:$A,0)),IFERROR(INDEX(Sheet1!$Q:$Q,MATCH($A318,Sheet1!$A:$A,0)),"")))</f>
        <v/>
      </c>
      <c r="R318" s="75">
        <f>IF($A318="","",_xll.BDP($A318&amp;" Corp","CRNCY"))</f>
        <v/>
      </c>
      <c r="S318" s="75">
        <f>IF($A318="","",IFERROR(INDEX(Sheet1!$S:$S,MATCH($A318,Sheet1!$A:$A,0)),""))</f>
        <v/>
      </c>
      <c r="T318" s="75">
        <f>IF($A318="","",IFERROR(INDEX(Sheet1!$T:$T,MATCH($A318,Sheet1!$A:$A,0)),_xll.BDP($A318&amp;" Corp","RTG_SP")))</f>
        <v/>
      </c>
      <c r="U318" s="75">
        <f>IF($A318="","",IFERROR(INDEX(Sheet1!$U:$U,MATCH($A318,Sheet1!$A:$A,0)),""))</f>
        <v/>
      </c>
      <c r="W318" s="81">
        <f>IF($A318="","",N318-_xll.BDP($A318&amp;" Corp","YAS_OAS_SPRD","SETTLE_DT",Company_desc!$A$1))</f>
        <v/>
      </c>
      <c r="X318" s="81">
        <f>IF($A318="","",N318-_xll.BDP($A318&amp;" Corp","YAS_OAS_SPRD","SETTLE_DT",Company_desc!$A$2))</f>
        <v/>
      </c>
      <c r="Y318" s="80">
        <f>IF($A318="","",N318-_xll.BDP($A318&amp;" Corp","YAS_OAS_SPRD","SETTLE_DT",Company_desc!$D$1))</f>
        <v/>
      </c>
      <c r="Z318" s="82">
        <f>IF($A318="","",K318-_xll.BDP($A318&amp;" Corp","YAS_BOND_YLD","YAS_YLD_FLAG=15","SETTLE_DT",Company_desc!$D$1))</f>
        <v/>
      </c>
      <c r="AA318" s="80">
        <f>IF($A318="","",_xll.BDP($A318&amp;" Corp","YAS_OAS_SPRD","SETTLE_DT",Company_desc!$D$1))</f>
        <v/>
      </c>
    </row>
    <row r="319">
      <c r="B319" s="75">
        <f>IF($A319="","",IFERROR(INDEX(Sheet1!$B:$B,MATCH($A319,Sheet1!$A:$A,0)),""))</f>
        <v/>
      </c>
      <c r="C319" s="75">
        <f>IF($A319="","",PROPER(_xll.BDP($A319&amp;" Corp","NAME")))</f>
        <v/>
      </c>
      <c r="D319" s="76">
        <f>IF($A319="","",_xll.BDP($A319&amp;" Corp","CPN"))</f>
        <v/>
      </c>
      <c r="E319" s="75">
        <f>IF($A319="","",_xll.BDP($A319&amp;" Corp","PAYMENT_RANK"))</f>
        <v/>
      </c>
      <c r="F319" s="100">
        <f>IF($A319="","",_xll.BDP($A319&amp;" Corp","MATURITY"))</f>
        <v/>
      </c>
      <c r="G319" s="75">
        <f>IF($A319="","",PROPER(_xll.BDP($A319&amp;" Corp","COUNTRY_FULL_NAME")))</f>
        <v/>
      </c>
      <c r="H319" s="75">
        <f>IF($A319="","",_xll.BDP($A319&amp;" Corp","INDUSTRY_SECTOR"))</f>
        <v/>
      </c>
      <c r="I319" s="101">
        <f>IF($A319="","",IFERROR(_xll.BDP($A319&amp;" Corp","MIN_PIECE")/1000,""))</f>
        <v/>
      </c>
      <c r="J319" s="31">
        <f>IF($A319="","",_xll.BDP($A319&amp;" Corp","PX_LAST"))</f>
        <v/>
      </c>
      <c r="K319" s="31">
        <f>IF($A319="","",_xll.BDP($A319&amp;" Corp","YAS_BOND_YLD","YAS_YLD_FLAG=15"))</f>
        <v/>
      </c>
      <c r="L319" s="31">
        <f>IF($A319="","",K319-_xll.BDP($A319&amp;" Corp","YAS_BOND_YLD","YAS_YLD_FLAG=15","SETTLE_DT",Company_desc!$A$1))</f>
        <v/>
      </c>
      <c r="M319" s="31">
        <f>IF($A319="","",K319-_xll.BDP($A319&amp;" Corp","YAS_BOND_YLD","YAS_YLD_FLAG=15","SETTLE_DT",Company_desc!$A$2))</f>
        <v/>
      </c>
      <c r="N319" s="79">
        <f>IF($A319="","",_xll.BDP($A319&amp;" Corp","YAS_OAS_SPRD"))</f>
        <v/>
      </c>
      <c r="O319" s="67">
        <f>IF($A319="","",_xll.BDP($A319&amp;" Corp","YAS_MOD_DUR"))</f>
        <v/>
      </c>
      <c r="P319" s="80">
        <f>IF($A319="","",IFERROR(INDEX(Sheet1!$P:$P,MATCH($A319,Sheet1!$A:$A,0)),""))</f>
        <v/>
      </c>
      <c r="Q319" s="75">
        <f>IF($A319="","",IFERROR(INDEX(Company_desc!$C:$C,MATCH($A319,Company_desc!$A:$A,0)),IFERROR(INDEX(Sheet1!$Q:$Q,MATCH($A319,Sheet1!$A:$A,0)),"")))</f>
        <v/>
      </c>
      <c r="R319" s="75">
        <f>IF($A319="","",_xll.BDP($A319&amp;" Corp","CRNCY"))</f>
        <v/>
      </c>
      <c r="S319" s="75">
        <f>IF($A319="","",IFERROR(INDEX(Sheet1!$S:$S,MATCH($A319,Sheet1!$A:$A,0)),""))</f>
        <v/>
      </c>
      <c r="T319" s="75">
        <f>IF($A319="","",IFERROR(INDEX(Sheet1!$T:$T,MATCH($A319,Sheet1!$A:$A,0)),_xll.BDP($A319&amp;" Corp","RTG_SP")))</f>
        <v/>
      </c>
      <c r="U319" s="75">
        <f>IF($A319="","",IFERROR(INDEX(Sheet1!$U:$U,MATCH($A319,Sheet1!$A:$A,0)),""))</f>
        <v/>
      </c>
      <c r="W319" s="81">
        <f>IF($A319="","",N319-_xll.BDP($A319&amp;" Corp","YAS_OAS_SPRD","SETTLE_DT",Company_desc!$A$1))</f>
        <v/>
      </c>
      <c r="X319" s="81">
        <f>IF($A319="","",N319-_xll.BDP($A319&amp;" Corp","YAS_OAS_SPRD","SETTLE_DT",Company_desc!$A$2))</f>
        <v/>
      </c>
      <c r="Y319" s="80">
        <f>IF($A319="","",N319-_xll.BDP($A319&amp;" Corp","YAS_OAS_SPRD","SETTLE_DT",Company_desc!$D$1))</f>
        <v/>
      </c>
      <c r="Z319" s="82">
        <f>IF($A319="","",K319-_xll.BDP($A319&amp;" Corp","YAS_BOND_YLD","YAS_YLD_FLAG=15","SETTLE_DT",Company_desc!$D$1))</f>
        <v/>
      </c>
      <c r="AA319" s="80">
        <f>IF($A319="","",_xll.BDP($A319&amp;" Corp","YAS_OAS_SPRD","SETTLE_DT",Company_desc!$D$1))</f>
        <v/>
      </c>
    </row>
    <row r="320">
      <c r="B320" s="75">
        <f>IF($A320="","",IFERROR(INDEX(Sheet1!$B:$B,MATCH($A320,Sheet1!$A:$A,0)),""))</f>
        <v/>
      </c>
      <c r="C320" s="75">
        <f>IF($A320="","",PROPER(_xll.BDP($A320&amp;" Corp","NAME")))</f>
        <v/>
      </c>
      <c r="D320" s="76">
        <f>IF($A320="","",_xll.BDP($A320&amp;" Corp","CPN"))</f>
        <v/>
      </c>
      <c r="E320" s="75">
        <f>IF($A320="","",_xll.BDP($A320&amp;" Corp","PAYMENT_RANK"))</f>
        <v/>
      </c>
      <c r="F320" s="100">
        <f>IF($A320="","",_xll.BDP($A320&amp;" Corp","MATURITY"))</f>
        <v/>
      </c>
      <c r="G320" s="75">
        <f>IF($A320="","",PROPER(_xll.BDP($A320&amp;" Corp","COUNTRY_FULL_NAME")))</f>
        <v/>
      </c>
      <c r="H320" s="75">
        <f>IF($A320="","",_xll.BDP($A320&amp;" Corp","INDUSTRY_SECTOR"))</f>
        <v/>
      </c>
      <c r="I320" s="101">
        <f>IF($A320="","",IFERROR(_xll.BDP($A320&amp;" Corp","MIN_PIECE")/1000,""))</f>
        <v/>
      </c>
      <c r="J320" s="31">
        <f>IF($A320="","",_xll.BDP($A320&amp;" Corp","PX_LAST"))</f>
        <v/>
      </c>
      <c r="K320" s="31">
        <f>IF($A320="","",_xll.BDP($A320&amp;" Corp","YAS_BOND_YLD","YAS_YLD_FLAG=15"))</f>
        <v/>
      </c>
      <c r="L320" s="31">
        <f>IF($A320="","",K320-_xll.BDP($A320&amp;" Corp","YAS_BOND_YLD","YAS_YLD_FLAG=15","SETTLE_DT",Company_desc!$A$1))</f>
        <v/>
      </c>
      <c r="M320" s="31">
        <f>IF($A320="","",K320-_xll.BDP($A320&amp;" Corp","YAS_BOND_YLD","YAS_YLD_FLAG=15","SETTLE_DT",Company_desc!$A$2))</f>
        <v/>
      </c>
      <c r="N320" s="79">
        <f>IF($A320="","",_xll.BDP($A320&amp;" Corp","YAS_OAS_SPRD"))</f>
        <v/>
      </c>
      <c r="O320" s="67">
        <f>IF($A320="","",_xll.BDP($A320&amp;" Corp","YAS_MOD_DUR"))</f>
        <v/>
      </c>
      <c r="P320" s="80">
        <f>IF($A320="","",IFERROR(INDEX(Sheet1!$P:$P,MATCH($A320,Sheet1!$A:$A,0)),""))</f>
        <v/>
      </c>
      <c r="Q320" s="75">
        <f>IF($A320="","",IFERROR(INDEX(Company_desc!$C:$C,MATCH($A320,Company_desc!$A:$A,0)),IFERROR(INDEX(Sheet1!$Q:$Q,MATCH($A320,Sheet1!$A:$A,0)),"")))</f>
        <v/>
      </c>
      <c r="R320" s="75">
        <f>IF($A320="","",_xll.BDP($A320&amp;" Corp","CRNCY"))</f>
        <v/>
      </c>
      <c r="S320" s="75">
        <f>IF($A320="","",IFERROR(INDEX(Sheet1!$S:$S,MATCH($A320,Sheet1!$A:$A,0)),""))</f>
        <v/>
      </c>
      <c r="T320" s="75">
        <f>IF($A320="","",IFERROR(INDEX(Sheet1!$T:$T,MATCH($A320,Sheet1!$A:$A,0)),_xll.BDP($A320&amp;" Corp","RTG_SP")))</f>
        <v/>
      </c>
      <c r="U320" s="75">
        <f>IF($A320="","",IFERROR(INDEX(Sheet1!$U:$U,MATCH($A320,Sheet1!$A:$A,0)),""))</f>
        <v/>
      </c>
      <c r="W320" s="81">
        <f>IF($A320="","",N320-_xll.BDP($A320&amp;" Corp","YAS_OAS_SPRD","SETTLE_DT",Company_desc!$A$1))</f>
        <v/>
      </c>
      <c r="X320" s="81">
        <f>IF($A320="","",N320-_xll.BDP($A320&amp;" Corp","YAS_OAS_SPRD","SETTLE_DT",Company_desc!$A$2))</f>
        <v/>
      </c>
      <c r="Y320" s="80">
        <f>IF($A320="","",N320-_xll.BDP($A320&amp;" Corp","YAS_OAS_SPRD","SETTLE_DT",Company_desc!$D$1))</f>
        <v/>
      </c>
      <c r="Z320" s="82">
        <f>IF($A320="","",K320-_xll.BDP($A320&amp;" Corp","YAS_BOND_YLD","YAS_YLD_FLAG=15","SETTLE_DT",Company_desc!$D$1))</f>
        <v/>
      </c>
      <c r="AA320" s="80">
        <f>IF($A320="","",_xll.BDP($A320&amp;" Corp","YAS_OAS_SPRD","SETTLE_DT",Company_desc!$D$1))</f>
        <v/>
      </c>
    </row>
    <row r="321">
      <c r="B321" s="28">
        <f>IF($A321="","",IFERROR(INDEX(Sheet1!$B:$B,MATCH($A321,Sheet1!$A:$A,0)),""))</f>
        <v/>
      </c>
      <c r="C321" s="29">
        <f>IF($A321="","",PROPER(_xll.BDP($A321&amp;" Corp","NAME")))</f>
        <v/>
      </c>
      <c r="D321" s="84">
        <f>IF($A321="","",_xll.BDP($A321&amp;" Corp","CPN"))</f>
        <v/>
      </c>
      <c r="E321" s="84">
        <f>IF($A321="","",_xll.BDP($A321&amp;" Corp","PAYMENT_RANK"))</f>
        <v/>
      </c>
      <c r="F321" s="102">
        <f>IF($A321="","",_xll.BDP($A321&amp;" Corp","MATURITY"))</f>
        <v/>
      </c>
      <c r="G321" s="43">
        <f>IF($A321="","",PROPER(_xll.BDP($A321&amp;" Corp","COUNTRY_FULL_NAME")))</f>
        <v/>
      </c>
      <c r="H321" s="29">
        <f>IF($A321="","",_xll.BDP($A321&amp;" Corp","INDUSTRY_SECTOR"))</f>
        <v/>
      </c>
      <c r="I321" s="103">
        <f>IF($A321="","",IFERROR(_xll.BDP($A321&amp;" Corp","MIN_PIECE")/1000,""))</f>
        <v/>
      </c>
      <c r="J321" s="31">
        <f>IF($A321="","",_xll.BDP($A321&amp;" Corp","PX_LAST"))</f>
        <v/>
      </c>
      <c r="K321" s="31">
        <f>IF($A321="","",_xll.BDP($A321&amp;" Corp","YAS_BOND_YLD","YAS_YLD_FLAG=15"))</f>
        <v/>
      </c>
      <c r="L321" s="31">
        <f>IF($A321="","",K321-_xll.BDP($A321&amp;" Corp","YAS_BOND_YLD","YAS_YLD_FLAG=15","SETTLE_DT",Company_desc!$A$1))</f>
        <v/>
      </c>
      <c r="M321" s="31">
        <f>IF($A321="","",K321-_xll.BDP($A321&amp;" Corp","YAS_BOND_YLD","YAS_YLD_FLAG=15","SETTLE_DT",Company_desc!$A$2))</f>
        <v/>
      </c>
      <c r="N321" s="79">
        <f>IF($A321="","",_xll.BDP($A321&amp;" Corp","YAS_OAS_SPRD"))</f>
        <v/>
      </c>
      <c r="O321" s="67">
        <f>IF($A321="","",_xll.BDP($A321&amp;" Corp","YAS_MOD_DUR"))</f>
        <v/>
      </c>
      <c r="P321" s="79">
        <f>IF($A321="","",IFERROR(INDEX(Sheet1!$P:$P,MATCH($A321,Sheet1!$A:$A,0)),""))</f>
        <v/>
      </c>
      <c r="Q321" s="27">
        <f>IF($A321="","",IFERROR(INDEX(Company_desc!$C:$C,MATCH($A321,Company_desc!$A:$A,0)),IFERROR(INDEX(Sheet1!$Q:$Q,MATCH($A321,Sheet1!$A:$A,0)),"")))</f>
        <v/>
      </c>
      <c r="R321" s="27">
        <f>IF($A321="","",_xll.BDP($A321&amp;" Corp","CRNCY"))</f>
        <v/>
      </c>
      <c r="S321" s="27">
        <f>IF($A321="","",IFERROR(INDEX(Sheet1!$S:$S,MATCH($A321,Sheet1!$A:$A,0)),""))</f>
        <v/>
      </c>
      <c r="T321" s="47">
        <f>IF($A321="","",IFERROR(INDEX(Sheet1!$T:$T,MATCH($A321,Sheet1!$A:$A,0)),_xll.BDP($A321&amp;" Corp","RTG_SP")))</f>
        <v/>
      </c>
      <c r="U321" s="75">
        <f>IF($A321="","",IFERROR(INDEX(Sheet1!$U:$U,MATCH($A321,Sheet1!$A:$A,0)),""))</f>
        <v/>
      </c>
      <c r="W321" s="81">
        <f>IF($A321="","",N321-_xll.BDP($A321&amp;" Corp","YAS_OAS_SPRD","SETTLE_DT",Company_desc!$A$1))</f>
        <v/>
      </c>
      <c r="X321" s="81">
        <f>IF($A321="","",N321-_xll.BDP($A321&amp;" Corp","YAS_OAS_SPRD","SETTLE_DT",Company_desc!$A$2))</f>
        <v/>
      </c>
      <c r="Y321" s="80">
        <f>IF($A321="","",N321-_xll.BDP($A321&amp;" Corp","YAS_OAS_SPRD","SETTLE_DT",Company_desc!$D$1))</f>
        <v/>
      </c>
      <c r="Z321" s="82">
        <f>IF($A321="","",K321-_xll.BDP($A321&amp;" Corp","YAS_BOND_YLD","YAS_YLD_FLAG=15","SETTLE_DT",Company_desc!$D$1))</f>
        <v/>
      </c>
      <c r="AA321" s="80">
        <f>IF($A321="","",_xll.BDP($A321&amp;" Corp","YAS_OAS_SPRD","SETTLE_DT",Company_desc!$D$1))</f>
        <v/>
      </c>
    </row>
    <row r="322">
      <c r="B322" s="75">
        <f>IF($A322="","",IFERROR(INDEX(Sheet1!$B:$B,MATCH($A322,Sheet1!$A:$A,0)),""))</f>
        <v/>
      </c>
      <c r="C322" s="75">
        <f>IF($A322="","",PROPER(_xll.BDP($A322&amp;" Corp","NAME")))</f>
        <v/>
      </c>
      <c r="D322" s="76">
        <f>IF($A322="","",_xll.BDP($A322&amp;" Corp","CPN"))</f>
        <v/>
      </c>
      <c r="E322" s="75">
        <f>IF($A322="","",_xll.BDP($A322&amp;" Corp","PAYMENT_RANK"))</f>
        <v/>
      </c>
      <c r="F322" s="100">
        <f>IF($A322="","",_xll.BDP($A322&amp;" Corp","MATURITY"))</f>
        <v/>
      </c>
      <c r="G322" s="75">
        <f>IF($A322="","",PROPER(_xll.BDP($A322&amp;" Corp","COUNTRY_FULL_NAME")))</f>
        <v/>
      </c>
      <c r="H322" s="75">
        <f>IF($A322="","",_xll.BDP($A322&amp;" Corp","INDUSTRY_SECTOR"))</f>
        <v/>
      </c>
      <c r="I322" s="101">
        <f>IF($A322="","",IFERROR(_xll.BDP($A322&amp;" Corp","MIN_PIECE")/1000,""))</f>
        <v/>
      </c>
      <c r="J322" s="31">
        <f>IF($A322="","",_xll.BDP($A322&amp;" Corp","PX_LAST"))</f>
        <v/>
      </c>
      <c r="K322" s="31">
        <f>IF($A322="","",_xll.BDP($A322&amp;" Corp","YAS_BOND_YLD","YAS_YLD_FLAG=15"))</f>
        <v/>
      </c>
      <c r="L322" s="31">
        <f>IF($A322="","",K322-_xll.BDP($A322&amp;" Corp","YAS_BOND_YLD","YAS_YLD_FLAG=15","SETTLE_DT",Company_desc!$A$1))</f>
        <v/>
      </c>
      <c r="M322" s="31">
        <f>IF($A322="","",K322-_xll.BDP($A322&amp;" Corp","YAS_BOND_YLD","YAS_YLD_FLAG=15","SETTLE_DT",Company_desc!$A$2))</f>
        <v/>
      </c>
      <c r="N322" s="79">
        <f>IF($A322="","",_xll.BDP($A322&amp;" Corp","YAS_OAS_SPRD"))</f>
        <v/>
      </c>
      <c r="O322" s="67">
        <f>IF($A322="","",_xll.BDP($A322&amp;" Corp","YAS_MOD_DUR"))</f>
        <v/>
      </c>
      <c r="P322" s="80">
        <f>IF($A322="","",IFERROR(INDEX(Sheet1!$P:$P,MATCH($A322,Sheet1!$A:$A,0)),""))</f>
        <v/>
      </c>
      <c r="Q322" s="75">
        <f>IF($A322="","",IFERROR(INDEX(Company_desc!$C:$C,MATCH($A322,Company_desc!$A:$A,0)),IFERROR(INDEX(Sheet1!$Q:$Q,MATCH($A322,Sheet1!$A:$A,0)),"")))</f>
        <v/>
      </c>
      <c r="R322" s="75">
        <f>IF($A322="","",_xll.BDP($A322&amp;" Corp","CRNCY"))</f>
        <v/>
      </c>
      <c r="S322" s="75">
        <f>IF($A322="","",IFERROR(INDEX(Sheet1!$S:$S,MATCH($A322,Sheet1!$A:$A,0)),""))</f>
        <v/>
      </c>
      <c r="T322" s="75">
        <f>IF($A322="","",IFERROR(INDEX(Sheet1!$T:$T,MATCH($A322,Sheet1!$A:$A,0)),_xll.BDP($A322&amp;" Corp","RTG_SP")))</f>
        <v/>
      </c>
      <c r="U322" s="75">
        <f>IF($A322="","",IFERROR(INDEX(Sheet1!$U:$U,MATCH($A322,Sheet1!$A:$A,0)),""))</f>
        <v/>
      </c>
      <c r="W322" s="81">
        <f>IF($A322="","",N322-_xll.BDP($A322&amp;" Corp","YAS_OAS_SPRD","SETTLE_DT",Company_desc!$A$1))</f>
        <v/>
      </c>
      <c r="X322" s="81">
        <f>IF($A322="","",N322-_xll.BDP($A322&amp;" Corp","YAS_OAS_SPRD","SETTLE_DT",Company_desc!$A$2))</f>
        <v/>
      </c>
      <c r="Y322" s="80">
        <f>IF($A322="","",N322-_xll.BDP($A322&amp;" Corp","YAS_OAS_SPRD","SETTLE_DT",Company_desc!$D$1))</f>
        <v/>
      </c>
      <c r="Z322" s="82">
        <f>IF($A322="","",K322-_xll.BDP($A322&amp;" Corp","YAS_BOND_YLD","YAS_YLD_FLAG=15","SETTLE_DT",Company_desc!$D$1))</f>
        <v/>
      </c>
      <c r="AA322" s="80">
        <f>IF($A322="","",_xll.BDP($A322&amp;" Corp","YAS_OAS_SPRD","SETTLE_DT",Company_desc!$D$1))</f>
        <v/>
      </c>
    </row>
    <row r="323">
      <c r="B323" s="75">
        <f>IF($A323="","",IFERROR(INDEX(Sheet1!$B:$B,MATCH($A323,Sheet1!$A:$A,0)),""))</f>
        <v/>
      </c>
      <c r="C323" s="75">
        <f>IF($A323="","",PROPER(_xll.BDP($A323&amp;" Corp","NAME")))</f>
        <v/>
      </c>
      <c r="D323" s="76">
        <f>IF($A323="","",_xll.BDP($A323&amp;" Corp","CPN"))</f>
        <v/>
      </c>
      <c r="E323" s="75">
        <f>IF($A323="","",_xll.BDP($A323&amp;" Corp","PAYMENT_RANK"))</f>
        <v/>
      </c>
      <c r="F323" s="100">
        <f>IF($A323="","",_xll.BDP($A323&amp;" Corp","MATURITY"))</f>
        <v/>
      </c>
      <c r="G323" s="75">
        <f>IF($A323="","",PROPER(_xll.BDP($A323&amp;" Corp","COUNTRY_FULL_NAME")))</f>
        <v/>
      </c>
      <c r="H323" s="75">
        <f>IF($A323="","",_xll.BDP($A323&amp;" Corp","INDUSTRY_SECTOR"))</f>
        <v/>
      </c>
      <c r="I323" s="101">
        <f>IF($A323="","",IFERROR(_xll.BDP($A323&amp;" Corp","MIN_PIECE")/1000,""))</f>
        <v/>
      </c>
      <c r="J323" s="31">
        <f>IF($A323="","",_xll.BDP($A323&amp;" Corp","PX_LAST"))</f>
        <v/>
      </c>
      <c r="K323" s="31">
        <f>IF($A323="","",_xll.BDP($A323&amp;" Corp","YAS_BOND_YLD","YAS_YLD_FLAG=15"))</f>
        <v/>
      </c>
      <c r="L323" s="31">
        <f>IF($A323="","",K323-_xll.BDP($A323&amp;" Corp","YAS_BOND_YLD","YAS_YLD_FLAG=15","SETTLE_DT",Company_desc!$A$1))</f>
        <v/>
      </c>
      <c r="M323" s="31">
        <f>IF($A323="","",K323-_xll.BDP($A323&amp;" Corp","YAS_BOND_YLD","YAS_YLD_FLAG=15","SETTLE_DT",Company_desc!$A$2))</f>
        <v/>
      </c>
      <c r="N323" s="79">
        <f>IF($A323="","",_xll.BDP($A323&amp;" Corp","YAS_OAS_SPRD"))</f>
        <v/>
      </c>
      <c r="O323" s="67">
        <f>IF($A323="","",_xll.BDP($A323&amp;" Corp","YAS_MOD_DUR"))</f>
        <v/>
      </c>
      <c r="P323" s="80">
        <f>IF($A323="","",IFERROR(INDEX(Sheet1!$P:$P,MATCH($A323,Sheet1!$A:$A,0)),""))</f>
        <v/>
      </c>
      <c r="Q323" s="75">
        <f>IF($A323="","",IFERROR(INDEX(Company_desc!$C:$C,MATCH($A323,Company_desc!$A:$A,0)),IFERROR(INDEX(Sheet1!$Q:$Q,MATCH($A323,Sheet1!$A:$A,0)),"")))</f>
        <v/>
      </c>
      <c r="R323" s="75">
        <f>IF($A323="","",_xll.BDP($A323&amp;" Corp","CRNCY"))</f>
        <v/>
      </c>
      <c r="S323" s="75">
        <f>IF($A323="","",IFERROR(INDEX(Sheet1!$S:$S,MATCH($A323,Sheet1!$A:$A,0)),""))</f>
        <v/>
      </c>
      <c r="T323" s="75">
        <f>IF($A323="","",IFERROR(INDEX(Sheet1!$T:$T,MATCH($A323,Sheet1!$A:$A,0)),_xll.BDP($A323&amp;" Corp","RTG_SP")))</f>
        <v/>
      </c>
      <c r="U323" s="75">
        <f>IF($A323="","",IFERROR(INDEX(Sheet1!$U:$U,MATCH($A323,Sheet1!$A:$A,0)),""))</f>
        <v/>
      </c>
      <c r="W323" s="81">
        <f>IF($A323="","",N323-_xll.BDP($A323&amp;" Corp","YAS_OAS_SPRD","SETTLE_DT",Company_desc!$A$1))</f>
        <v/>
      </c>
      <c r="X323" s="81">
        <f>IF($A323="","",N323-_xll.BDP($A323&amp;" Corp","YAS_OAS_SPRD","SETTLE_DT",Company_desc!$A$2))</f>
        <v/>
      </c>
      <c r="Y323" s="80">
        <f>IF($A323="","",N323-_xll.BDP($A323&amp;" Corp","YAS_OAS_SPRD","SETTLE_DT",Company_desc!$D$1))</f>
        <v/>
      </c>
      <c r="Z323" s="82">
        <f>IF($A323="","",K323-_xll.BDP($A323&amp;" Corp","YAS_BOND_YLD","YAS_YLD_FLAG=15","SETTLE_DT",Company_desc!$D$1))</f>
        <v/>
      </c>
      <c r="AA323" s="80">
        <f>IF($A323="","",_xll.BDP($A323&amp;" Corp","YAS_OAS_SPRD","SETTLE_DT",Company_desc!$D$1))</f>
        <v/>
      </c>
    </row>
    <row r="324">
      <c r="B324" s="75">
        <f>IF($A324="","",IFERROR(INDEX(Sheet1!$B:$B,MATCH($A324,Sheet1!$A:$A,0)),""))</f>
        <v/>
      </c>
      <c r="C324" s="75">
        <f>IF($A324="","",PROPER(_xll.BDP($A324&amp;" Corp","NAME")))</f>
        <v/>
      </c>
      <c r="D324" s="76">
        <f>IF($A324="","",_xll.BDP($A324&amp;" Corp","CPN"))</f>
        <v/>
      </c>
      <c r="E324" s="75">
        <f>IF($A324="","",_xll.BDP($A324&amp;" Corp","PAYMENT_RANK"))</f>
        <v/>
      </c>
      <c r="F324" s="100">
        <f>IF($A324="","",_xll.BDP($A324&amp;" Corp","MATURITY"))</f>
        <v/>
      </c>
      <c r="G324" s="75">
        <f>IF($A324="","",PROPER(_xll.BDP($A324&amp;" Corp","COUNTRY_FULL_NAME")))</f>
        <v/>
      </c>
      <c r="H324" s="75">
        <f>IF($A324="","",_xll.BDP($A324&amp;" Corp","INDUSTRY_SECTOR"))</f>
        <v/>
      </c>
      <c r="I324" s="101">
        <f>IF($A324="","",IFERROR(_xll.BDP($A324&amp;" Corp","MIN_PIECE")/1000,""))</f>
        <v/>
      </c>
      <c r="J324" s="31">
        <f>IF($A324="","",_xll.BDP($A324&amp;" Corp","PX_LAST"))</f>
        <v/>
      </c>
      <c r="K324" s="31">
        <f>IF($A324="","",_xll.BDP($A324&amp;" Corp","YAS_BOND_YLD","YAS_YLD_FLAG=15"))</f>
        <v/>
      </c>
      <c r="L324" s="31">
        <f>IF($A324="","",K324-_xll.BDP($A324&amp;" Corp","YAS_BOND_YLD","YAS_YLD_FLAG=15","SETTLE_DT",Company_desc!$A$1))</f>
        <v/>
      </c>
      <c r="M324" s="31">
        <f>IF($A324="","",K324-_xll.BDP($A324&amp;" Corp","YAS_BOND_YLD","YAS_YLD_FLAG=15","SETTLE_DT",Company_desc!$A$2))</f>
        <v/>
      </c>
      <c r="N324" s="79">
        <f>IF($A324="","",_xll.BDP($A324&amp;" Corp","YAS_OAS_SPRD"))</f>
        <v/>
      </c>
      <c r="O324" s="67">
        <f>IF($A324="","",_xll.BDP($A324&amp;" Corp","YAS_MOD_DUR"))</f>
        <v/>
      </c>
      <c r="P324" s="80">
        <f>IF($A324="","",IFERROR(INDEX(Sheet1!$P:$P,MATCH($A324,Sheet1!$A:$A,0)),""))</f>
        <v/>
      </c>
      <c r="Q324" s="75">
        <f>IF($A324="","",IFERROR(INDEX(Company_desc!$C:$C,MATCH($A324,Company_desc!$A:$A,0)),IFERROR(INDEX(Sheet1!$Q:$Q,MATCH($A324,Sheet1!$A:$A,0)),"")))</f>
        <v/>
      </c>
      <c r="R324" s="75">
        <f>IF($A324="","",_xll.BDP($A324&amp;" Corp","CRNCY"))</f>
        <v/>
      </c>
      <c r="S324" s="75">
        <f>IF($A324="","",IFERROR(INDEX(Sheet1!$S:$S,MATCH($A324,Sheet1!$A:$A,0)),""))</f>
        <v/>
      </c>
      <c r="T324" s="75">
        <f>IF($A324="","",IFERROR(INDEX(Sheet1!$T:$T,MATCH($A324,Sheet1!$A:$A,0)),_xll.BDP($A324&amp;" Corp","RTG_SP")))</f>
        <v/>
      </c>
      <c r="U324" s="75">
        <f>IF($A324="","",IFERROR(INDEX(Sheet1!$U:$U,MATCH($A324,Sheet1!$A:$A,0)),""))</f>
        <v/>
      </c>
      <c r="W324" s="81">
        <f>IF($A324="","",N324-_xll.BDP($A324&amp;" Corp","YAS_OAS_SPRD","SETTLE_DT",Company_desc!$A$1))</f>
        <v/>
      </c>
      <c r="X324" s="81">
        <f>IF($A324="","",N324-_xll.BDP($A324&amp;" Corp","YAS_OAS_SPRD","SETTLE_DT",Company_desc!$A$2))</f>
        <v/>
      </c>
      <c r="Y324" s="80">
        <f>IF($A324="","",N324-_xll.BDP($A324&amp;" Corp","YAS_OAS_SPRD","SETTLE_DT",Company_desc!$D$1))</f>
        <v/>
      </c>
      <c r="Z324" s="82">
        <f>IF($A324="","",K324-_xll.BDP($A324&amp;" Corp","YAS_BOND_YLD","YAS_YLD_FLAG=15","SETTLE_DT",Company_desc!$D$1))</f>
        <v/>
      </c>
      <c r="AA324" s="80">
        <f>IF($A324="","",_xll.BDP($A324&amp;" Corp","YAS_OAS_SPRD","SETTLE_DT",Company_desc!$D$1))</f>
        <v/>
      </c>
    </row>
    <row r="325">
      <c r="B325" s="75">
        <f>IF($A325="","",IFERROR(INDEX(Sheet1!$B:$B,MATCH($A325,Sheet1!$A:$A,0)),""))</f>
        <v/>
      </c>
      <c r="C325" s="75">
        <f>IF($A325="","",PROPER(_xll.BDP($A325&amp;" Corp","NAME")))</f>
        <v/>
      </c>
      <c r="D325" s="76">
        <f>IF($A325="","",_xll.BDP($A325&amp;" Corp","CPN"))</f>
        <v/>
      </c>
      <c r="E325" s="75">
        <f>IF($A325="","",_xll.BDP($A325&amp;" Corp","PAYMENT_RANK"))</f>
        <v/>
      </c>
      <c r="F325" s="100">
        <f>IF($A325="","",_xll.BDP($A325&amp;" Corp","MATURITY"))</f>
        <v/>
      </c>
      <c r="G325" s="75">
        <f>IF($A325="","",PROPER(_xll.BDP($A325&amp;" Corp","COUNTRY_FULL_NAME")))</f>
        <v/>
      </c>
      <c r="H325" s="75">
        <f>IF($A325="","",_xll.BDP($A325&amp;" Corp","INDUSTRY_SECTOR"))</f>
        <v/>
      </c>
      <c r="I325" s="101">
        <f>IF($A325="","",IFERROR(_xll.BDP($A325&amp;" Corp","MIN_PIECE")/1000,""))</f>
        <v/>
      </c>
      <c r="J325" s="31">
        <f>IF($A325="","",_xll.BDP($A325&amp;" Corp","PX_LAST"))</f>
        <v/>
      </c>
      <c r="K325" s="31">
        <f>IF($A325="","",_xll.BDP($A325&amp;" Corp","YAS_BOND_YLD","YAS_YLD_FLAG=15"))</f>
        <v/>
      </c>
      <c r="L325" s="31">
        <f>IF($A325="","",K325-_xll.BDP($A325&amp;" Corp","YAS_BOND_YLD","YAS_YLD_FLAG=15","SETTLE_DT",Company_desc!$A$1))</f>
        <v/>
      </c>
      <c r="M325" s="31">
        <f>IF($A325="","",K325-_xll.BDP($A325&amp;" Corp","YAS_BOND_YLD","YAS_YLD_FLAG=15","SETTLE_DT",Company_desc!$A$2))</f>
        <v/>
      </c>
      <c r="N325" s="79">
        <f>IF($A325="","",_xll.BDP($A325&amp;" Corp","YAS_OAS_SPRD"))</f>
        <v/>
      </c>
      <c r="O325" s="67">
        <f>IF($A325="","",_xll.BDP($A325&amp;" Corp","YAS_MOD_DUR"))</f>
        <v/>
      </c>
      <c r="P325" s="80">
        <f>IF($A325="","",IFERROR(INDEX(Sheet1!$P:$P,MATCH($A325,Sheet1!$A:$A,0)),""))</f>
        <v/>
      </c>
      <c r="Q325" s="75">
        <f>IF($A325="","",IFERROR(INDEX(Company_desc!$C:$C,MATCH($A325,Company_desc!$A:$A,0)),IFERROR(INDEX(Sheet1!$Q:$Q,MATCH($A325,Sheet1!$A:$A,0)),"")))</f>
        <v/>
      </c>
      <c r="R325" s="75">
        <f>IF($A325="","",_xll.BDP($A325&amp;" Corp","CRNCY"))</f>
        <v/>
      </c>
      <c r="S325" s="75">
        <f>IF($A325="","",IFERROR(INDEX(Sheet1!$S:$S,MATCH($A325,Sheet1!$A:$A,0)),""))</f>
        <v/>
      </c>
      <c r="T325" s="75">
        <f>IF($A325="","",IFERROR(INDEX(Sheet1!$T:$T,MATCH($A325,Sheet1!$A:$A,0)),_xll.BDP($A325&amp;" Corp","RTG_SP")))</f>
        <v/>
      </c>
      <c r="U325" s="75">
        <f>IF($A325="","",IFERROR(INDEX(Sheet1!$U:$U,MATCH($A325,Sheet1!$A:$A,0)),""))</f>
        <v/>
      </c>
      <c r="W325" s="81">
        <f>IF($A325="","",N325-_xll.BDP($A325&amp;" Corp","YAS_OAS_SPRD","SETTLE_DT",Company_desc!$A$1))</f>
        <v/>
      </c>
      <c r="X325" s="81">
        <f>IF($A325="","",N325-_xll.BDP($A325&amp;" Corp","YAS_OAS_SPRD","SETTLE_DT",Company_desc!$A$2))</f>
        <v/>
      </c>
      <c r="Y325" s="80">
        <f>IF($A325="","",N325-_xll.BDP($A325&amp;" Corp","YAS_OAS_SPRD","SETTLE_DT",Company_desc!$D$1))</f>
        <v/>
      </c>
      <c r="Z325" s="82">
        <f>IF($A325="","",K325-_xll.BDP($A325&amp;" Corp","YAS_BOND_YLD","YAS_YLD_FLAG=15","SETTLE_DT",Company_desc!$D$1))</f>
        <v/>
      </c>
      <c r="AA325" s="80">
        <f>IF($A325="","",_xll.BDP($A325&amp;" Corp","YAS_OAS_SPRD","SETTLE_DT",Company_desc!$D$1))</f>
        <v/>
      </c>
    </row>
    <row r="326">
      <c r="B326" s="75">
        <f>IF($A326="","",IFERROR(INDEX(Sheet1!$B:$B,MATCH($A326,Sheet1!$A:$A,0)),""))</f>
        <v/>
      </c>
      <c r="C326" s="75">
        <f>IF($A326="","",PROPER(_xll.BDP($A326&amp;" Corp","NAME")))</f>
        <v/>
      </c>
      <c r="D326" s="76">
        <f>IF($A326="","",_xll.BDP($A326&amp;" Corp","CPN"))</f>
        <v/>
      </c>
      <c r="E326" s="75">
        <f>IF($A326="","",_xll.BDP($A326&amp;" Corp","PAYMENT_RANK"))</f>
        <v/>
      </c>
      <c r="F326" s="100">
        <f>IF($A326="","",_xll.BDP($A326&amp;" Corp","MATURITY"))</f>
        <v/>
      </c>
      <c r="G326" s="75">
        <f>IF($A326="","",PROPER(_xll.BDP($A326&amp;" Corp","COUNTRY_FULL_NAME")))</f>
        <v/>
      </c>
      <c r="H326" s="75">
        <f>IF($A326="","",_xll.BDP($A326&amp;" Corp","INDUSTRY_SECTOR"))</f>
        <v/>
      </c>
      <c r="I326" s="101">
        <f>IF($A326="","",IFERROR(_xll.BDP($A326&amp;" Corp","MIN_PIECE")/1000,""))</f>
        <v/>
      </c>
      <c r="J326" s="31">
        <f>IF($A326="","",_xll.BDP($A326&amp;" Corp","PX_LAST"))</f>
        <v/>
      </c>
      <c r="K326" s="31">
        <f>IF($A326="","",_xll.BDP($A326&amp;" Corp","YAS_BOND_YLD","YAS_YLD_FLAG=15"))</f>
        <v/>
      </c>
      <c r="L326" s="31">
        <f>IF($A326="","",K326-_xll.BDP($A326&amp;" Corp","YAS_BOND_YLD","YAS_YLD_FLAG=15","SETTLE_DT",Company_desc!$A$1))</f>
        <v/>
      </c>
      <c r="M326" s="31">
        <f>IF($A326="","",K326-_xll.BDP($A326&amp;" Corp","YAS_BOND_YLD","YAS_YLD_FLAG=15","SETTLE_DT",Company_desc!$A$2))</f>
        <v/>
      </c>
      <c r="N326" s="79">
        <f>IF($A326="","",_xll.BDP($A326&amp;" Corp","YAS_OAS_SPRD"))</f>
        <v/>
      </c>
      <c r="O326" s="67">
        <f>IF($A326="","",_xll.BDP($A326&amp;" Corp","YAS_MOD_DUR"))</f>
        <v/>
      </c>
      <c r="P326" s="80">
        <f>IF($A326="","",IFERROR(INDEX(Sheet1!$P:$P,MATCH($A326,Sheet1!$A:$A,0)),""))</f>
        <v/>
      </c>
      <c r="Q326" s="75">
        <f>IF($A326="","",IFERROR(INDEX(Company_desc!$C:$C,MATCH($A326,Company_desc!$A:$A,0)),IFERROR(INDEX(Sheet1!$Q:$Q,MATCH($A326,Sheet1!$A:$A,0)),"")))</f>
        <v/>
      </c>
      <c r="R326" s="75">
        <f>IF($A326="","",_xll.BDP($A326&amp;" Corp","CRNCY"))</f>
        <v/>
      </c>
      <c r="S326" s="75">
        <f>IF($A326="","",IFERROR(INDEX(Sheet1!$S:$S,MATCH($A326,Sheet1!$A:$A,0)),""))</f>
        <v/>
      </c>
      <c r="T326" s="75">
        <f>IF($A326="","",IFERROR(INDEX(Sheet1!$T:$T,MATCH($A326,Sheet1!$A:$A,0)),_xll.BDP($A326&amp;" Corp","RTG_SP")))</f>
        <v/>
      </c>
      <c r="U326" s="75">
        <f>IF($A326="","",IFERROR(INDEX(Sheet1!$U:$U,MATCH($A326,Sheet1!$A:$A,0)),""))</f>
        <v/>
      </c>
      <c r="W326" s="81">
        <f>IF($A326="","",N326-_xll.BDP($A326&amp;" Corp","YAS_OAS_SPRD","SETTLE_DT",Company_desc!$A$1))</f>
        <v/>
      </c>
      <c r="X326" s="81">
        <f>IF($A326="","",N326-_xll.BDP($A326&amp;" Corp","YAS_OAS_SPRD","SETTLE_DT",Company_desc!$A$2))</f>
        <v/>
      </c>
      <c r="Y326" s="80">
        <f>IF($A326="","",N326-_xll.BDP($A326&amp;" Corp","YAS_OAS_SPRD","SETTLE_DT",Company_desc!$D$1))</f>
        <v/>
      </c>
      <c r="Z326" s="82">
        <f>IF($A326="","",K326-_xll.BDP($A326&amp;" Corp","YAS_BOND_YLD","YAS_YLD_FLAG=15","SETTLE_DT",Company_desc!$D$1))</f>
        <v/>
      </c>
      <c r="AA326" s="80">
        <f>IF($A326="","",_xll.BDP($A326&amp;" Corp","YAS_OAS_SPRD","SETTLE_DT",Company_desc!$D$1))</f>
        <v/>
      </c>
    </row>
    <row r="327">
      <c r="B327" s="75">
        <f>IF($A327="","",IFERROR(INDEX(Sheet1!$B:$B,MATCH($A327,Sheet1!$A:$A,0)),""))</f>
        <v/>
      </c>
      <c r="C327" s="75">
        <f>IF($A327="","",PROPER(_xll.BDP($A327&amp;" Corp","NAME")))</f>
        <v/>
      </c>
      <c r="D327" s="76">
        <f>IF($A327="","",_xll.BDP($A327&amp;" Corp","CPN"))</f>
        <v/>
      </c>
      <c r="E327" s="75">
        <f>IF($A327="","",_xll.BDP($A327&amp;" Corp","PAYMENT_RANK"))</f>
        <v/>
      </c>
      <c r="F327" s="100">
        <f>IF($A327="","",_xll.BDP($A327&amp;" Corp","MATURITY"))</f>
        <v/>
      </c>
      <c r="G327" s="75">
        <f>IF($A327="","",PROPER(_xll.BDP($A327&amp;" Corp","COUNTRY_FULL_NAME")))</f>
        <v/>
      </c>
      <c r="H327" s="75">
        <f>IF($A327="","",_xll.BDP($A327&amp;" Corp","INDUSTRY_SECTOR"))</f>
        <v/>
      </c>
      <c r="I327" s="101">
        <f>IF($A327="","",IFERROR(_xll.BDP($A327&amp;" Corp","MIN_PIECE")/1000,""))</f>
        <v/>
      </c>
      <c r="J327" s="31">
        <f>IF($A327="","",_xll.BDP($A327&amp;" Corp","PX_LAST"))</f>
        <v/>
      </c>
      <c r="K327" s="31">
        <f>IF($A327="","",_xll.BDP($A327&amp;" Corp","YAS_BOND_YLD","YAS_YLD_FLAG=15"))</f>
        <v/>
      </c>
      <c r="L327" s="31">
        <f>IF($A327="","",K327-_xll.BDP($A327&amp;" Corp","YAS_BOND_YLD","YAS_YLD_FLAG=15","SETTLE_DT",Company_desc!$A$1))</f>
        <v/>
      </c>
      <c r="M327" s="31">
        <f>IF($A327="","",K327-_xll.BDP($A327&amp;" Corp","YAS_BOND_YLD","YAS_YLD_FLAG=15","SETTLE_DT",Company_desc!$A$2))</f>
        <v/>
      </c>
      <c r="N327" s="79">
        <f>IF($A327="","",_xll.BDP($A327&amp;" Corp","YAS_OAS_SPRD"))</f>
        <v/>
      </c>
      <c r="O327" s="67">
        <f>IF($A327="","",_xll.BDP($A327&amp;" Corp","YAS_MOD_DUR"))</f>
        <v/>
      </c>
      <c r="P327" s="80">
        <f>IF($A327="","",IFERROR(INDEX(Sheet1!$P:$P,MATCH($A327,Sheet1!$A:$A,0)),""))</f>
        <v/>
      </c>
      <c r="Q327" s="75">
        <f>IF($A327="","",IFERROR(INDEX(Company_desc!$C:$C,MATCH($A327,Company_desc!$A:$A,0)),IFERROR(INDEX(Sheet1!$Q:$Q,MATCH($A327,Sheet1!$A:$A,0)),"")))</f>
        <v/>
      </c>
      <c r="R327" s="75">
        <f>IF($A327="","",_xll.BDP($A327&amp;" Corp","CRNCY"))</f>
        <v/>
      </c>
      <c r="S327" s="75">
        <f>IF($A327="","",IFERROR(INDEX(Sheet1!$S:$S,MATCH($A327,Sheet1!$A:$A,0)),""))</f>
        <v/>
      </c>
      <c r="T327" s="75">
        <f>IF($A327="","",IFERROR(INDEX(Sheet1!$T:$T,MATCH($A327,Sheet1!$A:$A,0)),_xll.BDP($A327&amp;" Corp","RTG_SP")))</f>
        <v/>
      </c>
      <c r="U327" s="75">
        <f>IF($A327="","",IFERROR(INDEX(Sheet1!$U:$U,MATCH($A327,Sheet1!$A:$A,0)),""))</f>
        <v/>
      </c>
      <c r="W327" s="81">
        <f>IF($A327="","",N327-_xll.BDP($A327&amp;" Corp","YAS_OAS_SPRD","SETTLE_DT",Company_desc!$A$1))</f>
        <v/>
      </c>
      <c r="X327" s="81">
        <f>IF($A327="","",N327-_xll.BDP($A327&amp;" Corp","YAS_OAS_SPRD","SETTLE_DT",Company_desc!$A$2))</f>
        <v/>
      </c>
      <c r="Y327" s="80">
        <f>IF($A327="","",N327-_xll.BDP($A327&amp;" Corp","YAS_OAS_SPRD","SETTLE_DT",Company_desc!$D$1))</f>
        <v/>
      </c>
      <c r="Z327" s="82">
        <f>IF($A327="","",K327-_xll.BDP($A327&amp;" Corp","YAS_BOND_YLD","YAS_YLD_FLAG=15","SETTLE_DT",Company_desc!$D$1))</f>
        <v/>
      </c>
      <c r="AA327" s="80">
        <f>IF($A327="","",_xll.BDP($A327&amp;" Corp","YAS_OAS_SPRD","SETTLE_DT",Company_desc!$D$1))</f>
        <v/>
      </c>
    </row>
    <row r="328">
      <c r="B328" s="75">
        <f>IF($A328="","",IFERROR(INDEX(Sheet1!$B:$B,MATCH($A328,Sheet1!$A:$A,0)),""))</f>
        <v/>
      </c>
      <c r="C328" s="75">
        <f>IF($A328="","",PROPER(_xll.BDP($A328&amp;" Corp","NAME")))</f>
        <v/>
      </c>
      <c r="D328" s="76">
        <f>IF($A328="","",_xll.BDP($A328&amp;" Corp","CPN"))</f>
        <v/>
      </c>
      <c r="E328" s="75">
        <f>IF($A328="","",_xll.BDP($A328&amp;" Corp","PAYMENT_RANK"))</f>
        <v/>
      </c>
      <c r="F328" s="100">
        <f>IF($A328="","",_xll.BDP($A328&amp;" Corp","MATURITY"))</f>
        <v/>
      </c>
      <c r="G328" s="75">
        <f>IF($A328="","",PROPER(_xll.BDP($A328&amp;" Corp","COUNTRY_FULL_NAME")))</f>
        <v/>
      </c>
      <c r="H328" s="75">
        <f>IF($A328="","",_xll.BDP($A328&amp;" Corp","INDUSTRY_SECTOR"))</f>
        <v/>
      </c>
      <c r="I328" s="101">
        <f>IF($A328="","",IFERROR(_xll.BDP($A328&amp;" Corp","MIN_PIECE")/1000,""))</f>
        <v/>
      </c>
      <c r="J328" s="31">
        <f>IF($A328="","",_xll.BDP($A328&amp;" Corp","PX_LAST"))</f>
        <v/>
      </c>
      <c r="K328" s="31">
        <f>IF($A328="","",_xll.BDP($A328&amp;" Corp","YAS_BOND_YLD","YAS_YLD_FLAG=15"))</f>
        <v/>
      </c>
      <c r="L328" s="31">
        <f>IF($A328="","",K328-_xll.BDP($A328&amp;" Corp","YAS_BOND_YLD","YAS_YLD_FLAG=15","SETTLE_DT",Company_desc!$A$1))</f>
        <v/>
      </c>
      <c r="M328" s="31">
        <f>IF($A328="","",K328-_xll.BDP($A328&amp;" Corp","YAS_BOND_YLD","YAS_YLD_FLAG=15","SETTLE_DT",Company_desc!$A$2))</f>
        <v/>
      </c>
      <c r="N328" s="79">
        <f>IF($A328="","",_xll.BDP($A328&amp;" Corp","YAS_OAS_SPRD"))</f>
        <v/>
      </c>
      <c r="O328" s="67">
        <f>IF($A328="","",_xll.BDP($A328&amp;" Corp","YAS_MOD_DUR"))</f>
        <v/>
      </c>
      <c r="P328" s="80">
        <f>IF($A328="","",IFERROR(INDEX(Sheet1!$P:$P,MATCH($A328,Sheet1!$A:$A,0)),""))</f>
        <v/>
      </c>
      <c r="Q328" s="75">
        <f>IF($A328="","",IFERROR(INDEX(Company_desc!$C:$C,MATCH($A328,Company_desc!$A:$A,0)),IFERROR(INDEX(Sheet1!$Q:$Q,MATCH($A328,Sheet1!$A:$A,0)),"")))</f>
        <v/>
      </c>
      <c r="R328" s="75">
        <f>IF($A328="","",_xll.BDP($A328&amp;" Corp","CRNCY"))</f>
        <v/>
      </c>
      <c r="S328" s="75">
        <f>IF($A328="","",IFERROR(INDEX(Sheet1!$S:$S,MATCH($A328,Sheet1!$A:$A,0)),""))</f>
        <v/>
      </c>
      <c r="T328" s="75">
        <f>IF($A328="","",IFERROR(INDEX(Sheet1!$T:$T,MATCH($A328,Sheet1!$A:$A,0)),_xll.BDP($A328&amp;" Corp","RTG_SP")))</f>
        <v/>
      </c>
      <c r="U328" s="75">
        <f>IF($A328="","",IFERROR(INDEX(Sheet1!$U:$U,MATCH($A328,Sheet1!$A:$A,0)),""))</f>
        <v/>
      </c>
      <c r="W328" s="81">
        <f>IF($A328="","",N328-_xll.BDP($A328&amp;" Corp","YAS_OAS_SPRD","SETTLE_DT",Company_desc!$A$1))</f>
        <v/>
      </c>
      <c r="X328" s="81">
        <f>IF($A328="","",N328-_xll.BDP($A328&amp;" Corp","YAS_OAS_SPRD","SETTLE_DT",Company_desc!$A$2))</f>
        <v/>
      </c>
      <c r="Y328" s="80">
        <f>IF($A328="","",N328-_xll.BDP($A328&amp;" Corp","YAS_OAS_SPRD","SETTLE_DT",Company_desc!$D$1))</f>
        <v/>
      </c>
      <c r="Z328" s="82">
        <f>IF($A328="","",K328-_xll.BDP($A328&amp;" Corp","YAS_BOND_YLD","YAS_YLD_FLAG=15","SETTLE_DT",Company_desc!$D$1))</f>
        <v/>
      </c>
      <c r="AA328" s="80">
        <f>IF($A328="","",_xll.BDP($A328&amp;" Corp","YAS_OAS_SPRD","SETTLE_DT",Company_desc!$D$1))</f>
        <v/>
      </c>
    </row>
    <row r="329">
      <c r="B329" s="75">
        <f>IF($A329="","",IFERROR(INDEX(Sheet1!$B:$B,MATCH($A329,Sheet1!$A:$A,0)),""))</f>
        <v/>
      </c>
      <c r="C329" s="75">
        <f>IF($A329="","",PROPER(_xll.BDP($A329&amp;" Corp","NAME")))</f>
        <v/>
      </c>
      <c r="D329" s="76">
        <f>IF($A329="","",_xll.BDP($A329&amp;" Corp","CPN"))</f>
        <v/>
      </c>
      <c r="E329" s="75">
        <f>IF($A329="","",_xll.BDP($A329&amp;" Corp","PAYMENT_RANK"))</f>
        <v/>
      </c>
      <c r="F329" s="100">
        <f>IF($A329="","",_xll.BDP($A329&amp;" Corp","MATURITY"))</f>
        <v/>
      </c>
      <c r="G329" s="75">
        <f>IF($A329="","",PROPER(_xll.BDP($A329&amp;" Corp","COUNTRY_FULL_NAME")))</f>
        <v/>
      </c>
      <c r="H329" s="75">
        <f>IF($A329="","",_xll.BDP($A329&amp;" Corp","INDUSTRY_SECTOR"))</f>
        <v/>
      </c>
      <c r="I329" s="101">
        <f>IF($A329="","",IFERROR(_xll.BDP($A329&amp;" Corp","MIN_PIECE")/1000,""))</f>
        <v/>
      </c>
      <c r="J329" s="31">
        <f>IF($A329="","",_xll.BDP($A329&amp;" Corp","PX_LAST"))</f>
        <v/>
      </c>
      <c r="K329" s="31">
        <f>IF($A329="","",_xll.BDP($A329&amp;" Corp","YAS_BOND_YLD","YAS_YLD_FLAG=15"))</f>
        <v/>
      </c>
      <c r="L329" s="31">
        <f>IF($A329="","",K329-_xll.BDP($A329&amp;" Corp","YAS_BOND_YLD","YAS_YLD_FLAG=15","SETTLE_DT",Company_desc!$A$1))</f>
        <v/>
      </c>
      <c r="M329" s="31">
        <f>IF($A329="","",K329-_xll.BDP($A329&amp;" Corp","YAS_BOND_YLD","YAS_YLD_FLAG=15","SETTLE_DT",Company_desc!$A$2))</f>
        <v/>
      </c>
      <c r="N329" s="79">
        <f>IF($A329="","",_xll.BDP($A329&amp;" Corp","YAS_OAS_SPRD"))</f>
        <v/>
      </c>
      <c r="O329" s="67">
        <f>IF($A329="","",_xll.BDP($A329&amp;" Corp","YAS_MOD_DUR"))</f>
        <v/>
      </c>
      <c r="P329" s="80">
        <f>IF($A329="","",IFERROR(INDEX(Sheet1!$P:$P,MATCH($A329,Sheet1!$A:$A,0)),""))</f>
        <v/>
      </c>
      <c r="Q329" s="75">
        <f>IF($A329="","",IFERROR(INDEX(Company_desc!$C:$C,MATCH($A329,Company_desc!$A:$A,0)),IFERROR(INDEX(Sheet1!$Q:$Q,MATCH($A329,Sheet1!$A:$A,0)),"")))</f>
        <v/>
      </c>
      <c r="R329" s="75">
        <f>IF($A329="","",_xll.BDP($A329&amp;" Corp","CRNCY"))</f>
        <v/>
      </c>
      <c r="S329" s="75">
        <f>IF($A329="","",IFERROR(INDEX(Sheet1!$S:$S,MATCH($A329,Sheet1!$A:$A,0)),""))</f>
        <v/>
      </c>
      <c r="T329" s="75">
        <f>IF($A329="","",IFERROR(INDEX(Sheet1!$T:$T,MATCH($A329,Sheet1!$A:$A,0)),_xll.BDP($A329&amp;" Corp","RTG_SP")))</f>
        <v/>
      </c>
      <c r="U329" s="75">
        <f>IF($A329="","",IFERROR(INDEX(Sheet1!$U:$U,MATCH($A329,Sheet1!$A:$A,0)),""))</f>
        <v/>
      </c>
      <c r="W329" s="81">
        <f>IF($A329="","",N329-_xll.BDP($A329&amp;" Corp","YAS_OAS_SPRD","SETTLE_DT",Company_desc!$A$1))</f>
        <v/>
      </c>
      <c r="X329" s="81">
        <f>IF($A329="","",N329-_xll.BDP($A329&amp;" Corp","YAS_OAS_SPRD","SETTLE_DT",Company_desc!$A$2))</f>
        <v/>
      </c>
      <c r="Y329" s="80">
        <f>IF($A329="","",N329-_xll.BDP($A329&amp;" Corp","YAS_OAS_SPRD","SETTLE_DT",Company_desc!$D$1))</f>
        <v/>
      </c>
      <c r="Z329" s="82">
        <f>IF($A329="","",K329-_xll.BDP($A329&amp;" Corp","YAS_BOND_YLD","YAS_YLD_FLAG=15","SETTLE_DT",Company_desc!$D$1))</f>
        <v/>
      </c>
      <c r="AA329" s="80">
        <f>IF($A329="","",_xll.BDP($A329&amp;" Corp","YAS_OAS_SPRD","SETTLE_DT",Company_desc!$D$1))</f>
        <v/>
      </c>
    </row>
    <row r="330">
      <c r="B330" s="75">
        <f>IF($A330="","",IFERROR(INDEX(Sheet1!$B:$B,MATCH($A330,Sheet1!$A:$A,0)),""))</f>
        <v/>
      </c>
      <c r="C330" s="75">
        <f>IF($A330="","",PROPER(_xll.BDP($A330&amp;" Corp","NAME")))</f>
        <v/>
      </c>
      <c r="D330" s="76">
        <f>IF($A330="","",_xll.BDP($A330&amp;" Corp","CPN"))</f>
        <v/>
      </c>
      <c r="E330" s="75">
        <f>IF($A330="","",_xll.BDP($A330&amp;" Corp","PAYMENT_RANK"))</f>
        <v/>
      </c>
      <c r="F330" s="100">
        <f>IF($A330="","",_xll.BDP($A330&amp;" Corp","MATURITY"))</f>
        <v/>
      </c>
      <c r="G330" s="75">
        <f>IF($A330="","",PROPER(_xll.BDP($A330&amp;" Corp","COUNTRY_FULL_NAME")))</f>
        <v/>
      </c>
      <c r="H330" s="75">
        <f>IF($A330="","",_xll.BDP($A330&amp;" Corp","INDUSTRY_SECTOR"))</f>
        <v/>
      </c>
      <c r="I330" s="101">
        <f>IF($A330="","",IFERROR(_xll.BDP($A330&amp;" Corp","MIN_PIECE")/1000,""))</f>
        <v/>
      </c>
      <c r="J330" s="31">
        <f>IF($A330="","",_xll.BDP($A330&amp;" Corp","PX_LAST"))</f>
        <v/>
      </c>
      <c r="K330" s="31">
        <f>IF($A330="","",_xll.BDP($A330&amp;" Corp","YAS_BOND_YLD","YAS_YLD_FLAG=15"))</f>
        <v/>
      </c>
      <c r="L330" s="31">
        <f>IF($A330="","",K330-_xll.BDP($A330&amp;" Corp","YAS_BOND_YLD","YAS_YLD_FLAG=15","SETTLE_DT",Company_desc!$A$1))</f>
        <v/>
      </c>
      <c r="M330" s="31">
        <f>IF($A330="","",K330-_xll.BDP($A330&amp;" Corp","YAS_BOND_YLD","YAS_YLD_FLAG=15","SETTLE_DT",Company_desc!$A$2))</f>
        <v/>
      </c>
      <c r="N330" s="79">
        <f>IF($A330="","",_xll.BDP($A330&amp;" Corp","YAS_OAS_SPRD"))</f>
        <v/>
      </c>
      <c r="O330" s="67">
        <f>IF($A330="","",_xll.BDP($A330&amp;" Corp","YAS_MOD_DUR"))</f>
        <v/>
      </c>
      <c r="P330" s="80">
        <f>IF($A330="","",IFERROR(INDEX(Sheet1!$P:$P,MATCH($A330,Sheet1!$A:$A,0)),""))</f>
        <v/>
      </c>
      <c r="Q330" s="75">
        <f>IF($A330="","",IFERROR(INDEX(Company_desc!$C:$C,MATCH($A330,Company_desc!$A:$A,0)),IFERROR(INDEX(Sheet1!$Q:$Q,MATCH($A330,Sheet1!$A:$A,0)),"")))</f>
        <v/>
      </c>
      <c r="R330" s="75">
        <f>IF($A330="","",_xll.BDP($A330&amp;" Corp","CRNCY"))</f>
        <v/>
      </c>
      <c r="S330" s="75">
        <f>IF($A330="","",IFERROR(INDEX(Sheet1!$S:$S,MATCH($A330,Sheet1!$A:$A,0)),""))</f>
        <v/>
      </c>
      <c r="T330" s="75">
        <f>IF($A330="","",IFERROR(INDEX(Sheet1!$T:$T,MATCH($A330,Sheet1!$A:$A,0)),_xll.BDP($A330&amp;" Corp","RTG_SP")))</f>
        <v/>
      </c>
      <c r="U330" s="75">
        <f>IF($A330="","",IFERROR(INDEX(Sheet1!$U:$U,MATCH($A330,Sheet1!$A:$A,0)),""))</f>
        <v/>
      </c>
      <c r="W330" s="81">
        <f>IF($A330="","",N330-_xll.BDP($A330&amp;" Corp","YAS_OAS_SPRD","SETTLE_DT",Company_desc!$A$1))</f>
        <v/>
      </c>
      <c r="X330" s="81">
        <f>IF($A330="","",N330-_xll.BDP($A330&amp;" Corp","YAS_OAS_SPRD","SETTLE_DT",Company_desc!$A$2))</f>
        <v/>
      </c>
      <c r="Y330" s="80">
        <f>IF($A330="","",N330-_xll.BDP($A330&amp;" Corp","YAS_OAS_SPRD","SETTLE_DT",Company_desc!$D$1))</f>
        <v/>
      </c>
      <c r="Z330" s="82">
        <f>IF($A330="","",K330-_xll.BDP($A330&amp;" Corp","YAS_BOND_YLD","YAS_YLD_FLAG=15","SETTLE_DT",Company_desc!$D$1))</f>
        <v/>
      </c>
      <c r="AA330" s="80">
        <f>IF($A330="","",_xll.BDP($A330&amp;" Corp","YAS_OAS_SPRD","SETTLE_DT",Company_desc!$D$1))</f>
        <v/>
      </c>
    </row>
    <row r="331">
      <c r="B331" s="75">
        <f>IF($A331="","",IFERROR(INDEX(Sheet1!$B:$B,MATCH($A331,Sheet1!$A:$A,0)),""))</f>
        <v/>
      </c>
      <c r="C331" s="75">
        <f>IF($A331="","",PROPER(_xll.BDP($A331&amp;" Corp","NAME")))</f>
        <v/>
      </c>
      <c r="D331" s="76">
        <f>IF($A331="","",_xll.BDP($A331&amp;" Corp","CPN"))</f>
        <v/>
      </c>
      <c r="E331" s="75">
        <f>IF($A331="","",_xll.BDP($A331&amp;" Corp","PAYMENT_RANK"))</f>
        <v/>
      </c>
      <c r="F331" s="100">
        <f>IF($A331="","",_xll.BDP($A331&amp;" Corp","MATURITY"))</f>
        <v/>
      </c>
      <c r="G331" s="75">
        <f>IF($A331="","",PROPER(_xll.BDP($A331&amp;" Corp","COUNTRY_FULL_NAME")))</f>
        <v/>
      </c>
      <c r="H331" s="75">
        <f>IF($A331="","",_xll.BDP($A331&amp;" Corp","INDUSTRY_SECTOR"))</f>
        <v/>
      </c>
      <c r="I331" s="101">
        <f>IF($A331="","",IFERROR(_xll.BDP($A331&amp;" Corp","MIN_PIECE")/1000,""))</f>
        <v/>
      </c>
      <c r="J331" s="31">
        <f>IF($A331="","",_xll.BDP($A331&amp;" Corp","PX_LAST"))</f>
        <v/>
      </c>
      <c r="K331" s="31">
        <f>IF($A331="","",_xll.BDP($A331&amp;" Corp","YAS_BOND_YLD","YAS_YLD_FLAG=15"))</f>
        <v/>
      </c>
      <c r="L331" s="31">
        <f>IF($A331="","",K331-_xll.BDP($A331&amp;" Corp","YAS_BOND_YLD","YAS_YLD_FLAG=15","SETTLE_DT",Company_desc!$A$1))</f>
        <v/>
      </c>
      <c r="M331" s="31">
        <f>IF($A331="","",K331-_xll.BDP($A331&amp;" Corp","YAS_BOND_YLD","YAS_YLD_FLAG=15","SETTLE_DT",Company_desc!$A$2))</f>
        <v/>
      </c>
      <c r="N331" s="79">
        <f>IF($A331="","",_xll.BDP($A331&amp;" Corp","YAS_OAS_SPRD"))</f>
        <v/>
      </c>
      <c r="O331" s="67">
        <f>IF($A331="","",_xll.BDP($A331&amp;" Corp","YAS_MOD_DUR"))</f>
        <v/>
      </c>
      <c r="P331" s="80">
        <f>IF($A331="","",IFERROR(INDEX(Sheet1!$P:$P,MATCH($A331,Sheet1!$A:$A,0)),""))</f>
        <v/>
      </c>
      <c r="Q331" s="75">
        <f>IF($A331="","",IFERROR(INDEX(Company_desc!$C:$C,MATCH($A331,Company_desc!$A:$A,0)),IFERROR(INDEX(Sheet1!$Q:$Q,MATCH($A331,Sheet1!$A:$A,0)),"")))</f>
        <v/>
      </c>
      <c r="R331" s="75">
        <f>IF($A331="","",_xll.BDP($A331&amp;" Corp","CRNCY"))</f>
        <v/>
      </c>
      <c r="S331" s="75">
        <f>IF($A331="","",IFERROR(INDEX(Sheet1!$S:$S,MATCH($A331,Sheet1!$A:$A,0)),""))</f>
        <v/>
      </c>
      <c r="T331" s="75">
        <f>IF($A331="","",IFERROR(INDEX(Sheet1!$T:$T,MATCH($A331,Sheet1!$A:$A,0)),_xll.BDP($A331&amp;" Corp","RTG_SP")))</f>
        <v/>
      </c>
      <c r="U331" s="75">
        <f>IF($A331="","",IFERROR(INDEX(Sheet1!$U:$U,MATCH($A331,Sheet1!$A:$A,0)),""))</f>
        <v/>
      </c>
      <c r="W331" s="81">
        <f>IF($A331="","",N331-_xll.BDP($A331&amp;" Corp","YAS_OAS_SPRD","SETTLE_DT",Company_desc!$A$1))</f>
        <v/>
      </c>
      <c r="X331" s="81">
        <f>IF($A331="","",N331-_xll.BDP($A331&amp;" Corp","YAS_OAS_SPRD","SETTLE_DT",Company_desc!$A$2))</f>
        <v/>
      </c>
      <c r="Y331" s="80">
        <f>IF($A331="","",N331-_xll.BDP($A331&amp;" Corp","YAS_OAS_SPRD","SETTLE_DT",Company_desc!$D$1))</f>
        <v/>
      </c>
      <c r="Z331" s="82">
        <f>IF($A331="","",K331-_xll.BDP($A331&amp;" Corp","YAS_BOND_YLD","YAS_YLD_FLAG=15","SETTLE_DT",Company_desc!$D$1))</f>
        <v/>
      </c>
      <c r="AA331" s="80">
        <f>IF($A331="","",_xll.BDP($A331&amp;" Corp","YAS_OAS_SPRD","SETTLE_DT",Company_desc!$D$1))</f>
        <v/>
      </c>
    </row>
    <row r="332">
      <c r="B332" s="75">
        <f>IF($A332="","",IFERROR(INDEX(Sheet1!$B:$B,MATCH($A332,Sheet1!$A:$A,0)),""))</f>
        <v/>
      </c>
      <c r="C332" s="75">
        <f>IF($A332="","",PROPER(_xll.BDP($A332&amp;" Corp","NAME")))</f>
        <v/>
      </c>
      <c r="D332" s="76">
        <f>IF($A332="","",_xll.BDP($A332&amp;" Corp","CPN"))</f>
        <v/>
      </c>
      <c r="E332" s="75">
        <f>IF($A332="","",_xll.BDP($A332&amp;" Corp","PAYMENT_RANK"))</f>
        <v/>
      </c>
      <c r="F332" s="100">
        <f>IF($A332="","",_xll.BDP($A332&amp;" Corp","MATURITY"))</f>
        <v/>
      </c>
      <c r="G332" s="75">
        <f>IF($A332="","",PROPER(_xll.BDP($A332&amp;" Corp","COUNTRY_FULL_NAME")))</f>
        <v/>
      </c>
      <c r="H332" s="75">
        <f>IF($A332="","",_xll.BDP($A332&amp;" Corp","INDUSTRY_SECTOR"))</f>
        <v/>
      </c>
      <c r="I332" s="101">
        <f>IF($A332="","",IFERROR(_xll.BDP($A332&amp;" Corp","MIN_PIECE")/1000,""))</f>
        <v/>
      </c>
      <c r="J332" s="31">
        <f>IF($A332="","",_xll.BDP($A332&amp;" Corp","PX_LAST"))</f>
        <v/>
      </c>
      <c r="K332" s="31">
        <f>IF($A332="","",_xll.BDP($A332&amp;" Corp","YAS_BOND_YLD","YAS_YLD_FLAG=15"))</f>
        <v/>
      </c>
      <c r="L332" s="31">
        <f>IF($A332="","",K332-_xll.BDP($A332&amp;" Corp","YAS_BOND_YLD","YAS_YLD_FLAG=15","SETTLE_DT",Company_desc!$A$1))</f>
        <v/>
      </c>
      <c r="M332" s="31">
        <f>IF($A332="","",K332-_xll.BDP($A332&amp;" Corp","YAS_BOND_YLD","YAS_YLD_FLAG=15","SETTLE_DT",Company_desc!$A$2))</f>
        <v/>
      </c>
      <c r="N332" s="79">
        <f>IF($A332="","",_xll.BDP($A332&amp;" Corp","YAS_OAS_SPRD"))</f>
        <v/>
      </c>
      <c r="O332" s="67">
        <f>IF($A332="","",_xll.BDP($A332&amp;" Corp","YAS_MOD_DUR"))</f>
        <v/>
      </c>
      <c r="P332" s="80">
        <f>IF($A332="","",IFERROR(INDEX(Sheet1!$P:$P,MATCH($A332,Sheet1!$A:$A,0)),""))</f>
        <v/>
      </c>
      <c r="Q332" s="75">
        <f>IF($A332="","",IFERROR(INDEX(Company_desc!$C:$C,MATCH($A332,Company_desc!$A:$A,0)),IFERROR(INDEX(Sheet1!$Q:$Q,MATCH($A332,Sheet1!$A:$A,0)),"")))</f>
        <v/>
      </c>
      <c r="R332" s="75">
        <f>IF($A332="","",_xll.BDP($A332&amp;" Corp","CRNCY"))</f>
        <v/>
      </c>
      <c r="S332" s="75">
        <f>IF($A332="","",IFERROR(INDEX(Sheet1!$S:$S,MATCH($A332,Sheet1!$A:$A,0)),""))</f>
        <v/>
      </c>
      <c r="T332" s="75">
        <f>IF($A332="","",IFERROR(INDEX(Sheet1!$T:$T,MATCH($A332,Sheet1!$A:$A,0)),_xll.BDP($A332&amp;" Corp","RTG_SP")))</f>
        <v/>
      </c>
      <c r="U332" s="83">
        <f>IF($A332="","",IFERROR(INDEX(Sheet1!$U:$U,MATCH($A332,Sheet1!$A:$A,0)),""))</f>
        <v/>
      </c>
      <c r="W332" s="81">
        <f>IF($A332="","",N332-_xll.BDP($A332&amp;" Corp","YAS_OAS_SPRD","SETTLE_DT",Company_desc!$A$1))</f>
        <v/>
      </c>
      <c r="X332" s="81">
        <f>IF($A332="","",N332-_xll.BDP($A332&amp;" Corp","YAS_OAS_SPRD","SETTLE_DT",Company_desc!$A$2))</f>
        <v/>
      </c>
      <c r="Y332" s="80">
        <f>IF($A332="","",N332-_xll.BDP($A332&amp;" Corp","YAS_OAS_SPRD","SETTLE_DT",Company_desc!$D$1))</f>
        <v/>
      </c>
      <c r="Z332" s="82">
        <f>IF($A332="","",K332-_xll.BDP($A332&amp;" Corp","YAS_BOND_YLD","YAS_YLD_FLAG=15","SETTLE_DT",Company_desc!$D$1))</f>
        <v/>
      </c>
      <c r="AA332" s="80">
        <f>IF($A332="","",_xll.BDP($A332&amp;" Corp","YAS_OAS_SPRD","SETTLE_DT",Company_desc!$D$1))</f>
        <v/>
      </c>
    </row>
    <row r="333">
      <c r="B333" s="75">
        <f>IF($A333="","",IFERROR(INDEX(Sheet1!$B:$B,MATCH($A333,Sheet1!$A:$A,0)),""))</f>
        <v/>
      </c>
      <c r="C333" s="75">
        <f>IF($A333="","",PROPER(_xll.BDP($A333&amp;" Corp","NAME")))</f>
        <v/>
      </c>
      <c r="D333" s="76">
        <f>IF($A333="","",_xll.BDP($A333&amp;" Corp","CPN"))</f>
        <v/>
      </c>
      <c r="E333" s="75">
        <f>IF($A333="","",_xll.BDP($A333&amp;" Corp","PAYMENT_RANK"))</f>
        <v/>
      </c>
      <c r="F333" s="100">
        <f>IF($A333="","",_xll.BDP($A333&amp;" Corp","MATURITY"))</f>
        <v/>
      </c>
      <c r="G333" s="75">
        <f>IF($A333="","",PROPER(_xll.BDP($A333&amp;" Corp","COUNTRY_FULL_NAME")))</f>
        <v/>
      </c>
      <c r="H333" s="75">
        <f>IF($A333="","",_xll.BDP($A333&amp;" Corp","INDUSTRY_SECTOR"))</f>
        <v/>
      </c>
      <c r="I333" s="101">
        <f>IF($A333="","",IFERROR(_xll.BDP($A333&amp;" Corp","MIN_PIECE")/1000,""))</f>
        <v/>
      </c>
      <c r="J333" s="31">
        <f>IF($A333="","",_xll.BDP($A333&amp;" Corp","PX_LAST"))</f>
        <v/>
      </c>
      <c r="K333" s="31">
        <f>IF($A333="","",_xll.BDP($A333&amp;" Corp","YAS_BOND_YLD","YAS_YLD_FLAG=15"))</f>
        <v/>
      </c>
      <c r="L333" s="31">
        <f>IF($A333="","",K333-_xll.BDP($A333&amp;" Corp","YAS_BOND_YLD","YAS_YLD_FLAG=15","SETTLE_DT",Company_desc!$A$1))</f>
        <v/>
      </c>
      <c r="M333" s="31">
        <f>IF($A333="","",K333-_xll.BDP($A333&amp;" Corp","YAS_BOND_YLD","YAS_YLD_FLAG=15","SETTLE_DT",Company_desc!$A$2))</f>
        <v/>
      </c>
      <c r="N333" s="79">
        <f>IF($A333="","",_xll.BDP($A333&amp;" Corp","YAS_OAS_SPRD"))</f>
        <v/>
      </c>
      <c r="O333" s="67">
        <f>IF($A333="","",_xll.BDP($A333&amp;" Corp","YAS_MOD_DUR"))</f>
        <v/>
      </c>
      <c r="P333" s="80">
        <f>IF($A333="","",IFERROR(INDEX(Sheet1!$P:$P,MATCH($A333,Sheet1!$A:$A,0)),""))</f>
        <v/>
      </c>
      <c r="Q333" s="75">
        <f>IF($A333="","",IFERROR(INDEX(Company_desc!$C:$C,MATCH($A333,Company_desc!$A:$A,0)),IFERROR(INDEX(Sheet1!$Q:$Q,MATCH($A333,Sheet1!$A:$A,0)),"")))</f>
        <v/>
      </c>
      <c r="R333" s="75">
        <f>IF($A333="","",_xll.BDP($A333&amp;" Corp","CRNCY"))</f>
        <v/>
      </c>
      <c r="S333" s="75">
        <f>IF($A333="","",IFERROR(INDEX(Sheet1!$S:$S,MATCH($A333,Sheet1!$A:$A,0)),""))</f>
        <v/>
      </c>
      <c r="T333" s="75">
        <f>IF($A333="","",IFERROR(INDEX(Sheet1!$T:$T,MATCH($A333,Sheet1!$A:$A,0)),_xll.BDP($A333&amp;" Corp","RTG_SP")))</f>
        <v/>
      </c>
      <c r="U333" s="83">
        <f>IF($A333="","",IFERROR(INDEX(Sheet1!$U:$U,MATCH($A333,Sheet1!$A:$A,0)),""))</f>
        <v/>
      </c>
      <c r="W333" s="81">
        <f>IF($A333="","",N333-_xll.BDP($A333&amp;" Corp","YAS_OAS_SPRD","SETTLE_DT",Company_desc!$A$1))</f>
        <v/>
      </c>
      <c r="X333" s="81">
        <f>IF($A333="","",N333-_xll.BDP($A333&amp;" Corp","YAS_OAS_SPRD","SETTLE_DT",Company_desc!$A$2))</f>
        <v/>
      </c>
      <c r="Y333" s="80">
        <f>IF($A333="","",N333-_xll.BDP($A333&amp;" Corp","YAS_OAS_SPRD","SETTLE_DT",Company_desc!$D$1))</f>
        <v/>
      </c>
      <c r="Z333" s="82">
        <f>IF($A333="","",K333-_xll.BDP($A333&amp;" Corp","YAS_BOND_YLD","YAS_YLD_FLAG=15","SETTLE_DT",Company_desc!$D$1))</f>
        <v/>
      </c>
      <c r="AA333" s="80">
        <f>IF($A333="","",_xll.BDP($A333&amp;" Corp","YAS_OAS_SPRD","SETTLE_DT",Company_desc!$D$1))</f>
        <v/>
      </c>
    </row>
    <row r="334">
      <c r="B334" s="75">
        <f>IF($A334="","",IFERROR(INDEX(Sheet1!$B:$B,MATCH($A334,Sheet1!$A:$A,0)),""))</f>
        <v/>
      </c>
      <c r="C334" s="75">
        <f>IF($A334="","",PROPER(_xll.BDP($A334&amp;" Corp","NAME")))</f>
        <v/>
      </c>
      <c r="D334" s="76">
        <f>IF($A334="","",_xll.BDP($A334&amp;" Corp","CPN"))</f>
        <v/>
      </c>
      <c r="E334" s="75">
        <f>IF($A334="","",_xll.BDP($A334&amp;" Corp","PAYMENT_RANK"))</f>
        <v/>
      </c>
      <c r="F334" s="100">
        <f>IF($A334="","",_xll.BDP($A334&amp;" Corp","MATURITY"))</f>
        <v/>
      </c>
      <c r="G334" s="75">
        <f>IF($A334="","",PROPER(_xll.BDP($A334&amp;" Corp","COUNTRY_FULL_NAME")))</f>
        <v/>
      </c>
      <c r="H334" s="75">
        <f>IF($A334="","",_xll.BDP($A334&amp;" Corp","INDUSTRY_SECTOR"))</f>
        <v/>
      </c>
      <c r="I334" s="101">
        <f>IF($A334="","",IFERROR(_xll.BDP($A334&amp;" Corp","MIN_PIECE")/1000,""))</f>
        <v/>
      </c>
      <c r="J334" s="31">
        <f>IF($A334="","",_xll.BDP($A334&amp;" Corp","PX_LAST"))</f>
        <v/>
      </c>
      <c r="K334" s="31">
        <f>IF($A334="","",_xll.BDP($A334&amp;" Corp","YAS_BOND_YLD","YAS_YLD_FLAG=15"))</f>
        <v/>
      </c>
      <c r="L334" s="31">
        <f>IF($A334="","",K334-_xll.BDP($A334&amp;" Corp","YAS_BOND_YLD","YAS_YLD_FLAG=15","SETTLE_DT",Company_desc!$A$1))</f>
        <v/>
      </c>
      <c r="M334" s="31">
        <f>IF($A334="","",K334-_xll.BDP($A334&amp;" Corp","YAS_BOND_YLD","YAS_YLD_FLAG=15","SETTLE_DT",Company_desc!$A$2))</f>
        <v/>
      </c>
      <c r="N334" s="79">
        <f>IF($A334="","",_xll.BDP($A334&amp;" Corp","YAS_OAS_SPRD"))</f>
        <v/>
      </c>
      <c r="O334" s="67">
        <f>IF($A334="","",_xll.BDP($A334&amp;" Corp","YAS_MOD_DUR"))</f>
        <v/>
      </c>
      <c r="P334" s="80">
        <f>IF($A334="","",IFERROR(INDEX(Sheet1!$P:$P,MATCH($A334,Sheet1!$A:$A,0)),""))</f>
        <v/>
      </c>
      <c r="Q334" s="75">
        <f>IF($A334="","",IFERROR(INDEX(Company_desc!$C:$C,MATCH($A334,Company_desc!$A:$A,0)),IFERROR(INDEX(Sheet1!$Q:$Q,MATCH($A334,Sheet1!$A:$A,0)),"")))</f>
        <v/>
      </c>
      <c r="R334" s="75">
        <f>IF($A334="","",_xll.BDP($A334&amp;" Corp","CRNCY"))</f>
        <v/>
      </c>
      <c r="S334" s="75">
        <f>IF($A334="","",IFERROR(INDEX(Sheet1!$S:$S,MATCH($A334,Sheet1!$A:$A,0)),""))</f>
        <v/>
      </c>
      <c r="T334" s="75">
        <f>IF($A334="","",IFERROR(INDEX(Sheet1!$T:$T,MATCH($A334,Sheet1!$A:$A,0)),_xll.BDP($A334&amp;" Corp","RTG_SP")))</f>
        <v/>
      </c>
      <c r="U334" s="75">
        <f>IF($A334="","",IFERROR(INDEX(Sheet1!$U:$U,MATCH($A334,Sheet1!$A:$A,0)),""))</f>
        <v/>
      </c>
      <c r="W334" s="81">
        <f>IF($A334="","",N334-_xll.BDP($A334&amp;" Corp","YAS_OAS_SPRD","SETTLE_DT",Company_desc!$A$1))</f>
        <v/>
      </c>
      <c r="X334" s="81">
        <f>IF($A334="","",N334-_xll.BDP($A334&amp;" Corp","YAS_OAS_SPRD","SETTLE_DT",Company_desc!$A$2))</f>
        <v/>
      </c>
      <c r="Y334" s="80">
        <f>IF($A334="","",N334-_xll.BDP($A334&amp;" Corp","YAS_OAS_SPRD","SETTLE_DT",Company_desc!$D$1))</f>
        <v/>
      </c>
      <c r="Z334" s="82">
        <f>IF($A334="","",K334-_xll.BDP($A334&amp;" Corp","YAS_BOND_YLD","YAS_YLD_FLAG=15","SETTLE_DT",Company_desc!$D$1))</f>
        <v/>
      </c>
      <c r="AA334" s="80">
        <f>IF($A334="","",_xll.BDP($A334&amp;" Corp","YAS_OAS_SPRD","SETTLE_DT",Company_desc!$D$1))</f>
        <v/>
      </c>
    </row>
    <row r="335">
      <c r="B335" s="75">
        <f>IF($A335="","",IFERROR(INDEX(Sheet1!$B:$B,MATCH($A335,Sheet1!$A:$A,0)),""))</f>
        <v/>
      </c>
      <c r="C335" s="75">
        <f>IF($A335="","",PROPER(_xll.BDP($A335&amp;" Corp","NAME")))</f>
        <v/>
      </c>
      <c r="D335" s="76">
        <f>IF($A335="","",_xll.BDP($A335&amp;" Corp","CPN"))</f>
        <v/>
      </c>
      <c r="E335" s="75">
        <f>IF($A335="","",_xll.BDP($A335&amp;" Corp","PAYMENT_RANK"))</f>
        <v/>
      </c>
      <c r="F335" s="100">
        <f>IF($A335="","",_xll.BDP($A335&amp;" Corp","MATURITY"))</f>
        <v/>
      </c>
      <c r="G335" s="75">
        <f>IF($A335="","",PROPER(_xll.BDP($A335&amp;" Corp","COUNTRY_FULL_NAME")))</f>
        <v/>
      </c>
      <c r="H335" s="75">
        <f>IF($A335="","",_xll.BDP($A335&amp;" Corp","INDUSTRY_SECTOR"))</f>
        <v/>
      </c>
      <c r="I335" s="101">
        <f>IF($A335="","",IFERROR(_xll.BDP($A335&amp;" Corp","MIN_PIECE")/1000,""))</f>
        <v/>
      </c>
      <c r="J335" s="31">
        <f>IF($A335="","",_xll.BDP($A335&amp;" Corp","PX_LAST"))</f>
        <v/>
      </c>
      <c r="K335" s="31">
        <f>IF($A335="","",_xll.BDP($A335&amp;" Corp","YAS_BOND_YLD","YAS_YLD_FLAG=15"))</f>
        <v/>
      </c>
      <c r="L335" s="31">
        <f>IF($A335="","",K335-_xll.BDP($A335&amp;" Corp","YAS_BOND_YLD","YAS_YLD_FLAG=15","SETTLE_DT",Company_desc!$A$1))</f>
        <v/>
      </c>
      <c r="M335" s="31">
        <f>IF($A335="","",K335-_xll.BDP($A335&amp;" Corp","YAS_BOND_YLD","YAS_YLD_FLAG=15","SETTLE_DT",Company_desc!$A$2))</f>
        <v/>
      </c>
      <c r="N335" s="79">
        <f>IF($A335="","",_xll.BDP($A335&amp;" Corp","YAS_OAS_SPRD"))</f>
        <v/>
      </c>
      <c r="O335" s="67">
        <f>IF($A335="","",_xll.BDP($A335&amp;" Corp","YAS_MOD_DUR"))</f>
        <v/>
      </c>
      <c r="P335" s="80">
        <f>IF($A335="","",IFERROR(INDEX(Sheet1!$P:$P,MATCH($A335,Sheet1!$A:$A,0)),""))</f>
        <v/>
      </c>
      <c r="Q335" s="75">
        <f>IF($A335="","",IFERROR(INDEX(Company_desc!$C:$C,MATCH($A335,Company_desc!$A:$A,0)),IFERROR(INDEX(Sheet1!$Q:$Q,MATCH($A335,Sheet1!$A:$A,0)),"")))</f>
        <v/>
      </c>
      <c r="R335" s="75">
        <f>IF($A335="","",_xll.BDP($A335&amp;" Corp","CRNCY"))</f>
        <v/>
      </c>
      <c r="S335" s="75">
        <f>IF($A335="","",IFERROR(INDEX(Sheet1!$S:$S,MATCH($A335,Sheet1!$A:$A,0)),""))</f>
        <v/>
      </c>
      <c r="T335" s="75">
        <f>IF($A335="","",IFERROR(INDEX(Sheet1!$T:$T,MATCH($A335,Sheet1!$A:$A,0)),_xll.BDP($A335&amp;" Corp","RTG_SP")))</f>
        <v/>
      </c>
      <c r="U335" s="75">
        <f>IF($A335="","",IFERROR(INDEX(Sheet1!$U:$U,MATCH($A335,Sheet1!$A:$A,0)),""))</f>
        <v/>
      </c>
      <c r="W335" s="81">
        <f>IF($A335="","",N335-_xll.BDP($A335&amp;" Corp","YAS_OAS_SPRD","SETTLE_DT",Company_desc!$A$1))</f>
        <v/>
      </c>
      <c r="X335" s="81">
        <f>IF($A335="","",N335-_xll.BDP($A335&amp;" Corp","YAS_OAS_SPRD","SETTLE_DT",Company_desc!$A$2))</f>
        <v/>
      </c>
      <c r="Y335" s="80">
        <f>IF($A335="","",N335-_xll.BDP($A335&amp;" Corp","YAS_OAS_SPRD","SETTLE_DT",Company_desc!$D$1))</f>
        <v/>
      </c>
      <c r="Z335" s="82">
        <f>IF($A335="","",K335-_xll.BDP($A335&amp;" Corp","YAS_BOND_YLD","YAS_YLD_FLAG=15","SETTLE_DT",Company_desc!$D$1))</f>
        <v/>
      </c>
      <c r="AA335" s="80">
        <f>IF($A335="","",_xll.BDP($A335&amp;" Corp","YAS_OAS_SPRD","SETTLE_DT",Company_desc!$D$1))</f>
        <v/>
      </c>
    </row>
    <row r="336">
      <c r="B336" s="75">
        <f>IF($A336="","",IFERROR(INDEX(Sheet1!$B:$B,MATCH($A336,Sheet1!$A:$A,0)),""))</f>
        <v/>
      </c>
      <c r="C336" s="75">
        <f>IF($A336="","",PROPER(_xll.BDP($A336&amp;" Corp","NAME")))</f>
        <v/>
      </c>
      <c r="D336" s="76">
        <f>IF($A336="","",_xll.BDP($A336&amp;" Corp","CPN"))</f>
        <v/>
      </c>
      <c r="E336" s="75">
        <f>IF($A336="","",_xll.BDP($A336&amp;" Corp","PAYMENT_RANK"))</f>
        <v/>
      </c>
      <c r="F336" s="100">
        <f>IF($A336="","",_xll.BDP($A336&amp;" Corp","MATURITY"))</f>
        <v/>
      </c>
      <c r="G336" s="75">
        <f>IF($A336="","",PROPER(_xll.BDP($A336&amp;" Corp","COUNTRY_FULL_NAME")))</f>
        <v/>
      </c>
      <c r="H336" s="75">
        <f>IF($A336="","",_xll.BDP($A336&amp;" Corp","INDUSTRY_SECTOR"))</f>
        <v/>
      </c>
      <c r="I336" s="101">
        <f>IF($A336="","",IFERROR(_xll.BDP($A336&amp;" Corp","MIN_PIECE")/1000,""))</f>
        <v/>
      </c>
      <c r="J336" s="31">
        <f>IF($A336="","",_xll.BDP($A336&amp;" Corp","PX_LAST"))</f>
        <v/>
      </c>
      <c r="K336" s="31">
        <f>IF($A336="","",_xll.BDP($A336&amp;" Corp","YAS_BOND_YLD","YAS_YLD_FLAG=15"))</f>
        <v/>
      </c>
      <c r="L336" s="31">
        <f>IF($A336="","",K336-_xll.BDP($A336&amp;" Corp","YAS_BOND_YLD","YAS_YLD_FLAG=15","SETTLE_DT",Company_desc!$A$1))</f>
        <v/>
      </c>
      <c r="M336" s="31">
        <f>IF($A336="","",K336-_xll.BDP($A336&amp;" Corp","YAS_BOND_YLD","YAS_YLD_FLAG=15","SETTLE_DT",Company_desc!$A$2))</f>
        <v/>
      </c>
      <c r="N336" s="79">
        <f>IF($A336="","",_xll.BDP($A336&amp;" Corp","YAS_OAS_SPRD"))</f>
        <v/>
      </c>
      <c r="O336" s="67">
        <f>IF($A336="","",_xll.BDP($A336&amp;" Corp","YAS_MOD_DUR"))</f>
        <v/>
      </c>
      <c r="P336" s="80">
        <f>IF($A336="","",IFERROR(INDEX(Sheet1!$P:$P,MATCH($A336,Sheet1!$A:$A,0)),""))</f>
        <v/>
      </c>
      <c r="Q336" s="75">
        <f>IF($A336="","",IFERROR(INDEX(Company_desc!$C:$C,MATCH($A336,Company_desc!$A:$A,0)),IFERROR(INDEX(Sheet1!$Q:$Q,MATCH($A336,Sheet1!$A:$A,0)),"")))</f>
        <v/>
      </c>
      <c r="R336" s="75">
        <f>IF($A336="","",_xll.BDP($A336&amp;" Corp","CRNCY"))</f>
        <v/>
      </c>
      <c r="S336" s="75">
        <f>IF($A336="","",IFERROR(INDEX(Sheet1!$S:$S,MATCH($A336,Sheet1!$A:$A,0)),""))</f>
        <v/>
      </c>
      <c r="T336" s="75">
        <f>IF($A336="","",IFERROR(INDEX(Sheet1!$T:$T,MATCH($A336,Sheet1!$A:$A,0)),_xll.BDP($A336&amp;" Corp","RTG_SP")))</f>
        <v/>
      </c>
      <c r="U336" s="75">
        <f>IF($A336="","",IFERROR(INDEX(Sheet1!$U:$U,MATCH($A336,Sheet1!$A:$A,0)),""))</f>
        <v/>
      </c>
      <c r="W336" s="81">
        <f>IF($A336="","",N336-_xll.BDP($A336&amp;" Corp","YAS_OAS_SPRD","SETTLE_DT",Company_desc!$A$1))</f>
        <v/>
      </c>
      <c r="X336" s="81">
        <f>IF($A336="","",N336-_xll.BDP($A336&amp;" Corp","YAS_OAS_SPRD","SETTLE_DT",Company_desc!$A$2))</f>
        <v/>
      </c>
      <c r="Y336" s="80">
        <f>IF($A336="","",N336-_xll.BDP($A336&amp;" Corp","YAS_OAS_SPRD","SETTLE_DT",Company_desc!$D$1))</f>
        <v/>
      </c>
      <c r="Z336" s="82">
        <f>IF($A336="","",K336-_xll.BDP($A336&amp;" Corp","YAS_BOND_YLD","YAS_YLD_FLAG=15","SETTLE_DT",Company_desc!$D$1))</f>
        <v/>
      </c>
      <c r="AA336" s="80">
        <f>IF($A336="","",_xll.BDP($A336&amp;" Corp","YAS_OAS_SPRD","SETTLE_DT",Company_desc!$D$1))</f>
        <v/>
      </c>
    </row>
    <row r="337">
      <c r="B337" s="75">
        <f>IF($A337="","",IFERROR(INDEX(Sheet1!$B:$B,MATCH($A337,Sheet1!$A:$A,0)),""))</f>
        <v/>
      </c>
      <c r="C337" s="75">
        <f>IF($A337="","",PROPER(_xll.BDP($A337&amp;" Corp","NAME")))</f>
        <v/>
      </c>
      <c r="D337" s="76">
        <f>IF($A337="","",_xll.BDP($A337&amp;" Corp","CPN"))</f>
        <v/>
      </c>
      <c r="E337" s="75">
        <f>IF($A337="","",_xll.BDP($A337&amp;" Corp","PAYMENT_RANK"))</f>
        <v/>
      </c>
      <c r="F337" s="100">
        <f>IF($A337="","",_xll.BDP($A337&amp;" Corp","MATURITY"))</f>
        <v/>
      </c>
      <c r="G337" s="75">
        <f>IF($A337="","",PROPER(_xll.BDP($A337&amp;" Corp","COUNTRY_FULL_NAME")))</f>
        <v/>
      </c>
      <c r="H337" s="75">
        <f>IF($A337="","",_xll.BDP($A337&amp;" Corp","INDUSTRY_SECTOR"))</f>
        <v/>
      </c>
      <c r="I337" s="101">
        <f>IF($A337="","",IFERROR(_xll.BDP($A337&amp;" Corp","MIN_PIECE")/1000,""))</f>
        <v/>
      </c>
      <c r="J337" s="31">
        <f>IF($A337="","",_xll.BDP($A337&amp;" Corp","PX_LAST"))</f>
        <v/>
      </c>
      <c r="K337" s="31">
        <f>IF($A337="","",_xll.BDP($A337&amp;" Corp","YAS_BOND_YLD","YAS_YLD_FLAG=15"))</f>
        <v/>
      </c>
      <c r="L337" s="31">
        <f>IF($A337="","",K337-_xll.BDP($A337&amp;" Corp","YAS_BOND_YLD","YAS_YLD_FLAG=15","SETTLE_DT",Company_desc!$A$1))</f>
        <v/>
      </c>
      <c r="M337" s="31">
        <f>IF($A337="","",K337-_xll.BDP($A337&amp;" Corp","YAS_BOND_YLD","YAS_YLD_FLAG=15","SETTLE_DT",Company_desc!$A$2))</f>
        <v/>
      </c>
      <c r="N337" s="79">
        <f>IF($A337="","",_xll.BDP($A337&amp;" Corp","YAS_OAS_SPRD"))</f>
        <v/>
      </c>
      <c r="O337" s="67">
        <f>IF($A337="","",_xll.BDP($A337&amp;" Corp","YAS_MOD_DUR"))</f>
        <v/>
      </c>
      <c r="P337" s="80">
        <f>IF($A337="","",IFERROR(INDEX(Sheet1!$P:$P,MATCH($A337,Sheet1!$A:$A,0)),""))</f>
        <v/>
      </c>
      <c r="Q337" s="75">
        <f>IF($A337="","",IFERROR(INDEX(Company_desc!$C:$C,MATCH($A337,Company_desc!$A:$A,0)),IFERROR(INDEX(Sheet1!$Q:$Q,MATCH($A337,Sheet1!$A:$A,0)),"")))</f>
        <v/>
      </c>
      <c r="R337" s="75">
        <f>IF($A337="","",_xll.BDP($A337&amp;" Corp","CRNCY"))</f>
        <v/>
      </c>
      <c r="S337" s="75">
        <f>IF($A337="","",IFERROR(INDEX(Sheet1!$S:$S,MATCH($A337,Sheet1!$A:$A,0)),""))</f>
        <v/>
      </c>
      <c r="T337" s="75">
        <f>IF($A337="","",IFERROR(INDEX(Sheet1!$T:$T,MATCH($A337,Sheet1!$A:$A,0)),_xll.BDP($A337&amp;" Corp","RTG_SP")))</f>
        <v/>
      </c>
      <c r="U337" s="75">
        <f>IF($A337="","",IFERROR(INDEX(Sheet1!$U:$U,MATCH($A337,Sheet1!$A:$A,0)),""))</f>
        <v/>
      </c>
      <c r="W337" s="81">
        <f>IF($A337="","",N337-_xll.BDP($A337&amp;" Corp","YAS_OAS_SPRD","SETTLE_DT",Company_desc!$A$1))</f>
        <v/>
      </c>
      <c r="X337" s="81">
        <f>IF($A337="","",N337-_xll.BDP($A337&amp;" Corp","YAS_OAS_SPRD","SETTLE_DT",Company_desc!$A$2))</f>
        <v/>
      </c>
      <c r="Y337" s="80">
        <f>IF($A337="","",N337-_xll.BDP($A337&amp;" Corp","YAS_OAS_SPRD","SETTLE_DT",Company_desc!$D$1))</f>
        <v/>
      </c>
      <c r="Z337" s="82">
        <f>IF($A337="","",K337-_xll.BDP($A337&amp;" Corp","YAS_BOND_YLD","YAS_YLD_FLAG=15","SETTLE_DT",Company_desc!$D$1))</f>
        <v/>
      </c>
      <c r="AA337" s="80">
        <f>IF($A337="","",_xll.BDP($A337&amp;" Corp","YAS_OAS_SPRD","SETTLE_DT",Company_desc!$D$1))</f>
        <v/>
      </c>
    </row>
    <row r="338">
      <c r="B338" s="75">
        <f>IF($A338="","",IFERROR(INDEX(Sheet1!$B:$B,MATCH($A338,Sheet1!$A:$A,0)),""))</f>
        <v/>
      </c>
      <c r="C338" s="75">
        <f>IF($A338="","",PROPER(_xll.BDP($A338&amp;" Corp","NAME")))</f>
        <v/>
      </c>
      <c r="D338" s="76">
        <f>IF($A338="","",_xll.BDP($A338&amp;" Corp","CPN"))</f>
        <v/>
      </c>
      <c r="E338" s="75">
        <f>IF($A338="","",_xll.BDP($A338&amp;" Corp","PAYMENT_RANK"))</f>
        <v/>
      </c>
      <c r="F338" s="100">
        <f>IF($A338="","",_xll.BDP($A338&amp;" Corp","MATURITY"))</f>
        <v/>
      </c>
      <c r="G338" s="75">
        <f>IF($A338="","",PROPER(_xll.BDP($A338&amp;" Corp","COUNTRY_FULL_NAME")))</f>
        <v/>
      </c>
      <c r="H338" s="75">
        <f>IF($A338="","",_xll.BDP($A338&amp;" Corp","INDUSTRY_SECTOR"))</f>
        <v/>
      </c>
      <c r="I338" s="101">
        <f>IF($A338="","",IFERROR(_xll.BDP($A338&amp;" Corp","MIN_PIECE")/1000,""))</f>
        <v/>
      </c>
      <c r="J338" s="31">
        <f>IF($A338="","",_xll.BDP($A338&amp;" Corp","PX_LAST"))</f>
        <v/>
      </c>
      <c r="K338" s="31">
        <f>IF($A338="","",_xll.BDP($A338&amp;" Corp","YAS_BOND_YLD","YAS_YLD_FLAG=15"))</f>
        <v/>
      </c>
      <c r="L338" s="31">
        <f>IF($A338="","",K338-_xll.BDP($A338&amp;" Corp","YAS_BOND_YLD","YAS_YLD_FLAG=15","SETTLE_DT",Company_desc!$A$1))</f>
        <v/>
      </c>
      <c r="M338" s="31">
        <f>IF($A338="","",K338-_xll.BDP($A338&amp;" Corp","YAS_BOND_YLD","YAS_YLD_FLAG=15","SETTLE_DT",Company_desc!$A$2))</f>
        <v/>
      </c>
      <c r="N338" s="79">
        <f>IF($A338="","",_xll.BDP($A338&amp;" Corp","YAS_OAS_SPRD"))</f>
        <v/>
      </c>
      <c r="O338" s="67">
        <f>IF($A338="","",_xll.BDP($A338&amp;" Corp","YAS_MOD_DUR"))</f>
        <v/>
      </c>
      <c r="P338" s="80">
        <f>IF($A338="","",IFERROR(INDEX(Sheet1!$P:$P,MATCH($A338,Sheet1!$A:$A,0)),""))</f>
        <v/>
      </c>
      <c r="Q338" s="75">
        <f>IF($A338="","",IFERROR(INDEX(Company_desc!$C:$C,MATCH($A338,Company_desc!$A:$A,0)),IFERROR(INDEX(Sheet1!$Q:$Q,MATCH($A338,Sheet1!$A:$A,0)),"")))</f>
        <v/>
      </c>
      <c r="R338" s="75">
        <f>IF($A338="","",_xll.BDP($A338&amp;" Corp","CRNCY"))</f>
        <v/>
      </c>
      <c r="S338" s="75">
        <f>IF($A338="","",IFERROR(INDEX(Sheet1!$S:$S,MATCH($A338,Sheet1!$A:$A,0)),""))</f>
        <v/>
      </c>
      <c r="T338" s="75">
        <f>IF($A338="","",IFERROR(INDEX(Sheet1!$T:$T,MATCH($A338,Sheet1!$A:$A,0)),_xll.BDP($A338&amp;" Corp","RTG_SP")))</f>
        <v/>
      </c>
      <c r="U338" s="75">
        <f>IF($A338="","",IFERROR(INDEX(Sheet1!$U:$U,MATCH($A338,Sheet1!$A:$A,0)),""))</f>
        <v/>
      </c>
      <c r="W338" s="81">
        <f>IF($A338="","",N338-_xll.BDP($A338&amp;" Corp","YAS_OAS_SPRD","SETTLE_DT",Company_desc!$A$1))</f>
        <v/>
      </c>
      <c r="X338" s="81">
        <f>IF($A338="","",N338-_xll.BDP($A338&amp;" Corp","YAS_OAS_SPRD","SETTLE_DT",Company_desc!$A$2))</f>
        <v/>
      </c>
      <c r="Y338" s="80">
        <f>IF($A338="","",N338-_xll.BDP($A338&amp;" Corp","YAS_OAS_SPRD","SETTLE_DT",Company_desc!$D$1))</f>
        <v/>
      </c>
      <c r="Z338" s="82">
        <f>IF($A338="","",K338-_xll.BDP($A338&amp;" Corp","YAS_BOND_YLD","YAS_YLD_FLAG=15","SETTLE_DT",Company_desc!$D$1))</f>
        <v/>
      </c>
      <c r="AA338" s="80">
        <f>IF($A338="","",_xll.BDP($A338&amp;" Corp","YAS_OAS_SPRD","SETTLE_DT",Company_desc!$D$1))</f>
        <v/>
      </c>
    </row>
    <row r="339">
      <c r="B339" s="75">
        <f>IF($A339="","",IFERROR(INDEX(Sheet1!$B:$B,MATCH($A339,Sheet1!$A:$A,0)),""))</f>
        <v/>
      </c>
      <c r="C339" s="75">
        <f>IF($A339="","",PROPER(_xll.BDP($A339&amp;" Corp","NAME")))</f>
        <v/>
      </c>
      <c r="D339" s="76">
        <f>IF($A339="","",_xll.BDP($A339&amp;" Corp","CPN"))</f>
        <v/>
      </c>
      <c r="E339" s="75">
        <f>IF($A339="","",_xll.BDP($A339&amp;" Corp","PAYMENT_RANK"))</f>
        <v/>
      </c>
      <c r="F339" s="100">
        <f>IF($A339="","",_xll.BDP($A339&amp;" Corp","MATURITY"))</f>
        <v/>
      </c>
      <c r="G339" s="75">
        <f>IF($A339="","",PROPER(_xll.BDP($A339&amp;" Corp","COUNTRY_FULL_NAME")))</f>
        <v/>
      </c>
      <c r="H339" s="75">
        <f>IF($A339="","",_xll.BDP($A339&amp;" Corp","INDUSTRY_SECTOR"))</f>
        <v/>
      </c>
      <c r="I339" s="101">
        <f>IF($A339="","",IFERROR(_xll.BDP($A339&amp;" Corp","MIN_PIECE")/1000,""))</f>
        <v/>
      </c>
      <c r="J339" s="31">
        <f>IF($A339="","",_xll.BDP($A339&amp;" Corp","PX_LAST"))</f>
        <v/>
      </c>
      <c r="K339" s="31">
        <f>IF($A339="","",_xll.BDP($A339&amp;" Corp","YAS_BOND_YLD","YAS_YLD_FLAG=15"))</f>
        <v/>
      </c>
      <c r="L339" s="31">
        <f>IF($A339="","",K339-_xll.BDP($A339&amp;" Corp","YAS_BOND_YLD","YAS_YLD_FLAG=15","SETTLE_DT",Company_desc!$A$1))</f>
        <v/>
      </c>
      <c r="M339" s="31">
        <f>IF($A339="","",K339-_xll.BDP($A339&amp;" Corp","YAS_BOND_YLD","YAS_YLD_FLAG=15","SETTLE_DT",Company_desc!$A$2))</f>
        <v/>
      </c>
      <c r="N339" s="79">
        <f>IF($A339="","",_xll.BDP($A339&amp;" Corp","YAS_OAS_SPRD"))</f>
        <v/>
      </c>
      <c r="O339" s="67">
        <f>IF($A339="","",_xll.BDP($A339&amp;" Corp","YAS_MOD_DUR"))</f>
        <v/>
      </c>
      <c r="P339" s="80">
        <f>IF($A339="","",IFERROR(INDEX(Sheet1!$P:$P,MATCH($A339,Sheet1!$A:$A,0)),""))</f>
        <v/>
      </c>
      <c r="Q339" s="75">
        <f>IF($A339="","",IFERROR(INDEX(Company_desc!$C:$C,MATCH($A339,Company_desc!$A:$A,0)),IFERROR(INDEX(Sheet1!$Q:$Q,MATCH($A339,Sheet1!$A:$A,0)),"")))</f>
        <v/>
      </c>
      <c r="R339" s="75">
        <f>IF($A339="","",_xll.BDP($A339&amp;" Corp","CRNCY"))</f>
        <v/>
      </c>
      <c r="S339" s="75">
        <f>IF($A339="","",IFERROR(INDEX(Sheet1!$S:$S,MATCH($A339,Sheet1!$A:$A,0)),""))</f>
        <v/>
      </c>
      <c r="T339" s="75">
        <f>IF($A339="","",IFERROR(INDEX(Sheet1!$T:$T,MATCH($A339,Sheet1!$A:$A,0)),_xll.BDP($A339&amp;" Corp","RTG_SP")))</f>
        <v/>
      </c>
      <c r="U339" s="83">
        <f>IF($A339="","",IFERROR(INDEX(Sheet1!$U:$U,MATCH($A339,Sheet1!$A:$A,0)),""))</f>
        <v/>
      </c>
      <c r="W339" s="81">
        <f>IF($A339="","",N339-_xll.BDP($A339&amp;" Corp","YAS_OAS_SPRD","SETTLE_DT",Company_desc!$A$1))</f>
        <v/>
      </c>
      <c r="X339" s="81">
        <f>IF($A339="","",N339-_xll.BDP($A339&amp;" Corp","YAS_OAS_SPRD","SETTLE_DT",Company_desc!$A$2))</f>
        <v/>
      </c>
      <c r="Y339" s="80">
        <f>IF($A339="","",N339-_xll.BDP($A339&amp;" Corp","YAS_OAS_SPRD","SETTLE_DT",Company_desc!$D$1))</f>
        <v/>
      </c>
      <c r="Z339" s="82">
        <f>IF($A339="","",K339-_xll.BDP($A339&amp;" Corp","YAS_BOND_YLD","YAS_YLD_FLAG=15","SETTLE_DT",Company_desc!$D$1))</f>
        <v/>
      </c>
      <c r="AA339" s="80">
        <f>IF($A339="","",_xll.BDP($A339&amp;" Corp","YAS_OAS_SPRD","SETTLE_DT",Company_desc!$D$1))</f>
        <v/>
      </c>
    </row>
    <row r="340">
      <c r="B340" s="75">
        <f>IF($A340="","",IFERROR(INDEX(Sheet1!$B:$B,MATCH($A340,Sheet1!$A:$A,0)),""))</f>
        <v/>
      </c>
      <c r="C340" s="75">
        <f>IF($A340="","",PROPER(_xll.BDP($A340&amp;" Corp","NAME")))</f>
        <v/>
      </c>
      <c r="D340" s="76">
        <f>IF($A340="","",_xll.BDP($A340&amp;" Corp","CPN"))</f>
        <v/>
      </c>
      <c r="E340" s="75">
        <f>IF($A340="","",_xll.BDP($A340&amp;" Corp","PAYMENT_RANK"))</f>
        <v/>
      </c>
      <c r="F340" s="100">
        <f>IF($A340="","",_xll.BDP($A340&amp;" Corp","MATURITY"))</f>
        <v/>
      </c>
      <c r="G340" s="75">
        <f>IF($A340="","",PROPER(_xll.BDP($A340&amp;" Corp","COUNTRY_FULL_NAME")))</f>
        <v/>
      </c>
      <c r="H340" s="75">
        <f>IF($A340="","",_xll.BDP($A340&amp;" Corp","INDUSTRY_SECTOR"))</f>
        <v/>
      </c>
      <c r="I340" s="101">
        <f>IF($A340="","",IFERROR(_xll.BDP($A340&amp;" Corp","MIN_PIECE")/1000,""))</f>
        <v/>
      </c>
      <c r="J340" s="31">
        <f>IF($A340="","",_xll.BDP($A340&amp;" Corp","PX_LAST"))</f>
        <v/>
      </c>
      <c r="K340" s="31">
        <f>IF($A340="","",_xll.BDP($A340&amp;" Corp","YAS_BOND_YLD","YAS_YLD_FLAG=15"))</f>
        <v/>
      </c>
      <c r="L340" s="31">
        <f>IF($A340="","",K340-_xll.BDP($A340&amp;" Corp","YAS_BOND_YLD","YAS_YLD_FLAG=15","SETTLE_DT",Company_desc!$A$1))</f>
        <v/>
      </c>
      <c r="M340" s="31">
        <f>IF($A340="","",K340-_xll.BDP($A340&amp;" Corp","YAS_BOND_YLD","YAS_YLD_FLAG=15","SETTLE_DT",Company_desc!$A$2))</f>
        <v/>
      </c>
      <c r="N340" s="79">
        <f>IF($A340="","",_xll.BDP($A340&amp;" Corp","YAS_OAS_SPRD"))</f>
        <v/>
      </c>
      <c r="O340" s="67">
        <f>IF($A340="","",_xll.BDP($A340&amp;" Corp","YAS_MOD_DUR"))</f>
        <v/>
      </c>
      <c r="P340" s="80">
        <f>IF($A340="","",IFERROR(INDEX(Sheet1!$P:$P,MATCH($A340,Sheet1!$A:$A,0)),""))</f>
        <v/>
      </c>
      <c r="Q340" s="75">
        <f>IF($A340="","",IFERROR(INDEX(Company_desc!$C:$C,MATCH($A340,Company_desc!$A:$A,0)),IFERROR(INDEX(Sheet1!$Q:$Q,MATCH($A340,Sheet1!$A:$A,0)),"")))</f>
        <v/>
      </c>
      <c r="R340" s="75">
        <f>IF($A340="","",_xll.BDP($A340&amp;" Corp","CRNCY"))</f>
        <v/>
      </c>
      <c r="S340" s="75">
        <f>IF($A340="","",IFERROR(INDEX(Sheet1!$S:$S,MATCH($A340,Sheet1!$A:$A,0)),""))</f>
        <v/>
      </c>
      <c r="T340" s="75">
        <f>IF($A340="","",IFERROR(INDEX(Sheet1!$T:$T,MATCH($A340,Sheet1!$A:$A,0)),_xll.BDP($A340&amp;" Corp","RTG_SP")))</f>
        <v/>
      </c>
      <c r="U340" s="75">
        <f>IF($A340="","",IFERROR(INDEX(Sheet1!$U:$U,MATCH($A340,Sheet1!$A:$A,0)),""))</f>
        <v/>
      </c>
      <c r="W340" s="81">
        <f>IF($A340="","",N340-_xll.BDP($A340&amp;" Corp","YAS_OAS_SPRD","SETTLE_DT",Company_desc!$A$1))</f>
        <v/>
      </c>
      <c r="X340" s="81">
        <f>IF($A340="","",N340-_xll.BDP($A340&amp;" Corp","YAS_OAS_SPRD","SETTLE_DT",Company_desc!$A$2))</f>
        <v/>
      </c>
      <c r="Y340" s="80">
        <f>IF($A340="","",N340-_xll.BDP($A340&amp;" Corp","YAS_OAS_SPRD","SETTLE_DT",Company_desc!$D$1))</f>
        <v/>
      </c>
      <c r="Z340" s="82">
        <f>IF($A340="","",K340-_xll.BDP($A340&amp;" Corp","YAS_BOND_YLD","YAS_YLD_FLAG=15","SETTLE_DT",Company_desc!$D$1))</f>
        <v/>
      </c>
      <c r="AA340" s="80">
        <f>IF($A340="","",_xll.BDP($A340&amp;" Corp","YAS_OAS_SPRD","SETTLE_DT",Company_desc!$D$1))</f>
        <v/>
      </c>
    </row>
    <row r="341">
      <c r="B341" s="75">
        <f>IF($A341="","",IFERROR(INDEX(Sheet1!$B:$B,MATCH($A341,Sheet1!$A:$A,0)),""))</f>
        <v/>
      </c>
      <c r="C341" s="75">
        <f>IF($A341="","",PROPER(_xll.BDP($A341&amp;" Corp","NAME")))</f>
        <v/>
      </c>
      <c r="D341" s="76">
        <f>IF($A341="","",_xll.BDP($A341&amp;" Corp","CPN"))</f>
        <v/>
      </c>
      <c r="E341" s="75">
        <f>IF($A341="","",_xll.BDP($A341&amp;" Corp","PAYMENT_RANK"))</f>
        <v/>
      </c>
      <c r="F341" s="100">
        <f>IF($A341="","",_xll.BDP($A341&amp;" Corp","MATURITY"))</f>
        <v/>
      </c>
      <c r="G341" s="75">
        <f>IF($A341="","",PROPER(_xll.BDP($A341&amp;" Corp","COUNTRY_FULL_NAME")))</f>
        <v/>
      </c>
      <c r="H341" s="75">
        <f>IF($A341="","",_xll.BDP($A341&amp;" Corp","INDUSTRY_SECTOR"))</f>
        <v/>
      </c>
      <c r="I341" s="101">
        <f>IF($A341="","",IFERROR(_xll.BDP($A341&amp;" Corp","MIN_PIECE")/1000,""))</f>
        <v/>
      </c>
      <c r="J341" s="31">
        <f>IF($A341="","",_xll.BDP($A341&amp;" Corp","PX_LAST"))</f>
        <v/>
      </c>
      <c r="K341" s="31">
        <f>IF($A341="","",_xll.BDP($A341&amp;" Corp","YAS_BOND_YLD","YAS_YLD_FLAG=15"))</f>
        <v/>
      </c>
      <c r="L341" s="31">
        <f>IF($A341="","",K341-_xll.BDP($A341&amp;" Corp","YAS_BOND_YLD","YAS_YLD_FLAG=15","SETTLE_DT",Company_desc!$A$1))</f>
        <v/>
      </c>
      <c r="M341" s="31">
        <f>IF($A341="","",K341-_xll.BDP($A341&amp;" Corp","YAS_BOND_YLD","YAS_YLD_FLAG=15","SETTLE_DT",Company_desc!$A$2))</f>
        <v/>
      </c>
      <c r="N341" s="79">
        <f>IF($A341="","",_xll.BDP($A341&amp;" Corp","YAS_OAS_SPRD"))</f>
        <v/>
      </c>
      <c r="O341" s="67">
        <f>IF($A341="","",_xll.BDP($A341&amp;" Corp","YAS_MOD_DUR"))</f>
        <v/>
      </c>
      <c r="P341" s="80">
        <f>IF($A341="","",IFERROR(INDEX(Sheet1!$P:$P,MATCH($A341,Sheet1!$A:$A,0)),""))</f>
        <v/>
      </c>
      <c r="Q341" s="75">
        <f>IF($A341="","",IFERROR(INDEX(Company_desc!$C:$C,MATCH($A341,Company_desc!$A:$A,0)),IFERROR(INDEX(Sheet1!$Q:$Q,MATCH($A341,Sheet1!$A:$A,0)),"")))</f>
        <v/>
      </c>
      <c r="R341" s="75">
        <f>IF($A341="","",_xll.BDP($A341&amp;" Corp","CRNCY"))</f>
        <v/>
      </c>
      <c r="S341" s="75">
        <f>IF($A341="","",IFERROR(INDEX(Sheet1!$S:$S,MATCH($A341,Sheet1!$A:$A,0)),""))</f>
        <v/>
      </c>
      <c r="T341" s="75">
        <f>IF($A341="","",IFERROR(INDEX(Sheet1!$T:$T,MATCH($A341,Sheet1!$A:$A,0)),_xll.BDP($A341&amp;" Corp","RTG_SP")))</f>
        <v/>
      </c>
      <c r="U341" s="75">
        <f>IF($A341="","",IFERROR(INDEX(Sheet1!$U:$U,MATCH($A341,Sheet1!$A:$A,0)),""))</f>
        <v/>
      </c>
      <c r="W341" s="81">
        <f>IF($A341="","",N341-_xll.BDP($A341&amp;" Corp","YAS_OAS_SPRD","SETTLE_DT",Company_desc!$A$1))</f>
        <v/>
      </c>
      <c r="X341" s="81">
        <f>IF($A341="","",N341-_xll.BDP($A341&amp;" Corp","YAS_OAS_SPRD","SETTLE_DT",Company_desc!$A$2))</f>
        <v/>
      </c>
      <c r="Y341" s="80">
        <f>IF($A341="","",N341-_xll.BDP($A341&amp;" Corp","YAS_OAS_SPRD","SETTLE_DT",Company_desc!$D$1))</f>
        <v/>
      </c>
      <c r="Z341" s="82">
        <f>IF($A341="","",K341-_xll.BDP($A341&amp;" Corp","YAS_BOND_YLD","YAS_YLD_FLAG=15","SETTLE_DT",Company_desc!$D$1))</f>
        <v/>
      </c>
      <c r="AA341" s="80">
        <f>IF($A341="","",_xll.BDP($A341&amp;" Corp","YAS_OAS_SPRD","SETTLE_DT",Company_desc!$D$1))</f>
        <v/>
      </c>
    </row>
    <row r="342">
      <c r="B342" s="75">
        <f>IF($A342="","",IFERROR(INDEX(Sheet1!$B:$B,MATCH($A342,Sheet1!$A:$A,0)),""))</f>
        <v/>
      </c>
      <c r="C342" s="75">
        <f>IF($A342="","",PROPER(_xll.BDP($A342&amp;" Corp","NAME")))</f>
        <v/>
      </c>
      <c r="D342" s="76">
        <f>IF($A342="","",_xll.BDP($A342&amp;" Corp","CPN"))</f>
        <v/>
      </c>
      <c r="E342" s="75">
        <f>IF($A342="","",_xll.BDP($A342&amp;" Corp","PAYMENT_RANK"))</f>
        <v/>
      </c>
      <c r="F342" s="100">
        <f>IF($A342="","",_xll.BDP($A342&amp;" Corp","MATURITY"))</f>
        <v/>
      </c>
      <c r="G342" s="75">
        <f>IF($A342="","",PROPER(_xll.BDP($A342&amp;" Corp","COUNTRY_FULL_NAME")))</f>
        <v/>
      </c>
      <c r="H342" s="75">
        <f>IF($A342="","",_xll.BDP($A342&amp;" Corp","INDUSTRY_SECTOR"))</f>
        <v/>
      </c>
      <c r="I342" s="101">
        <f>IF($A342="","",IFERROR(_xll.BDP($A342&amp;" Corp","MIN_PIECE")/1000,""))</f>
        <v/>
      </c>
      <c r="J342" s="31">
        <f>IF($A342="","",_xll.BDP($A342&amp;" Corp","PX_LAST"))</f>
        <v/>
      </c>
      <c r="K342" s="31">
        <f>IF($A342="","",_xll.BDP($A342&amp;" Corp","YAS_BOND_YLD","YAS_YLD_FLAG=15"))</f>
        <v/>
      </c>
      <c r="L342" s="31">
        <f>IF($A342="","",K342-_xll.BDP($A342&amp;" Corp","YAS_BOND_YLD","YAS_YLD_FLAG=15","SETTLE_DT",Company_desc!$A$1))</f>
        <v/>
      </c>
      <c r="M342" s="31">
        <f>IF($A342="","",K342-_xll.BDP($A342&amp;" Corp","YAS_BOND_YLD","YAS_YLD_FLAG=15","SETTLE_DT",Company_desc!$A$2))</f>
        <v/>
      </c>
      <c r="N342" s="79">
        <f>IF($A342="","",_xll.BDP($A342&amp;" Corp","YAS_OAS_SPRD"))</f>
        <v/>
      </c>
      <c r="O342" s="67">
        <f>IF($A342="","",_xll.BDP($A342&amp;" Corp","YAS_MOD_DUR"))</f>
        <v/>
      </c>
      <c r="P342" s="80">
        <f>IF($A342="","",IFERROR(INDEX(Sheet1!$P:$P,MATCH($A342,Sheet1!$A:$A,0)),""))</f>
        <v/>
      </c>
      <c r="Q342" s="75">
        <f>IF($A342="","",IFERROR(INDEX(Company_desc!$C:$C,MATCH($A342,Company_desc!$A:$A,0)),IFERROR(INDEX(Sheet1!$Q:$Q,MATCH($A342,Sheet1!$A:$A,0)),"")))</f>
        <v/>
      </c>
      <c r="R342" s="75">
        <f>IF($A342="","",_xll.BDP($A342&amp;" Corp","CRNCY"))</f>
        <v/>
      </c>
      <c r="S342" s="75">
        <f>IF($A342="","",IFERROR(INDEX(Sheet1!$S:$S,MATCH($A342,Sheet1!$A:$A,0)),""))</f>
        <v/>
      </c>
      <c r="T342" s="75">
        <f>IF($A342="","",IFERROR(INDEX(Sheet1!$T:$T,MATCH($A342,Sheet1!$A:$A,0)),_xll.BDP($A342&amp;" Corp","RTG_SP")))</f>
        <v/>
      </c>
      <c r="U342" s="75">
        <f>IF($A342="","",IFERROR(INDEX(Sheet1!$U:$U,MATCH($A342,Sheet1!$A:$A,0)),""))</f>
        <v/>
      </c>
      <c r="W342" s="81">
        <f>IF($A342="","",N342-_xll.BDP($A342&amp;" Corp","YAS_OAS_SPRD","SETTLE_DT",Company_desc!$A$1))</f>
        <v/>
      </c>
      <c r="X342" s="81">
        <f>IF($A342="","",N342-_xll.BDP($A342&amp;" Corp","YAS_OAS_SPRD","SETTLE_DT",Company_desc!$A$2))</f>
        <v/>
      </c>
      <c r="Y342" s="80">
        <f>IF($A342="","",N342-_xll.BDP($A342&amp;" Corp","YAS_OAS_SPRD","SETTLE_DT",Company_desc!$D$1))</f>
        <v/>
      </c>
      <c r="Z342" s="82">
        <f>IF($A342="","",K342-_xll.BDP($A342&amp;" Corp","YAS_BOND_YLD","YAS_YLD_FLAG=15","SETTLE_DT",Company_desc!$D$1))</f>
        <v/>
      </c>
      <c r="AA342" s="80">
        <f>IF($A342="","",_xll.BDP($A342&amp;" Corp","YAS_OAS_SPRD","SETTLE_DT",Company_desc!$D$1))</f>
        <v/>
      </c>
    </row>
    <row r="343">
      <c r="B343" s="75">
        <f>IF($A343="","",IFERROR(INDEX(Sheet1!$B:$B,MATCH($A343,Sheet1!$A:$A,0)),""))</f>
        <v/>
      </c>
      <c r="C343" s="75">
        <f>IF($A343="","",PROPER(_xll.BDP($A343&amp;" Corp","NAME")))</f>
        <v/>
      </c>
      <c r="D343" s="76">
        <f>IF($A343="","",_xll.BDP($A343&amp;" Corp","CPN"))</f>
        <v/>
      </c>
      <c r="E343" s="75">
        <f>IF($A343="","",_xll.BDP($A343&amp;" Corp","PAYMENT_RANK"))</f>
        <v/>
      </c>
      <c r="F343" s="100">
        <f>IF($A343="","",_xll.BDP($A343&amp;" Corp","MATURITY"))</f>
        <v/>
      </c>
      <c r="G343" s="75">
        <f>IF($A343="","",PROPER(_xll.BDP($A343&amp;" Corp","COUNTRY_FULL_NAME")))</f>
        <v/>
      </c>
      <c r="H343" s="75">
        <f>IF($A343="","",_xll.BDP($A343&amp;" Corp","INDUSTRY_SECTOR"))</f>
        <v/>
      </c>
      <c r="I343" s="101">
        <f>IF($A343="","",IFERROR(_xll.BDP($A343&amp;" Corp","MIN_PIECE")/1000,""))</f>
        <v/>
      </c>
      <c r="J343" s="31">
        <f>IF($A343="","",_xll.BDP($A343&amp;" Corp","PX_LAST"))</f>
        <v/>
      </c>
      <c r="K343" s="31">
        <f>IF($A343="","",_xll.BDP($A343&amp;" Corp","YAS_BOND_YLD","YAS_YLD_FLAG=15"))</f>
        <v/>
      </c>
      <c r="L343" s="31">
        <f>IF($A343="","",K343-_xll.BDP($A343&amp;" Corp","YAS_BOND_YLD","YAS_YLD_FLAG=15","SETTLE_DT",Company_desc!$A$1))</f>
        <v/>
      </c>
      <c r="M343" s="31">
        <f>IF($A343="","",K343-_xll.BDP($A343&amp;" Corp","YAS_BOND_YLD","YAS_YLD_FLAG=15","SETTLE_DT",Company_desc!$A$2))</f>
        <v/>
      </c>
      <c r="N343" s="79">
        <f>IF($A343="","",_xll.BDP($A343&amp;" Corp","YAS_OAS_SPRD"))</f>
        <v/>
      </c>
      <c r="O343" s="67">
        <f>IF($A343="","",_xll.BDP($A343&amp;" Corp","YAS_MOD_DUR"))</f>
        <v/>
      </c>
      <c r="P343" s="80">
        <f>IF($A343="","",IFERROR(INDEX(Sheet1!$P:$P,MATCH($A343,Sheet1!$A:$A,0)),""))</f>
        <v/>
      </c>
      <c r="Q343" s="75">
        <f>IF($A343="","",IFERROR(INDEX(Company_desc!$C:$C,MATCH($A343,Company_desc!$A:$A,0)),IFERROR(INDEX(Sheet1!$Q:$Q,MATCH($A343,Sheet1!$A:$A,0)),"")))</f>
        <v/>
      </c>
      <c r="R343" s="75">
        <f>IF($A343="","",_xll.BDP($A343&amp;" Corp","CRNCY"))</f>
        <v/>
      </c>
      <c r="S343" s="75">
        <f>IF($A343="","",IFERROR(INDEX(Sheet1!$S:$S,MATCH($A343,Sheet1!$A:$A,0)),""))</f>
        <v/>
      </c>
      <c r="T343" s="75">
        <f>IF($A343="","",IFERROR(INDEX(Sheet1!$T:$T,MATCH($A343,Sheet1!$A:$A,0)),_xll.BDP($A343&amp;" Corp","RTG_SP")))</f>
        <v/>
      </c>
      <c r="U343" s="75">
        <f>IF($A343="","",IFERROR(INDEX(Sheet1!$U:$U,MATCH($A343,Sheet1!$A:$A,0)),""))</f>
        <v/>
      </c>
      <c r="W343" s="81">
        <f>IF($A343="","",N343-_xll.BDP($A343&amp;" Corp","YAS_OAS_SPRD","SETTLE_DT",Company_desc!$A$1))</f>
        <v/>
      </c>
      <c r="X343" s="81">
        <f>IF($A343="","",N343-_xll.BDP($A343&amp;" Corp","YAS_OAS_SPRD","SETTLE_DT",Company_desc!$A$2))</f>
        <v/>
      </c>
      <c r="Y343" s="80">
        <f>IF($A343="","",N343-_xll.BDP($A343&amp;" Corp","YAS_OAS_SPRD","SETTLE_DT",Company_desc!$D$1))</f>
        <v/>
      </c>
      <c r="Z343" s="82">
        <f>IF($A343="","",K343-_xll.BDP($A343&amp;" Corp","YAS_BOND_YLD","YAS_YLD_FLAG=15","SETTLE_DT",Company_desc!$D$1))</f>
        <v/>
      </c>
      <c r="AA343" s="80">
        <f>IF($A343="","",_xll.BDP($A343&amp;" Corp","YAS_OAS_SPRD","SETTLE_DT",Company_desc!$D$1))</f>
        <v/>
      </c>
    </row>
    <row r="344">
      <c r="B344" s="75">
        <f>IF($A344="","",IFERROR(INDEX(Sheet1!$B:$B,MATCH($A344,Sheet1!$A:$A,0)),""))</f>
        <v/>
      </c>
      <c r="C344" s="75">
        <f>IF($A344="","",PROPER(_xll.BDP($A344&amp;" Corp","NAME")))</f>
        <v/>
      </c>
      <c r="D344" s="76">
        <f>IF($A344="","",_xll.BDP($A344&amp;" Corp","CPN"))</f>
        <v/>
      </c>
      <c r="E344" s="75">
        <f>IF($A344="","",_xll.BDP($A344&amp;" Corp","PAYMENT_RANK"))</f>
        <v/>
      </c>
      <c r="F344" s="100">
        <f>IF($A344="","",_xll.BDP($A344&amp;" Corp","MATURITY"))</f>
        <v/>
      </c>
      <c r="G344" s="75">
        <f>IF($A344="","",PROPER(_xll.BDP($A344&amp;" Corp","COUNTRY_FULL_NAME")))</f>
        <v/>
      </c>
      <c r="H344" s="75">
        <f>IF($A344="","",_xll.BDP($A344&amp;" Corp","INDUSTRY_SECTOR"))</f>
        <v/>
      </c>
      <c r="I344" s="101">
        <f>IF($A344="","",IFERROR(_xll.BDP($A344&amp;" Corp","MIN_PIECE")/1000,""))</f>
        <v/>
      </c>
      <c r="J344" s="31">
        <f>IF($A344="","",_xll.BDP($A344&amp;" Corp","PX_LAST"))</f>
        <v/>
      </c>
      <c r="K344" s="31">
        <f>IF($A344="","",_xll.BDP($A344&amp;" Corp","YAS_BOND_YLD","YAS_YLD_FLAG=15"))</f>
        <v/>
      </c>
      <c r="L344" s="31">
        <f>IF($A344="","",K344-_xll.BDP($A344&amp;" Corp","YAS_BOND_YLD","YAS_YLD_FLAG=15","SETTLE_DT",Company_desc!$A$1))</f>
        <v/>
      </c>
      <c r="M344" s="31">
        <f>IF($A344="","",K344-_xll.BDP($A344&amp;" Corp","YAS_BOND_YLD","YAS_YLD_FLAG=15","SETTLE_DT",Company_desc!$A$2))</f>
        <v/>
      </c>
      <c r="N344" s="79">
        <f>IF($A344="","",_xll.BDP($A344&amp;" Corp","YAS_OAS_SPRD"))</f>
        <v/>
      </c>
      <c r="O344" s="67">
        <f>IF($A344="","",_xll.BDP($A344&amp;" Corp","YAS_MOD_DUR"))</f>
        <v/>
      </c>
      <c r="P344" s="80">
        <f>IF($A344="","",IFERROR(INDEX(Sheet1!$P:$P,MATCH($A344,Sheet1!$A:$A,0)),""))</f>
        <v/>
      </c>
      <c r="Q344" s="75">
        <f>IF($A344="","",IFERROR(INDEX(Company_desc!$C:$C,MATCH($A344,Company_desc!$A:$A,0)),IFERROR(INDEX(Sheet1!$Q:$Q,MATCH($A344,Sheet1!$A:$A,0)),"")))</f>
        <v/>
      </c>
      <c r="R344" s="75">
        <f>IF($A344="","",_xll.BDP($A344&amp;" Corp","CRNCY"))</f>
        <v/>
      </c>
      <c r="S344" s="75">
        <f>IF($A344="","",IFERROR(INDEX(Sheet1!$S:$S,MATCH($A344,Sheet1!$A:$A,0)),""))</f>
        <v/>
      </c>
      <c r="T344" s="75">
        <f>IF($A344="","",IFERROR(INDEX(Sheet1!$T:$T,MATCH($A344,Sheet1!$A:$A,0)),_xll.BDP($A344&amp;" Corp","RTG_SP")))</f>
        <v/>
      </c>
      <c r="U344" s="75">
        <f>IF($A344="","",IFERROR(INDEX(Sheet1!$U:$U,MATCH($A344,Sheet1!$A:$A,0)),""))</f>
        <v/>
      </c>
      <c r="W344" s="81">
        <f>IF($A344="","",N344-_xll.BDP($A344&amp;" Corp","YAS_OAS_SPRD","SETTLE_DT",Company_desc!$A$1))</f>
        <v/>
      </c>
      <c r="X344" s="81">
        <f>IF($A344="","",N344-_xll.BDP($A344&amp;" Corp","YAS_OAS_SPRD","SETTLE_DT",Company_desc!$A$2))</f>
        <v/>
      </c>
      <c r="Y344" s="80">
        <f>IF($A344="","",N344-_xll.BDP($A344&amp;" Corp","YAS_OAS_SPRD","SETTLE_DT",Company_desc!$D$1))</f>
        <v/>
      </c>
      <c r="Z344" s="82">
        <f>IF($A344="","",K344-_xll.BDP($A344&amp;" Corp","YAS_BOND_YLD","YAS_YLD_FLAG=15","SETTLE_DT",Company_desc!$D$1))</f>
        <v/>
      </c>
      <c r="AA344" s="80">
        <f>IF($A344="","",_xll.BDP($A344&amp;" Corp","YAS_OAS_SPRD","SETTLE_DT",Company_desc!$D$1))</f>
        <v/>
      </c>
    </row>
    <row r="345">
      <c r="B345" s="75">
        <f>IF($A345="","",IFERROR(INDEX(Sheet1!$B:$B,MATCH($A345,Sheet1!$A:$A,0)),""))</f>
        <v/>
      </c>
      <c r="C345" s="75">
        <f>IF($A345="","",PROPER(_xll.BDP($A345&amp;" Corp","NAME")))</f>
        <v/>
      </c>
      <c r="D345" s="76">
        <f>IF($A345="","",_xll.BDP($A345&amp;" Corp","CPN"))</f>
        <v/>
      </c>
      <c r="E345" s="75">
        <f>IF($A345="","",_xll.BDP($A345&amp;" Corp","PAYMENT_RANK"))</f>
        <v/>
      </c>
      <c r="F345" s="100">
        <f>IF($A345="","",_xll.BDP($A345&amp;" Corp","MATURITY"))</f>
        <v/>
      </c>
      <c r="G345" s="75">
        <f>IF($A345="","",PROPER(_xll.BDP($A345&amp;" Corp","COUNTRY_FULL_NAME")))</f>
        <v/>
      </c>
      <c r="H345" s="75">
        <f>IF($A345="","",_xll.BDP($A345&amp;" Corp","INDUSTRY_SECTOR"))</f>
        <v/>
      </c>
      <c r="I345" s="101">
        <f>IF($A345="","",IFERROR(_xll.BDP($A345&amp;" Corp","MIN_PIECE")/1000,""))</f>
        <v/>
      </c>
      <c r="J345" s="31">
        <f>IF($A345="","",_xll.BDP($A345&amp;" Corp","PX_LAST"))</f>
        <v/>
      </c>
      <c r="K345" s="31">
        <f>IF($A345="","",_xll.BDP($A345&amp;" Corp","YAS_BOND_YLD","YAS_YLD_FLAG=15"))</f>
        <v/>
      </c>
      <c r="L345" s="31">
        <f>IF($A345="","",K345-_xll.BDP($A345&amp;" Corp","YAS_BOND_YLD","YAS_YLD_FLAG=15","SETTLE_DT",Company_desc!$A$1))</f>
        <v/>
      </c>
      <c r="M345" s="31">
        <f>IF($A345="","",K345-_xll.BDP($A345&amp;" Corp","YAS_BOND_YLD","YAS_YLD_FLAG=15","SETTLE_DT",Company_desc!$A$2))</f>
        <v/>
      </c>
      <c r="N345" s="79">
        <f>IF($A345="","",_xll.BDP($A345&amp;" Corp","YAS_OAS_SPRD"))</f>
        <v/>
      </c>
      <c r="O345" s="67">
        <f>IF($A345="","",_xll.BDP($A345&amp;" Corp","YAS_MOD_DUR"))</f>
        <v/>
      </c>
      <c r="P345" s="80">
        <f>IF($A345="","",IFERROR(INDEX(Sheet1!$P:$P,MATCH($A345,Sheet1!$A:$A,0)),""))</f>
        <v/>
      </c>
      <c r="Q345" s="75">
        <f>IF($A345="","",IFERROR(INDEX(Company_desc!$C:$C,MATCH($A345,Company_desc!$A:$A,0)),IFERROR(INDEX(Sheet1!$Q:$Q,MATCH($A345,Sheet1!$A:$A,0)),"")))</f>
        <v/>
      </c>
      <c r="R345" s="75">
        <f>IF($A345="","",_xll.BDP($A345&amp;" Corp","CRNCY"))</f>
        <v/>
      </c>
      <c r="S345" s="75">
        <f>IF($A345="","",IFERROR(INDEX(Sheet1!$S:$S,MATCH($A345,Sheet1!$A:$A,0)),""))</f>
        <v/>
      </c>
      <c r="T345" s="75">
        <f>IF($A345="","",IFERROR(INDEX(Sheet1!$T:$T,MATCH($A345,Sheet1!$A:$A,0)),_xll.BDP($A345&amp;" Corp","RTG_SP")))</f>
        <v/>
      </c>
      <c r="U345" s="75">
        <f>IF($A345="","",IFERROR(INDEX(Sheet1!$U:$U,MATCH($A345,Sheet1!$A:$A,0)),""))</f>
        <v/>
      </c>
      <c r="W345" s="81">
        <f>IF($A345="","",N345-_xll.BDP($A345&amp;" Corp","YAS_OAS_SPRD","SETTLE_DT",Company_desc!$A$1))</f>
        <v/>
      </c>
      <c r="X345" s="81">
        <f>IF($A345="","",N345-_xll.BDP($A345&amp;" Corp","YAS_OAS_SPRD","SETTLE_DT",Company_desc!$A$2))</f>
        <v/>
      </c>
      <c r="Y345" s="80">
        <f>IF($A345="","",N345-_xll.BDP($A345&amp;" Corp","YAS_OAS_SPRD","SETTLE_DT",Company_desc!$D$1))</f>
        <v/>
      </c>
      <c r="Z345" s="82">
        <f>IF($A345="","",K345-_xll.BDP($A345&amp;" Corp","YAS_BOND_YLD","YAS_YLD_FLAG=15","SETTLE_DT",Company_desc!$D$1))</f>
        <v/>
      </c>
      <c r="AA345" s="80">
        <f>IF($A345="","",_xll.BDP($A345&amp;" Corp","YAS_OAS_SPRD","SETTLE_DT",Company_desc!$D$1))</f>
        <v/>
      </c>
    </row>
    <row r="346">
      <c r="B346" s="75">
        <f>IF($A346="","",IFERROR(INDEX(Sheet1!$B:$B,MATCH($A346,Sheet1!$A:$A,0)),""))</f>
        <v/>
      </c>
      <c r="C346" s="75">
        <f>IF($A346="","",PROPER(_xll.BDP($A346&amp;" Corp","NAME")))</f>
        <v/>
      </c>
      <c r="D346" s="76">
        <f>IF($A346="","",_xll.BDP($A346&amp;" Corp","CPN"))</f>
        <v/>
      </c>
      <c r="E346" s="75">
        <f>IF($A346="","",_xll.BDP($A346&amp;" Corp","PAYMENT_RANK"))</f>
        <v/>
      </c>
      <c r="F346" s="100">
        <f>IF($A346="","",_xll.BDP($A346&amp;" Corp","MATURITY"))</f>
        <v/>
      </c>
      <c r="G346" s="75">
        <f>IF($A346="","",PROPER(_xll.BDP($A346&amp;" Corp","COUNTRY_FULL_NAME")))</f>
        <v/>
      </c>
      <c r="H346" s="75">
        <f>IF($A346="","",_xll.BDP($A346&amp;" Corp","INDUSTRY_SECTOR"))</f>
        <v/>
      </c>
      <c r="I346" s="101">
        <f>IF($A346="","",IFERROR(_xll.BDP($A346&amp;" Corp","MIN_PIECE")/1000,""))</f>
        <v/>
      </c>
      <c r="J346" s="31">
        <f>IF($A346="","",_xll.BDP($A346&amp;" Corp","PX_LAST"))</f>
        <v/>
      </c>
      <c r="K346" s="31">
        <f>IF($A346="","",_xll.BDP($A346&amp;" Corp","YAS_BOND_YLD","YAS_YLD_FLAG=15"))</f>
        <v/>
      </c>
      <c r="L346" s="31">
        <f>IF($A346="","",K346-_xll.BDP($A346&amp;" Corp","YAS_BOND_YLD","YAS_YLD_FLAG=15","SETTLE_DT",Company_desc!$A$1))</f>
        <v/>
      </c>
      <c r="M346" s="31">
        <f>IF($A346="","",K346-_xll.BDP($A346&amp;" Corp","YAS_BOND_YLD","YAS_YLD_FLAG=15","SETTLE_DT",Company_desc!$A$2))</f>
        <v/>
      </c>
      <c r="N346" s="79">
        <f>IF($A346="","",_xll.BDP($A346&amp;" Corp","YAS_OAS_SPRD"))</f>
        <v/>
      </c>
      <c r="O346" s="67">
        <f>IF($A346="","",_xll.BDP($A346&amp;" Corp","YAS_MOD_DUR"))</f>
        <v/>
      </c>
      <c r="P346" s="80">
        <f>IF($A346="","",IFERROR(INDEX(Sheet1!$P:$P,MATCH($A346,Sheet1!$A:$A,0)),""))</f>
        <v/>
      </c>
      <c r="Q346" s="75">
        <f>IF($A346="","",IFERROR(INDEX(Company_desc!$C:$C,MATCH($A346,Company_desc!$A:$A,0)),IFERROR(INDEX(Sheet1!$Q:$Q,MATCH($A346,Sheet1!$A:$A,0)),"")))</f>
        <v/>
      </c>
      <c r="R346" s="75">
        <f>IF($A346="","",_xll.BDP($A346&amp;" Corp","CRNCY"))</f>
        <v/>
      </c>
      <c r="S346" s="75">
        <f>IF($A346="","",IFERROR(INDEX(Sheet1!$S:$S,MATCH($A346,Sheet1!$A:$A,0)),""))</f>
        <v/>
      </c>
      <c r="T346" s="75">
        <f>IF($A346="","",IFERROR(INDEX(Sheet1!$T:$T,MATCH($A346,Sheet1!$A:$A,0)),_xll.BDP($A346&amp;" Corp","RTG_SP")))</f>
        <v/>
      </c>
      <c r="U346" s="75">
        <f>IF($A346="","",IFERROR(INDEX(Sheet1!$U:$U,MATCH($A346,Sheet1!$A:$A,0)),""))</f>
        <v/>
      </c>
      <c r="W346" s="81">
        <f>IF($A346="","",N346-_xll.BDP($A346&amp;" Corp","YAS_OAS_SPRD","SETTLE_DT",Company_desc!$A$1))</f>
        <v/>
      </c>
      <c r="X346" s="81">
        <f>IF($A346="","",N346-_xll.BDP($A346&amp;" Corp","YAS_OAS_SPRD","SETTLE_DT",Company_desc!$A$2))</f>
        <v/>
      </c>
      <c r="Y346" s="80">
        <f>IF($A346="","",N346-_xll.BDP($A346&amp;" Corp","YAS_OAS_SPRD","SETTLE_DT",Company_desc!$D$1))</f>
        <v/>
      </c>
      <c r="Z346" s="82">
        <f>IF($A346="","",K346-_xll.BDP($A346&amp;" Corp","YAS_BOND_YLD","YAS_YLD_FLAG=15","SETTLE_DT",Company_desc!$D$1))</f>
        <v/>
      </c>
      <c r="AA346" s="80">
        <f>IF($A346="","",_xll.BDP($A346&amp;" Corp","YAS_OAS_SPRD","SETTLE_DT",Company_desc!$D$1))</f>
        <v/>
      </c>
    </row>
    <row r="347">
      <c r="B347" s="75">
        <f>IF($A347="","",IFERROR(INDEX(Sheet1!$B:$B,MATCH($A347,Sheet1!$A:$A,0)),""))</f>
        <v/>
      </c>
      <c r="C347" s="75">
        <f>IF($A347="","",PROPER(_xll.BDP($A347&amp;" Corp","NAME")))</f>
        <v/>
      </c>
      <c r="D347" s="76">
        <f>IF($A347="","",_xll.BDP($A347&amp;" Corp","CPN"))</f>
        <v/>
      </c>
      <c r="E347" s="75">
        <f>IF($A347="","",_xll.BDP($A347&amp;" Corp","PAYMENT_RANK"))</f>
        <v/>
      </c>
      <c r="F347" s="100">
        <f>IF($A347="","",_xll.BDP($A347&amp;" Corp","MATURITY"))</f>
        <v/>
      </c>
      <c r="G347" s="75">
        <f>IF($A347="","",PROPER(_xll.BDP($A347&amp;" Corp","COUNTRY_FULL_NAME")))</f>
        <v/>
      </c>
      <c r="H347" s="75">
        <f>IF($A347="","",_xll.BDP($A347&amp;" Corp","INDUSTRY_SECTOR"))</f>
        <v/>
      </c>
      <c r="I347" s="101">
        <f>IF($A347="","",IFERROR(_xll.BDP($A347&amp;" Corp","MIN_PIECE")/1000,""))</f>
        <v/>
      </c>
      <c r="J347" s="31">
        <f>IF($A347="","",_xll.BDP($A347&amp;" Corp","PX_LAST"))</f>
        <v/>
      </c>
      <c r="K347" s="31">
        <f>IF($A347="","",_xll.BDP($A347&amp;" Corp","YAS_BOND_YLD","YAS_YLD_FLAG=15"))</f>
        <v/>
      </c>
      <c r="L347" s="31">
        <f>IF($A347="","",K347-_xll.BDP($A347&amp;" Corp","YAS_BOND_YLD","YAS_YLD_FLAG=15","SETTLE_DT",Company_desc!$A$1))</f>
        <v/>
      </c>
      <c r="M347" s="31">
        <f>IF($A347="","",K347-_xll.BDP($A347&amp;" Corp","YAS_BOND_YLD","YAS_YLD_FLAG=15","SETTLE_DT",Company_desc!$A$2))</f>
        <v/>
      </c>
      <c r="N347" s="79">
        <f>IF($A347="","",_xll.BDP($A347&amp;" Corp","YAS_OAS_SPRD"))</f>
        <v/>
      </c>
      <c r="O347" s="67">
        <f>IF($A347="","",_xll.BDP($A347&amp;" Corp","YAS_MOD_DUR"))</f>
        <v/>
      </c>
      <c r="P347" s="80">
        <f>IF($A347="","",IFERROR(INDEX(Sheet1!$P:$P,MATCH($A347,Sheet1!$A:$A,0)),""))</f>
        <v/>
      </c>
      <c r="Q347" s="75">
        <f>IF($A347="","",IFERROR(INDEX(Company_desc!$C:$C,MATCH($A347,Company_desc!$A:$A,0)),IFERROR(INDEX(Sheet1!$Q:$Q,MATCH($A347,Sheet1!$A:$A,0)),"")))</f>
        <v/>
      </c>
      <c r="R347" s="75">
        <f>IF($A347="","",_xll.BDP($A347&amp;" Corp","CRNCY"))</f>
        <v/>
      </c>
      <c r="S347" s="75">
        <f>IF($A347="","",IFERROR(INDEX(Sheet1!$S:$S,MATCH($A347,Sheet1!$A:$A,0)),""))</f>
        <v/>
      </c>
      <c r="T347" s="75">
        <f>IF($A347="","",IFERROR(INDEX(Sheet1!$T:$T,MATCH($A347,Sheet1!$A:$A,0)),_xll.BDP($A347&amp;" Corp","RTG_SP")))</f>
        <v/>
      </c>
      <c r="U347" s="75">
        <f>IF($A347="","",IFERROR(INDEX(Sheet1!$U:$U,MATCH($A347,Sheet1!$A:$A,0)),""))</f>
        <v/>
      </c>
      <c r="W347" s="81">
        <f>IF($A347="","",N347-_xll.BDP($A347&amp;" Corp","YAS_OAS_SPRD","SETTLE_DT",Company_desc!$A$1))</f>
        <v/>
      </c>
      <c r="X347" s="81">
        <f>IF($A347="","",N347-_xll.BDP($A347&amp;" Corp","YAS_OAS_SPRD","SETTLE_DT",Company_desc!$A$2))</f>
        <v/>
      </c>
      <c r="Y347" s="80">
        <f>IF($A347="","",N347-_xll.BDP($A347&amp;" Corp","YAS_OAS_SPRD","SETTLE_DT",Company_desc!$D$1))</f>
        <v/>
      </c>
      <c r="Z347" s="82">
        <f>IF($A347="","",K347-_xll.BDP($A347&amp;" Corp","YAS_BOND_YLD","YAS_YLD_FLAG=15","SETTLE_DT",Company_desc!$D$1))</f>
        <v/>
      </c>
      <c r="AA347" s="80">
        <f>IF($A347="","",_xll.BDP($A347&amp;" Corp","YAS_OAS_SPRD","SETTLE_DT",Company_desc!$D$1))</f>
        <v/>
      </c>
    </row>
    <row r="348">
      <c r="B348" s="75">
        <f>IF($A348="","",IFERROR(INDEX(Sheet1!$B:$B,MATCH($A348,Sheet1!$A:$A,0)),""))</f>
        <v/>
      </c>
      <c r="C348" s="75">
        <f>IF($A348="","",PROPER(_xll.BDP($A348&amp;" Corp","NAME")))</f>
        <v/>
      </c>
      <c r="D348" s="76">
        <f>IF($A348="","",_xll.BDP($A348&amp;" Corp","CPN"))</f>
        <v/>
      </c>
      <c r="E348" s="75">
        <f>IF($A348="","",_xll.BDP($A348&amp;" Corp","PAYMENT_RANK"))</f>
        <v/>
      </c>
      <c r="F348" s="100">
        <f>IF($A348="","",_xll.BDP($A348&amp;" Corp","MATURITY"))</f>
        <v/>
      </c>
      <c r="G348" s="75">
        <f>IF($A348="","",PROPER(_xll.BDP($A348&amp;" Corp","COUNTRY_FULL_NAME")))</f>
        <v/>
      </c>
      <c r="H348" s="75">
        <f>IF($A348="","",_xll.BDP($A348&amp;" Corp","INDUSTRY_SECTOR"))</f>
        <v/>
      </c>
      <c r="I348" s="101">
        <f>IF($A348="","",IFERROR(_xll.BDP($A348&amp;" Corp","MIN_PIECE")/1000,""))</f>
        <v/>
      </c>
      <c r="J348" s="31">
        <f>IF($A348="","",_xll.BDP($A348&amp;" Corp","PX_LAST"))</f>
        <v/>
      </c>
      <c r="K348" s="31">
        <f>IF($A348="","",_xll.BDP($A348&amp;" Corp","YAS_BOND_YLD","YAS_YLD_FLAG=15"))</f>
        <v/>
      </c>
      <c r="L348" s="31">
        <f>IF($A348="","",K348-_xll.BDP($A348&amp;" Corp","YAS_BOND_YLD","YAS_YLD_FLAG=15","SETTLE_DT",Company_desc!$A$1))</f>
        <v/>
      </c>
      <c r="M348" s="31">
        <f>IF($A348="","",K348-_xll.BDP($A348&amp;" Corp","YAS_BOND_YLD","YAS_YLD_FLAG=15","SETTLE_DT",Company_desc!$A$2))</f>
        <v/>
      </c>
      <c r="N348" s="79">
        <f>IF($A348="","",_xll.BDP($A348&amp;" Corp","YAS_OAS_SPRD"))</f>
        <v/>
      </c>
      <c r="O348" s="67">
        <f>IF($A348="","",_xll.BDP($A348&amp;" Corp","YAS_MOD_DUR"))</f>
        <v/>
      </c>
      <c r="P348" s="80">
        <f>IF($A348="","",IFERROR(INDEX(Sheet1!$P:$P,MATCH($A348,Sheet1!$A:$A,0)),""))</f>
        <v/>
      </c>
      <c r="Q348" s="75">
        <f>IF($A348="","",IFERROR(INDEX(Company_desc!$C:$C,MATCH($A348,Company_desc!$A:$A,0)),IFERROR(INDEX(Sheet1!$Q:$Q,MATCH($A348,Sheet1!$A:$A,0)),"")))</f>
        <v/>
      </c>
      <c r="R348" s="75">
        <f>IF($A348="","",_xll.BDP($A348&amp;" Corp","CRNCY"))</f>
        <v/>
      </c>
      <c r="S348" s="75">
        <f>IF($A348="","",IFERROR(INDEX(Sheet1!$S:$S,MATCH($A348,Sheet1!$A:$A,0)),""))</f>
        <v/>
      </c>
      <c r="T348" s="75">
        <f>IF($A348="","",IFERROR(INDEX(Sheet1!$T:$T,MATCH($A348,Sheet1!$A:$A,0)),_xll.BDP($A348&amp;" Corp","RTG_SP")))</f>
        <v/>
      </c>
      <c r="U348" s="75">
        <f>IF($A348="","",IFERROR(INDEX(Sheet1!$U:$U,MATCH($A348,Sheet1!$A:$A,0)),""))</f>
        <v/>
      </c>
      <c r="W348" s="81">
        <f>IF($A348="","",N348-_xll.BDP($A348&amp;" Corp","YAS_OAS_SPRD","SETTLE_DT",Company_desc!$A$1))</f>
        <v/>
      </c>
      <c r="X348" s="81">
        <f>IF($A348="","",N348-_xll.BDP($A348&amp;" Corp","YAS_OAS_SPRD","SETTLE_DT",Company_desc!$A$2))</f>
        <v/>
      </c>
      <c r="Y348" s="80">
        <f>IF($A348="","",N348-_xll.BDP($A348&amp;" Corp","YAS_OAS_SPRD","SETTLE_DT",Company_desc!$D$1))</f>
        <v/>
      </c>
      <c r="Z348" s="82">
        <f>IF($A348="","",K348-_xll.BDP($A348&amp;" Corp","YAS_BOND_YLD","YAS_YLD_FLAG=15","SETTLE_DT",Company_desc!$D$1))</f>
        <v/>
      </c>
      <c r="AA348" s="80">
        <f>IF($A348="","",_xll.BDP($A348&amp;" Corp","YAS_OAS_SPRD","SETTLE_DT",Company_desc!$D$1))</f>
        <v/>
      </c>
    </row>
    <row r="349">
      <c r="B349" s="75">
        <f>IF($A349="","",IFERROR(INDEX(Sheet1!$B:$B,MATCH($A349,Sheet1!$A:$A,0)),""))</f>
        <v/>
      </c>
      <c r="C349" s="75">
        <f>IF($A349="","",PROPER(_xll.BDP($A349&amp;" Corp","NAME")))</f>
        <v/>
      </c>
      <c r="D349" s="76">
        <f>IF($A349="","",_xll.BDP($A349&amp;" Corp","CPN"))</f>
        <v/>
      </c>
      <c r="E349" s="75">
        <f>IF($A349="","",_xll.BDP($A349&amp;" Corp","PAYMENT_RANK"))</f>
        <v/>
      </c>
      <c r="F349" s="100">
        <f>IF($A349="","",_xll.BDP($A349&amp;" Corp","MATURITY"))</f>
        <v/>
      </c>
      <c r="G349" s="75">
        <f>IF($A349="","",PROPER(_xll.BDP($A349&amp;" Corp","COUNTRY_FULL_NAME")))</f>
        <v/>
      </c>
      <c r="H349" s="75">
        <f>IF($A349="","",_xll.BDP($A349&amp;" Corp","INDUSTRY_SECTOR"))</f>
        <v/>
      </c>
      <c r="I349" s="101">
        <f>IF($A349="","",IFERROR(_xll.BDP($A349&amp;" Corp","MIN_PIECE")/1000,""))</f>
        <v/>
      </c>
      <c r="J349" s="31">
        <f>IF($A349="","",_xll.BDP($A349&amp;" Corp","PX_LAST"))</f>
        <v/>
      </c>
      <c r="K349" s="31">
        <f>IF($A349="","",_xll.BDP($A349&amp;" Corp","YAS_BOND_YLD","YAS_YLD_FLAG=15"))</f>
        <v/>
      </c>
      <c r="L349" s="31">
        <f>IF($A349="","",K349-_xll.BDP($A349&amp;" Corp","YAS_BOND_YLD","YAS_YLD_FLAG=15","SETTLE_DT",Company_desc!$A$1))</f>
        <v/>
      </c>
      <c r="M349" s="31">
        <f>IF($A349="","",K349-_xll.BDP($A349&amp;" Corp","YAS_BOND_YLD","YAS_YLD_FLAG=15","SETTLE_DT",Company_desc!$A$2))</f>
        <v/>
      </c>
      <c r="N349" s="79">
        <f>IF($A349="","",_xll.BDP($A349&amp;" Corp","YAS_OAS_SPRD"))</f>
        <v/>
      </c>
      <c r="O349" s="67">
        <f>IF($A349="","",_xll.BDP($A349&amp;" Corp","YAS_MOD_DUR"))</f>
        <v/>
      </c>
      <c r="P349" s="80">
        <f>IF($A349="","",IFERROR(INDEX(Sheet1!$P:$P,MATCH($A349,Sheet1!$A:$A,0)),""))</f>
        <v/>
      </c>
      <c r="Q349" s="75">
        <f>IF($A349="","",IFERROR(INDEX(Company_desc!$C:$C,MATCH($A349,Company_desc!$A:$A,0)),IFERROR(INDEX(Sheet1!$Q:$Q,MATCH($A349,Sheet1!$A:$A,0)),"")))</f>
        <v/>
      </c>
      <c r="R349" s="75">
        <f>IF($A349="","",_xll.BDP($A349&amp;" Corp","CRNCY"))</f>
        <v/>
      </c>
      <c r="S349" s="75">
        <f>IF($A349="","",IFERROR(INDEX(Sheet1!$S:$S,MATCH($A349,Sheet1!$A:$A,0)),""))</f>
        <v/>
      </c>
      <c r="T349" s="75">
        <f>IF($A349="","",IFERROR(INDEX(Sheet1!$T:$T,MATCH($A349,Sheet1!$A:$A,0)),_xll.BDP($A349&amp;" Corp","RTG_SP")))</f>
        <v/>
      </c>
      <c r="U349" s="75">
        <f>IF($A349="","",IFERROR(INDEX(Sheet1!$U:$U,MATCH($A349,Sheet1!$A:$A,0)),""))</f>
        <v/>
      </c>
      <c r="W349" s="81">
        <f>IF($A349="","",N349-_xll.BDP($A349&amp;" Corp","YAS_OAS_SPRD","SETTLE_DT",Company_desc!$A$1))</f>
        <v/>
      </c>
      <c r="X349" s="81">
        <f>IF($A349="","",N349-_xll.BDP($A349&amp;" Corp","YAS_OAS_SPRD","SETTLE_DT",Company_desc!$A$2))</f>
        <v/>
      </c>
      <c r="Y349" s="80">
        <f>IF($A349="","",N349-_xll.BDP($A349&amp;" Corp","YAS_OAS_SPRD","SETTLE_DT",Company_desc!$D$1))</f>
        <v/>
      </c>
      <c r="Z349" s="82">
        <f>IF($A349="","",K349-_xll.BDP($A349&amp;" Corp","YAS_BOND_YLD","YAS_YLD_FLAG=15","SETTLE_DT",Company_desc!$D$1))</f>
        <v/>
      </c>
      <c r="AA349" s="80">
        <f>IF($A349="","",_xll.BDP($A349&amp;" Corp","YAS_OAS_SPRD","SETTLE_DT",Company_desc!$D$1))</f>
        <v/>
      </c>
    </row>
    <row r="350">
      <c r="B350" s="75">
        <f>IF($A350="","",IFERROR(INDEX(Sheet1!$B:$B,MATCH($A350,Sheet1!$A:$A,0)),""))</f>
        <v/>
      </c>
      <c r="C350" s="75">
        <f>IF($A350="","",PROPER(_xll.BDP($A350&amp;" Corp","NAME")))</f>
        <v/>
      </c>
      <c r="D350" s="76">
        <f>IF($A350="","",_xll.BDP($A350&amp;" Corp","CPN"))</f>
        <v/>
      </c>
      <c r="E350" s="75">
        <f>IF($A350="","",_xll.BDP($A350&amp;" Corp","PAYMENT_RANK"))</f>
        <v/>
      </c>
      <c r="F350" s="100">
        <f>IF($A350="","",_xll.BDP($A350&amp;" Corp","MATURITY"))</f>
        <v/>
      </c>
      <c r="G350" s="75">
        <f>IF($A350="","",PROPER(_xll.BDP($A350&amp;" Corp","COUNTRY_FULL_NAME")))</f>
        <v/>
      </c>
      <c r="H350" s="75">
        <f>IF($A350="","",_xll.BDP($A350&amp;" Corp","INDUSTRY_SECTOR"))</f>
        <v/>
      </c>
      <c r="I350" s="101">
        <f>IF($A350="","",IFERROR(_xll.BDP($A350&amp;" Corp","MIN_PIECE")/1000,""))</f>
        <v/>
      </c>
      <c r="J350" s="31">
        <f>IF($A350="","",_xll.BDP($A350&amp;" Corp","PX_LAST"))</f>
        <v/>
      </c>
      <c r="K350" s="31">
        <f>IF($A350="","",_xll.BDP($A350&amp;" Corp","YAS_BOND_YLD","YAS_YLD_FLAG=15"))</f>
        <v/>
      </c>
      <c r="L350" s="31">
        <f>IF($A350="","",K350-_xll.BDP($A350&amp;" Corp","YAS_BOND_YLD","YAS_YLD_FLAG=15","SETTLE_DT",Company_desc!$A$1))</f>
        <v/>
      </c>
      <c r="M350" s="31">
        <f>IF($A350="","",K350-_xll.BDP($A350&amp;" Corp","YAS_BOND_YLD","YAS_YLD_FLAG=15","SETTLE_DT",Company_desc!$A$2))</f>
        <v/>
      </c>
      <c r="N350" s="79">
        <f>IF($A350="","",_xll.BDP($A350&amp;" Corp","YAS_OAS_SPRD"))</f>
        <v/>
      </c>
      <c r="O350" s="67">
        <f>IF($A350="","",_xll.BDP($A350&amp;" Corp","YAS_MOD_DUR"))</f>
        <v/>
      </c>
      <c r="P350" s="80">
        <f>IF($A350="","",IFERROR(INDEX(Sheet1!$P:$P,MATCH($A350,Sheet1!$A:$A,0)),""))</f>
        <v/>
      </c>
      <c r="Q350" s="75">
        <f>IF($A350="","",IFERROR(INDEX(Company_desc!$C:$C,MATCH($A350,Company_desc!$A:$A,0)),IFERROR(INDEX(Sheet1!$Q:$Q,MATCH($A350,Sheet1!$A:$A,0)),"")))</f>
        <v/>
      </c>
      <c r="R350" s="75">
        <f>IF($A350="","",_xll.BDP($A350&amp;" Corp","CRNCY"))</f>
        <v/>
      </c>
      <c r="S350" s="75">
        <f>IF($A350="","",IFERROR(INDEX(Sheet1!$S:$S,MATCH($A350,Sheet1!$A:$A,0)),""))</f>
        <v/>
      </c>
      <c r="T350" s="75">
        <f>IF($A350="","",IFERROR(INDEX(Sheet1!$T:$T,MATCH($A350,Sheet1!$A:$A,0)),_xll.BDP($A350&amp;" Corp","RTG_SP")))</f>
        <v/>
      </c>
      <c r="U350" s="75">
        <f>IF($A350="","",IFERROR(INDEX(Sheet1!$U:$U,MATCH($A350,Sheet1!$A:$A,0)),""))</f>
        <v/>
      </c>
      <c r="W350" s="81">
        <f>IF($A350="","",N350-_xll.BDP($A350&amp;" Corp","YAS_OAS_SPRD","SETTLE_DT",Company_desc!$A$1))</f>
        <v/>
      </c>
      <c r="X350" s="81">
        <f>IF($A350="","",N350-_xll.BDP($A350&amp;" Corp","YAS_OAS_SPRD","SETTLE_DT",Company_desc!$A$2))</f>
        <v/>
      </c>
      <c r="Y350" s="80">
        <f>IF($A350="","",N350-_xll.BDP($A350&amp;" Corp","YAS_OAS_SPRD","SETTLE_DT",Company_desc!$D$1))</f>
        <v/>
      </c>
      <c r="Z350" s="82">
        <f>IF($A350="","",K350-_xll.BDP($A350&amp;" Corp","YAS_BOND_YLD","YAS_YLD_FLAG=15","SETTLE_DT",Company_desc!$D$1))</f>
        <v/>
      </c>
      <c r="AA350" s="80">
        <f>IF($A350="","",_xll.BDP($A350&amp;" Corp","YAS_OAS_SPRD","SETTLE_DT",Company_desc!$D$1))</f>
        <v/>
      </c>
    </row>
    <row r="351">
      <c r="B351" s="75">
        <f>IF($A351="","",IFERROR(INDEX(Sheet1!$B:$B,MATCH($A351,Sheet1!$A:$A,0)),""))</f>
        <v/>
      </c>
      <c r="C351" s="75">
        <f>IF($A351="","",PROPER(_xll.BDP($A351&amp;" Corp","NAME")))</f>
        <v/>
      </c>
      <c r="D351" s="76">
        <f>IF($A351="","",_xll.BDP($A351&amp;" Corp","CPN"))</f>
        <v/>
      </c>
      <c r="E351" s="75">
        <f>IF($A351="","",_xll.BDP($A351&amp;" Corp","PAYMENT_RANK"))</f>
        <v/>
      </c>
      <c r="F351" s="100">
        <f>IF($A351="","",_xll.BDP($A351&amp;" Corp","MATURITY"))</f>
        <v/>
      </c>
      <c r="G351" s="75">
        <f>IF($A351="","",PROPER(_xll.BDP($A351&amp;" Corp","COUNTRY_FULL_NAME")))</f>
        <v/>
      </c>
      <c r="H351" s="75">
        <f>IF($A351="","",_xll.BDP($A351&amp;" Corp","INDUSTRY_SECTOR"))</f>
        <v/>
      </c>
      <c r="I351" s="101">
        <f>IF($A351="","",IFERROR(_xll.BDP($A351&amp;" Corp","MIN_PIECE")/1000,""))</f>
        <v/>
      </c>
      <c r="J351" s="31">
        <f>IF($A351="","",_xll.BDP($A351&amp;" Corp","PX_LAST"))</f>
        <v/>
      </c>
      <c r="K351" s="31">
        <f>IF($A351="","",_xll.BDP($A351&amp;" Corp","YAS_BOND_YLD","YAS_YLD_FLAG=15"))</f>
        <v/>
      </c>
      <c r="L351" s="31">
        <f>IF($A351="","",K351-_xll.BDP($A351&amp;" Corp","YAS_BOND_YLD","YAS_YLD_FLAG=15","SETTLE_DT",Company_desc!$A$1))</f>
        <v/>
      </c>
      <c r="M351" s="31">
        <f>IF($A351="","",K351-_xll.BDP($A351&amp;" Corp","YAS_BOND_YLD","YAS_YLD_FLAG=15","SETTLE_DT",Company_desc!$A$2))</f>
        <v/>
      </c>
      <c r="N351" s="79">
        <f>IF($A351="","",_xll.BDP($A351&amp;" Corp","YAS_OAS_SPRD"))</f>
        <v/>
      </c>
      <c r="O351" s="82">
        <f>IF($A351="","",_xll.BDP($A351&amp;" Corp","YAS_MOD_DUR"))</f>
        <v/>
      </c>
      <c r="P351" s="80">
        <f>IF($A351="","",IFERROR(INDEX(Sheet1!$P:$P,MATCH($A351,Sheet1!$A:$A,0)),""))</f>
        <v/>
      </c>
      <c r="Q351" s="75">
        <f>IF($A351="","",IFERROR(INDEX(Company_desc!$C:$C,MATCH($A351,Company_desc!$A:$A,0)),IFERROR(INDEX(Sheet1!$Q:$Q,MATCH($A351,Sheet1!$A:$A,0)),"")))</f>
        <v/>
      </c>
      <c r="R351" s="75">
        <f>IF($A351="","",_xll.BDP($A351&amp;" Corp","CRNCY"))</f>
        <v/>
      </c>
      <c r="S351" s="75">
        <f>IF($A351="","",IFERROR(INDEX(Sheet1!$S:$S,MATCH($A351,Sheet1!$A:$A,0)),""))</f>
        <v/>
      </c>
      <c r="T351" s="75">
        <f>IF($A351="","",IFERROR(INDEX(Sheet1!$T:$T,MATCH($A351,Sheet1!$A:$A,0)),_xll.BDP($A351&amp;" Corp","RTG_SP")))</f>
        <v/>
      </c>
      <c r="U351" s="75">
        <f>IF($A351="","",IFERROR(INDEX(Sheet1!$U:$U,MATCH($A351,Sheet1!$A:$A,0)),""))</f>
        <v/>
      </c>
      <c r="W351" s="81">
        <f>IF($A351="","",N351-_xll.BDP($A351&amp;" Corp","YAS_OAS_SPRD","SETTLE_DT",Company_desc!$A$1))</f>
        <v/>
      </c>
      <c r="X351" s="81">
        <f>IF($A351="","",N351-_xll.BDP($A351&amp;" Corp","YAS_OAS_SPRD","SETTLE_DT",Company_desc!$A$2))</f>
        <v/>
      </c>
      <c r="Y351" s="80">
        <f>IF($A351="","",N351-_xll.BDP($A351&amp;" Corp","YAS_OAS_SPRD","SETTLE_DT",Company_desc!$D$1))</f>
        <v/>
      </c>
      <c r="Z351" s="82">
        <f>IF($A351="","",K351-_xll.BDP($A351&amp;" Corp","YAS_BOND_YLD","YAS_YLD_FLAG=15","SETTLE_DT",Company_desc!$D$1))</f>
        <v/>
      </c>
      <c r="AA351" s="80">
        <f>IF($A351="","",_xll.BDP($A351&amp;" Corp","YAS_OAS_SPRD","SETTLE_DT",Company_desc!$D$1))</f>
        <v/>
      </c>
    </row>
    <row r="352">
      <c r="B352" s="75">
        <f>IF($A352="","",IFERROR(INDEX(Sheet1!$B:$B,MATCH($A352,Sheet1!$A:$A,0)),""))</f>
        <v/>
      </c>
      <c r="C352" s="75">
        <f>IF($A352="","",PROPER(_xll.BDP($A352&amp;" Corp","NAME")))</f>
        <v/>
      </c>
      <c r="D352" s="76">
        <f>IF($A352="","",_xll.BDP($A352&amp;" Corp","CPN"))</f>
        <v/>
      </c>
      <c r="E352" s="75">
        <f>IF($A352="","",_xll.BDP($A352&amp;" Corp","PAYMENT_RANK"))</f>
        <v/>
      </c>
      <c r="F352" s="100">
        <f>IF($A352="","",_xll.BDP($A352&amp;" Corp","MATURITY"))</f>
        <v/>
      </c>
      <c r="G352" s="75">
        <f>IF($A352="","",PROPER(_xll.BDP($A352&amp;" Corp","COUNTRY_FULL_NAME")))</f>
        <v/>
      </c>
      <c r="H352" s="75">
        <f>IF($A352="","",_xll.BDP($A352&amp;" Corp","INDUSTRY_SECTOR"))</f>
        <v/>
      </c>
      <c r="I352" s="101">
        <f>IF($A352="","",IFERROR(_xll.BDP($A352&amp;" Corp","MIN_PIECE")/1000,""))</f>
        <v/>
      </c>
      <c r="J352" s="31">
        <f>IF($A352="","",_xll.BDP($A352&amp;" Corp","PX_LAST"))</f>
        <v/>
      </c>
      <c r="K352" s="31">
        <f>IF($A352="","",_xll.BDP($A352&amp;" Corp","YAS_BOND_YLD","YAS_YLD_FLAG=15"))</f>
        <v/>
      </c>
      <c r="L352" s="31">
        <f>IF($A352="","",K352-_xll.BDP($A352&amp;" Corp","YAS_BOND_YLD","YAS_YLD_FLAG=15","SETTLE_DT",Company_desc!$A$1))</f>
        <v/>
      </c>
      <c r="M352" s="31">
        <f>IF($A352="","",K352-_xll.BDP($A352&amp;" Corp","YAS_BOND_YLD","YAS_YLD_FLAG=15","SETTLE_DT",Company_desc!$A$2))</f>
        <v/>
      </c>
      <c r="N352" s="79">
        <f>IF($A352="","",_xll.BDP($A352&amp;" Corp","YAS_OAS_SPRD"))</f>
        <v/>
      </c>
      <c r="O352" s="67">
        <f>IF($A352="","",_xll.BDP($A352&amp;" Corp","YAS_MOD_DUR"))</f>
        <v/>
      </c>
      <c r="P352" s="80">
        <f>IF($A352="","",IFERROR(INDEX(Sheet1!$P:$P,MATCH($A352,Sheet1!$A:$A,0)),""))</f>
        <v/>
      </c>
      <c r="Q352" s="75">
        <f>IF($A352="","",IFERROR(INDEX(Company_desc!$C:$C,MATCH($A352,Company_desc!$A:$A,0)),IFERROR(INDEX(Sheet1!$Q:$Q,MATCH($A352,Sheet1!$A:$A,0)),"")))</f>
        <v/>
      </c>
      <c r="R352" s="75">
        <f>IF($A352="","",_xll.BDP($A352&amp;" Corp","CRNCY"))</f>
        <v/>
      </c>
      <c r="S352" s="75">
        <f>IF($A352="","",IFERROR(INDEX(Sheet1!$S:$S,MATCH($A352,Sheet1!$A:$A,0)),""))</f>
        <v/>
      </c>
      <c r="T352" s="75">
        <f>IF($A352="","",IFERROR(INDEX(Sheet1!$T:$T,MATCH($A352,Sheet1!$A:$A,0)),_xll.BDP($A352&amp;" Corp","RTG_SP")))</f>
        <v/>
      </c>
      <c r="U352" s="75">
        <f>IF($A352="","",IFERROR(INDEX(Sheet1!$U:$U,MATCH($A352,Sheet1!$A:$A,0)),""))</f>
        <v/>
      </c>
      <c r="W352" s="81">
        <f>IF($A352="","",N352-_xll.BDP($A352&amp;" Corp","YAS_OAS_SPRD","SETTLE_DT",Company_desc!$A$1))</f>
        <v/>
      </c>
      <c r="X352" s="81">
        <f>IF($A352="","",N352-_xll.BDP($A352&amp;" Corp","YAS_OAS_SPRD","SETTLE_DT",Company_desc!$A$2))</f>
        <v/>
      </c>
      <c r="Y352" s="80">
        <f>IF($A352="","",N352-_xll.BDP($A352&amp;" Corp","YAS_OAS_SPRD","SETTLE_DT",Company_desc!$D$1))</f>
        <v/>
      </c>
      <c r="Z352" s="82">
        <f>IF($A352="","",K352-_xll.BDP($A352&amp;" Corp","YAS_BOND_YLD","YAS_YLD_FLAG=15","SETTLE_DT",Company_desc!$D$1))</f>
        <v/>
      </c>
      <c r="AA352" s="80">
        <f>IF($A352="","",_xll.BDP($A352&amp;" Corp","YAS_OAS_SPRD","SETTLE_DT",Company_desc!$D$1))</f>
        <v/>
      </c>
    </row>
    <row r="353">
      <c r="B353" s="75">
        <f>IF($A353="","",IFERROR(INDEX(Sheet1!$B:$B,MATCH($A353,Sheet1!$A:$A,0)),""))</f>
        <v/>
      </c>
      <c r="C353" s="75">
        <f>IF($A353="","",PROPER(_xll.BDP($A353&amp;" Corp","NAME")))</f>
        <v/>
      </c>
      <c r="D353" s="76">
        <f>IF($A353="","",_xll.BDP($A353&amp;" Corp","CPN"))</f>
        <v/>
      </c>
      <c r="E353" s="75">
        <f>IF($A353="","",_xll.BDP($A353&amp;" Corp","PAYMENT_RANK"))</f>
        <v/>
      </c>
      <c r="F353" s="100">
        <f>IF($A353="","",_xll.BDP($A353&amp;" Corp","MATURITY"))</f>
        <v/>
      </c>
      <c r="G353" s="75">
        <f>IF($A353="","",PROPER(_xll.BDP($A353&amp;" Corp","COUNTRY_FULL_NAME")))</f>
        <v/>
      </c>
      <c r="H353" s="75">
        <f>IF($A353="","",_xll.BDP($A353&amp;" Corp","INDUSTRY_SECTOR"))</f>
        <v/>
      </c>
      <c r="I353" s="101">
        <f>IF($A353="","",IFERROR(_xll.BDP($A353&amp;" Corp","MIN_PIECE")/1000,""))</f>
        <v/>
      </c>
      <c r="J353" s="31">
        <f>IF($A353="","",_xll.BDP($A353&amp;" Corp","PX_LAST"))</f>
        <v/>
      </c>
      <c r="K353" s="31">
        <f>IF($A353="","",_xll.BDP($A353&amp;" Corp","YAS_BOND_YLD","YAS_YLD_FLAG=15"))</f>
        <v/>
      </c>
      <c r="L353" s="31">
        <f>IF($A353="","",K353-_xll.BDP($A353&amp;" Corp","YAS_BOND_YLD","YAS_YLD_FLAG=15","SETTLE_DT",Company_desc!$A$1))</f>
        <v/>
      </c>
      <c r="M353" s="31">
        <f>IF($A353="","",K353-_xll.BDP($A353&amp;" Corp","YAS_BOND_YLD","YAS_YLD_FLAG=15","SETTLE_DT",Company_desc!$A$2))</f>
        <v/>
      </c>
      <c r="N353" s="79">
        <f>IF($A353="","",_xll.BDP($A353&amp;" Corp","YAS_OAS_SPRD"))</f>
        <v/>
      </c>
      <c r="O353" s="67">
        <f>IF($A353="","",_xll.BDP($A353&amp;" Corp","YAS_MOD_DUR"))</f>
        <v/>
      </c>
      <c r="P353" s="80">
        <f>IF($A353="","",IFERROR(INDEX(Sheet1!$P:$P,MATCH($A353,Sheet1!$A:$A,0)),""))</f>
        <v/>
      </c>
      <c r="Q353" s="75">
        <f>IF($A353="","",IFERROR(INDEX(Company_desc!$C:$C,MATCH($A353,Company_desc!$A:$A,0)),IFERROR(INDEX(Sheet1!$Q:$Q,MATCH($A353,Sheet1!$A:$A,0)),"")))</f>
        <v/>
      </c>
      <c r="R353" s="75">
        <f>IF($A353="","",_xll.BDP($A353&amp;" Corp","CRNCY"))</f>
        <v/>
      </c>
      <c r="S353" s="75">
        <f>IF($A353="","",IFERROR(INDEX(Sheet1!$S:$S,MATCH($A353,Sheet1!$A:$A,0)),""))</f>
        <v/>
      </c>
      <c r="T353" s="75">
        <f>IF($A353="","",IFERROR(INDEX(Sheet1!$T:$T,MATCH($A353,Sheet1!$A:$A,0)),_xll.BDP($A353&amp;" Corp","RTG_SP")))</f>
        <v/>
      </c>
      <c r="U353" s="75">
        <f>IF($A353="","",IFERROR(INDEX(Sheet1!$U:$U,MATCH($A353,Sheet1!$A:$A,0)),""))</f>
        <v/>
      </c>
      <c r="W353" s="81">
        <f>IF($A353="","",N353-_xll.BDP($A353&amp;" Corp","YAS_OAS_SPRD","SETTLE_DT",Company_desc!$A$1))</f>
        <v/>
      </c>
      <c r="X353" s="81">
        <f>IF($A353="","",N353-_xll.BDP($A353&amp;" Corp","YAS_OAS_SPRD","SETTLE_DT",Company_desc!$A$2))</f>
        <v/>
      </c>
      <c r="Y353" s="80">
        <f>IF($A353="","",N353-_xll.BDP($A353&amp;" Corp","YAS_OAS_SPRD","SETTLE_DT",Company_desc!$D$1))</f>
        <v/>
      </c>
      <c r="Z353" s="82">
        <f>IF($A353="","",K353-_xll.BDP($A353&amp;" Corp","YAS_BOND_YLD","YAS_YLD_FLAG=15","SETTLE_DT",Company_desc!$D$1))</f>
        <v/>
      </c>
      <c r="AA353" s="80">
        <f>IF($A353="","",_xll.BDP($A353&amp;" Corp","YAS_OAS_SPRD","SETTLE_DT",Company_desc!$D$1))</f>
        <v/>
      </c>
    </row>
    <row r="354">
      <c r="B354" s="75">
        <f>IF($A354="","",IFERROR(INDEX(Sheet1!$B:$B,MATCH($A354,Sheet1!$A:$A,0)),""))</f>
        <v/>
      </c>
      <c r="C354" s="75">
        <f>IF($A354="","",PROPER(_xll.BDP($A354&amp;" Corp","NAME")))</f>
        <v/>
      </c>
      <c r="D354" s="76">
        <f>IF($A354="","",_xll.BDP($A354&amp;" Corp","CPN"))</f>
        <v/>
      </c>
      <c r="E354" s="75">
        <f>IF($A354="","",_xll.BDP($A354&amp;" Corp","PAYMENT_RANK"))</f>
        <v/>
      </c>
      <c r="F354" s="100">
        <f>IF($A354="","",_xll.BDP($A354&amp;" Corp","MATURITY"))</f>
        <v/>
      </c>
      <c r="G354" s="75">
        <f>IF($A354="","",PROPER(_xll.BDP($A354&amp;" Corp","COUNTRY_FULL_NAME")))</f>
        <v/>
      </c>
      <c r="H354" s="75">
        <f>IF($A354="","",_xll.BDP($A354&amp;" Corp","INDUSTRY_SECTOR"))</f>
        <v/>
      </c>
      <c r="I354" s="101">
        <f>IF($A354="","",IFERROR(_xll.BDP($A354&amp;" Corp","MIN_PIECE")/1000,""))</f>
        <v/>
      </c>
      <c r="J354" s="31">
        <f>IF($A354="","",_xll.BDP($A354&amp;" Corp","PX_LAST"))</f>
        <v/>
      </c>
      <c r="K354" s="31">
        <f>IF($A354="","",_xll.BDP($A354&amp;" Corp","YAS_BOND_YLD","YAS_YLD_FLAG=15"))</f>
        <v/>
      </c>
      <c r="L354" s="31">
        <f>IF($A354="","",K354-_xll.BDP($A354&amp;" Corp","YAS_BOND_YLD","YAS_YLD_FLAG=15","SETTLE_DT",Company_desc!$A$1))</f>
        <v/>
      </c>
      <c r="M354" s="31">
        <f>IF($A354="","",K354-_xll.BDP($A354&amp;" Corp","YAS_BOND_YLD","YAS_YLD_FLAG=15","SETTLE_DT",Company_desc!$A$2))</f>
        <v/>
      </c>
      <c r="N354" s="79">
        <f>IF($A354="","",_xll.BDP($A354&amp;" Corp","YAS_OAS_SPRD"))</f>
        <v/>
      </c>
      <c r="O354" s="67">
        <f>IF($A354="","",_xll.BDP($A354&amp;" Corp","YAS_MOD_DUR"))</f>
        <v/>
      </c>
      <c r="P354" s="80">
        <f>IF($A354="","",IFERROR(INDEX(Sheet1!$P:$P,MATCH($A354,Sheet1!$A:$A,0)),""))</f>
        <v/>
      </c>
      <c r="Q354" s="75">
        <f>IF($A354="","",IFERROR(INDEX(Company_desc!$C:$C,MATCH($A354,Company_desc!$A:$A,0)),IFERROR(INDEX(Sheet1!$Q:$Q,MATCH($A354,Sheet1!$A:$A,0)),"")))</f>
        <v/>
      </c>
      <c r="R354" s="75">
        <f>IF($A354="","",_xll.BDP($A354&amp;" Corp","CRNCY"))</f>
        <v/>
      </c>
      <c r="S354" s="75">
        <f>IF($A354="","",IFERROR(INDEX(Sheet1!$S:$S,MATCH($A354,Sheet1!$A:$A,0)),""))</f>
        <v/>
      </c>
      <c r="T354" s="75">
        <f>IF($A354="","",IFERROR(INDEX(Sheet1!$T:$T,MATCH($A354,Sheet1!$A:$A,0)),_xll.BDP($A354&amp;" Corp","RTG_SP")))</f>
        <v/>
      </c>
      <c r="U354" s="75">
        <f>IF($A354="","",IFERROR(INDEX(Sheet1!$U:$U,MATCH($A354,Sheet1!$A:$A,0)),""))</f>
        <v/>
      </c>
      <c r="W354" s="81">
        <f>IF($A354="","",N354-_xll.BDP($A354&amp;" Corp","YAS_OAS_SPRD","SETTLE_DT",Company_desc!$A$1))</f>
        <v/>
      </c>
      <c r="X354" s="81">
        <f>IF($A354="","",N354-_xll.BDP($A354&amp;" Corp","YAS_OAS_SPRD","SETTLE_DT",Company_desc!$A$2))</f>
        <v/>
      </c>
      <c r="Y354" s="80">
        <f>IF($A354="","",N354-_xll.BDP($A354&amp;" Corp","YAS_OAS_SPRD","SETTLE_DT",Company_desc!$D$1))</f>
        <v/>
      </c>
      <c r="Z354" s="82">
        <f>IF($A354="","",K354-_xll.BDP($A354&amp;" Corp","YAS_BOND_YLD","YAS_YLD_FLAG=15","SETTLE_DT",Company_desc!$D$1))</f>
        <v/>
      </c>
      <c r="AA354" s="80">
        <f>IF($A354="","",_xll.BDP($A354&amp;" Corp","YAS_OAS_SPRD","SETTLE_DT",Company_desc!$D$1))</f>
        <v/>
      </c>
    </row>
    <row r="355">
      <c r="B355" s="75">
        <f>IF($A355="","",IFERROR(INDEX(Sheet1!$B:$B,MATCH($A355,Sheet1!$A:$A,0)),""))</f>
        <v/>
      </c>
      <c r="C355" s="75">
        <f>IF($A355="","",PROPER(_xll.BDP($A355&amp;" Corp","NAME")))</f>
        <v/>
      </c>
      <c r="D355" s="76">
        <f>IF($A355="","",_xll.BDP($A355&amp;" Corp","CPN"))</f>
        <v/>
      </c>
      <c r="E355" s="75">
        <f>IF($A355="","",_xll.BDP($A355&amp;" Corp","PAYMENT_RANK"))</f>
        <v/>
      </c>
      <c r="F355" s="100">
        <f>IF($A355="","",_xll.BDP($A355&amp;" Corp","MATURITY"))</f>
        <v/>
      </c>
      <c r="G355" s="75">
        <f>IF($A355="","",PROPER(_xll.BDP($A355&amp;" Corp","COUNTRY_FULL_NAME")))</f>
        <v/>
      </c>
      <c r="H355" s="75">
        <f>IF($A355="","",_xll.BDP($A355&amp;" Corp","INDUSTRY_SECTOR"))</f>
        <v/>
      </c>
      <c r="I355" s="101">
        <f>IF($A355="","",IFERROR(_xll.BDP($A355&amp;" Corp","MIN_PIECE")/1000,""))</f>
        <v/>
      </c>
      <c r="J355" s="31">
        <f>IF($A355="","",_xll.BDP($A355&amp;" Corp","PX_LAST"))</f>
        <v/>
      </c>
      <c r="K355" s="31">
        <f>IF($A355="","",_xll.BDP($A355&amp;" Corp","YAS_BOND_YLD","YAS_YLD_FLAG=15"))</f>
        <v/>
      </c>
      <c r="L355" s="31">
        <f>IF($A355="","",K355-_xll.BDP($A355&amp;" Corp","YAS_BOND_YLD","YAS_YLD_FLAG=15","SETTLE_DT",Company_desc!$A$1))</f>
        <v/>
      </c>
      <c r="M355" s="31">
        <f>IF($A355="","",K355-_xll.BDP($A355&amp;" Corp","YAS_BOND_YLD","YAS_YLD_FLAG=15","SETTLE_DT",Company_desc!$A$2))</f>
        <v/>
      </c>
      <c r="N355" s="79">
        <f>IF($A355="","",_xll.BDP($A355&amp;" Corp","YAS_OAS_SPRD"))</f>
        <v/>
      </c>
      <c r="O355" s="67">
        <f>IF($A355="","",_xll.BDP($A355&amp;" Corp","YAS_MOD_DUR"))</f>
        <v/>
      </c>
      <c r="P355" s="80">
        <f>IF($A355="","",IFERROR(INDEX(Sheet1!$P:$P,MATCH($A355,Sheet1!$A:$A,0)),""))</f>
        <v/>
      </c>
      <c r="Q355" s="75">
        <f>IF($A355="","",IFERROR(INDEX(Company_desc!$C:$C,MATCH($A355,Company_desc!$A:$A,0)),IFERROR(INDEX(Sheet1!$Q:$Q,MATCH($A355,Sheet1!$A:$A,0)),"")))</f>
        <v/>
      </c>
      <c r="R355" s="75">
        <f>IF($A355="","",_xll.BDP($A355&amp;" Corp","CRNCY"))</f>
        <v/>
      </c>
      <c r="S355" s="75">
        <f>IF($A355="","",IFERROR(INDEX(Sheet1!$S:$S,MATCH($A355,Sheet1!$A:$A,0)),""))</f>
        <v/>
      </c>
      <c r="T355" s="75">
        <f>IF($A355="","",IFERROR(INDEX(Sheet1!$T:$T,MATCH($A355,Sheet1!$A:$A,0)),_xll.BDP($A355&amp;" Corp","RTG_SP")))</f>
        <v/>
      </c>
      <c r="U355" s="75">
        <f>IF($A355="","",IFERROR(INDEX(Sheet1!$U:$U,MATCH($A355,Sheet1!$A:$A,0)),""))</f>
        <v/>
      </c>
      <c r="W355" s="81">
        <f>IF($A355="","",N355-_xll.BDP($A355&amp;" Corp","YAS_OAS_SPRD","SETTLE_DT",Company_desc!$A$1))</f>
        <v/>
      </c>
      <c r="X355" s="81">
        <f>IF($A355="","",N355-_xll.BDP($A355&amp;" Corp","YAS_OAS_SPRD","SETTLE_DT",Company_desc!$A$2))</f>
        <v/>
      </c>
      <c r="Y355" s="80">
        <f>IF($A355="","",N355-_xll.BDP($A355&amp;" Corp","YAS_OAS_SPRD","SETTLE_DT",Company_desc!$D$1))</f>
        <v/>
      </c>
      <c r="Z355" s="82">
        <f>IF($A355="","",K355-_xll.BDP($A355&amp;" Corp","YAS_BOND_YLD","YAS_YLD_FLAG=15","SETTLE_DT",Company_desc!$D$1))</f>
        <v/>
      </c>
      <c r="AA355" s="80">
        <f>IF($A355="","",_xll.BDP($A355&amp;" Corp","YAS_OAS_SPRD","SETTLE_DT",Company_desc!$D$1))</f>
        <v/>
      </c>
    </row>
    <row r="356">
      <c r="B356" s="75">
        <f>IF($A356="","",IFERROR(INDEX(Sheet1!$B:$B,MATCH($A356,Sheet1!$A:$A,0)),""))</f>
        <v/>
      </c>
      <c r="C356" s="75">
        <f>IF($A356="","",PROPER(_xll.BDP($A356&amp;" Corp","NAME")))</f>
        <v/>
      </c>
      <c r="D356" s="76">
        <f>IF($A356="","",_xll.BDP($A356&amp;" Corp","CPN"))</f>
        <v/>
      </c>
      <c r="E356" s="75">
        <f>IF($A356="","",_xll.BDP($A356&amp;" Corp","PAYMENT_RANK"))</f>
        <v/>
      </c>
      <c r="F356" s="100">
        <f>IF($A356="","",_xll.BDP($A356&amp;" Corp","MATURITY"))</f>
        <v/>
      </c>
      <c r="G356" s="75">
        <f>IF($A356="","",PROPER(_xll.BDP($A356&amp;" Corp","COUNTRY_FULL_NAME")))</f>
        <v/>
      </c>
      <c r="H356" s="75">
        <f>IF($A356="","",_xll.BDP($A356&amp;" Corp","INDUSTRY_SECTOR"))</f>
        <v/>
      </c>
      <c r="I356" s="101">
        <f>IF($A356="","",IFERROR(_xll.BDP($A356&amp;" Corp","MIN_PIECE")/1000,""))</f>
        <v/>
      </c>
      <c r="J356" s="31">
        <f>IF($A356="","",_xll.BDP($A356&amp;" Corp","PX_LAST"))</f>
        <v/>
      </c>
      <c r="K356" s="31">
        <f>IF($A356="","",_xll.BDP($A356&amp;" Corp","YAS_BOND_YLD","YAS_YLD_FLAG=15"))</f>
        <v/>
      </c>
      <c r="L356" s="31">
        <f>IF($A356="","",K356-_xll.BDP($A356&amp;" Corp","YAS_BOND_YLD","YAS_YLD_FLAG=15","SETTLE_DT",Company_desc!$A$1))</f>
        <v/>
      </c>
      <c r="M356" s="31">
        <f>IF($A356="","",K356-_xll.BDP($A356&amp;" Corp","YAS_BOND_YLD","YAS_YLD_FLAG=15","SETTLE_DT",Company_desc!$A$2))</f>
        <v/>
      </c>
      <c r="N356" s="79">
        <f>IF($A356="","",_xll.BDP($A356&amp;" Corp","YAS_OAS_SPRD"))</f>
        <v/>
      </c>
      <c r="O356" s="67">
        <f>IF($A356="","",_xll.BDP($A356&amp;" Corp","YAS_MOD_DUR"))</f>
        <v/>
      </c>
      <c r="P356" s="80">
        <f>IF($A356="","",IFERROR(INDEX(Sheet1!$P:$P,MATCH($A356,Sheet1!$A:$A,0)),""))</f>
        <v/>
      </c>
      <c r="Q356" s="75">
        <f>IF($A356="","",IFERROR(INDEX(Company_desc!$C:$C,MATCH($A356,Company_desc!$A:$A,0)),IFERROR(INDEX(Sheet1!$Q:$Q,MATCH($A356,Sheet1!$A:$A,0)),"")))</f>
        <v/>
      </c>
      <c r="R356" s="75">
        <f>IF($A356="","",_xll.BDP($A356&amp;" Corp","CRNCY"))</f>
        <v/>
      </c>
      <c r="S356" s="75">
        <f>IF($A356="","",IFERROR(INDEX(Sheet1!$S:$S,MATCH($A356,Sheet1!$A:$A,0)),""))</f>
        <v/>
      </c>
      <c r="T356" s="75">
        <f>IF($A356="","",IFERROR(INDEX(Sheet1!$T:$T,MATCH($A356,Sheet1!$A:$A,0)),_xll.BDP($A356&amp;" Corp","RTG_SP")))</f>
        <v/>
      </c>
      <c r="U356" s="75">
        <f>IF($A356="","",IFERROR(INDEX(Sheet1!$U:$U,MATCH($A356,Sheet1!$A:$A,0)),""))</f>
        <v/>
      </c>
      <c r="W356" s="81">
        <f>IF($A356="","",N356-_xll.BDP($A356&amp;" Corp","YAS_OAS_SPRD","SETTLE_DT",Company_desc!$A$1))</f>
        <v/>
      </c>
      <c r="X356" s="81">
        <f>IF($A356="","",N356-_xll.BDP($A356&amp;" Corp","YAS_OAS_SPRD","SETTLE_DT",Company_desc!$A$2))</f>
        <v/>
      </c>
      <c r="Y356" s="80">
        <f>IF($A356="","",N356-_xll.BDP($A356&amp;" Corp","YAS_OAS_SPRD","SETTLE_DT",Company_desc!$D$1))</f>
        <v/>
      </c>
      <c r="Z356" s="82">
        <f>IF($A356="","",K356-_xll.BDP($A356&amp;" Corp","YAS_BOND_YLD","YAS_YLD_FLAG=15","SETTLE_DT",Company_desc!$D$1))</f>
        <v/>
      </c>
      <c r="AA356" s="80">
        <f>IF($A356="","",_xll.BDP($A356&amp;" Corp","YAS_OAS_SPRD","SETTLE_DT",Company_desc!$D$1))</f>
        <v/>
      </c>
    </row>
    <row r="357">
      <c r="B357" s="75">
        <f>IF($A357="","",IFERROR(INDEX(Sheet1!$B:$B,MATCH($A357,Sheet1!$A:$A,0)),""))</f>
        <v/>
      </c>
      <c r="C357" s="75">
        <f>IF($A357="","",PROPER(_xll.BDP($A357&amp;" Corp","NAME")))</f>
        <v/>
      </c>
      <c r="D357" s="76">
        <f>IF($A357="","",_xll.BDP($A357&amp;" Corp","CPN"))</f>
        <v/>
      </c>
      <c r="E357" s="75">
        <f>IF($A357="","",_xll.BDP($A357&amp;" Corp","PAYMENT_RANK"))</f>
        <v/>
      </c>
      <c r="F357" s="100">
        <f>IF($A357="","",_xll.BDP($A357&amp;" Corp","MATURITY"))</f>
        <v/>
      </c>
      <c r="G357" s="75">
        <f>IF($A357="","",PROPER(_xll.BDP($A357&amp;" Corp","COUNTRY_FULL_NAME")))</f>
        <v/>
      </c>
      <c r="H357" s="75">
        <f>IF($A357="","",_xll.BDP($A357&amp;" Corp","INDUSTRY_SECTOR"))</f>
        <v/>
      </c>
      <c r="I357" s="101">
        <f>IF($A357="","",IFERROR(_xll.BDP($A357&amp;" Corp","MIN_PIECE")/1000,""))</f>
        <v/>
      </c>
      <c r="J357" s="31">
        <f>IF($A357="","",_xll.BDP($A357&amp;" Corp","PX_LAST"))</f>
        <v/>
      </c>
      <c r="K357" s="31">
        <f>IF($A357="","",_xll.BDP($A357&amp;" Corp","YAS_BOND_YLD","YAS_YLD_FLAG=15"))</f>
        <v/>
      </c>
      <c r="L357" s="31">
        <f>IF($A357="","",K357-_xll.BDP($A357&amp;" Corp","YAS_BOND_YLD","YAS_YLD_FLAG=15","SETTLE_DT",Company_desc!$A$1))</f>
        <v/>
      </c>
      <c r="M357" s="31">
        <f>IF($A357="","",K357-_xll.BDP($A357&amp;" Corp","YAS_BOND_YLD","YAS_YLD_FLAG=15","SETTLE_DT",Company_desc!$A$2))</f>
        <v/>
      </c>
      <c r="N357" s="79">
        <f>IF($A357="","",_xll.BDP($A357&amp;" Corp","YAS_OAS_SPRD"))</f>
        <v/>
      </c>
      <c r="O357" s="67">
        <f>IF($A357="","",_xll.BDP($A357&amp;" Corp","YAS_MOD_DUR"))</f>
        <v/>
      </c>
      <c r="P357" s="80">
        <f>IF($A357="","",IFERROR(INDEX(Sheet1!$P:$P,MATCH($A357,Sheet1!$A:$A,0)),""))</f>
        <v/>
      </c>
      <c r="Q357" s="75">
        <f>IF($A357="","",IFERROR(INDEX(Company_desc!$C:$C,MATCH($A357,Company_desc!$A:$A,0)),IFERROR(INDEX(Sheet1!$Q:$Q,MATCH($A357,Sheet1!$A:$A,0)),"")))</f>
        <v/>
      </c>
      <c r="R357" s="75">
        <f>IF($A357="","",_xll.BDP($A357&amp;" Corp","CRNCY"))</f>
        <v/>
      </c>
      <c r="S357" s="75">
        <f>IF($A357="","",IFERROR(INDEX(Sheet1!$S:$S,MATCH($A357,Sheet1!$A:$A,0)),""))</f>
        <v/>
      </c>
      <c r="T357" s="75">
        <f>IF($A357="","",IFERROR(INDEX(Sheet1!$T:$T,MATCH($A357,Sheet1!$A:$A,0)),_xll.BDP($A357&amp;" Corp","RTG_SP")))</f>
        <v/>
      </c>
      <c r="U357" s="75">
        <f>IF($A357="","",IFERROR(INDEX(Sheet1!$U:$U,MATCH($A357,Sheet1!$A:$A,0)),""))</f>
        <v/>
      </c>
      <c r="W357" s="81">
        <f>IF($A357="","",N357-_xll.BDP($A357&amp;" Corp","YAS_OAS_SPRD","SETTLE_DT",Company_desc!$A$1))</f>
        <v/>
      </c>
      <c r="X357" s="81">
        <f>IF($A357="","",N357-_xll.BDP($A357&amp;" Corp","YAS_OAS_SPRD","SETTLE_DT",Company_desc!$A$2))</f>
        <v/>
      </c>
      <c r="Y357" s="80">
        <f>IF($A357="","",N357-_xll.BDP($A357&amp;" Corp","YAS_OAS_SPRD","SETTLE_DT",Company_desc!$D$1))</f>
        <v/>
      </c>
      <c r="Z357" s="82">
        <f>IF($A357="","",K357-_xll.BDP($A357&amp;" Corp","YAS_BOND_YLD","YAS_YLD_FLAG=15","SETTLE_DT",Company_desc!$D$1))</f>
        <v/>
      </c>
      <c r="AA357" s="80">
        <f>IF($A357="","",_xll.BDP($A357&amp;" Corp","YAS_OAS_SPRD","SETTLE_DT",Company_desc!$D$1))</f>
        <v/>
      </c>
    </row>
    <row r="358">
      <c r="B358" s="75">
        <f>IF($A358="","",IFERROR(INDEX(Sheet1!$B:$B,MATCH($A358,Sheet1!$A:$A,0)),""))</f>
        <v/>
      </c>
      <c r="C358" s="75">
        <f>IF($A358="","",PROPER(_xll.BDP($A358&amp;" Corp","NAME")))</f>
        <v/>
      </c>
      <c r="D358" s="76">
        <f>IF($A358="","",_xll.BDP($A358&amp;" Corp","CPN"))</f>
        <v/>
      </c>
      <c r="E358" s="75">
        <f>IF($A358="","",_xll.BDP($A358&amp;" Corp","PAYMENT_RANK"))</f>
        <v/>
      </c>
      <c r="F358" s="100">
        <f>IF($A358="","",_xll.BDP($A358&amp;" Corp","MATURITY"))</f>
        <v/>
      </c>
      <c r="G358" s="75">
        <f>IF($A358="","",PROPER(_xll.BDP($A358&amp;" Corp","COUNTRY_FULL_NAME")))</f>
        <v/>
      </c>
      <c r="H358" s="75">
        <f>IF($A358="","",_xll.BDP($A358&amp;" Corp","INDUSTRY_SECTOR"))</f>
        <v/>
      </c>
      <c r="I358" s="101">
        <f>IF($A358="","",IFERROR(_xll.BDP($A358&amp;" Corp","MIN_PIECE")/1000,""))</f>
        <v/>
      </c>
      <c r="J358" s="31">
        <f>IF($A358="","",_xll.BDP($A358&amp;" Corp","PX_LAST"))</f>
        <v/>
      </c>
      <c r="K358" s="31">
        <f>IF($A358="","",_xll.BDP($A358&amp;" Corp","YAS_BOND_YLD","YAS_YLD_FLAG=15"))</f>
        <v/>
      </c>
      <c r="L358" s="31">
        <f>IF($A358="","",K358-_xll.BDP($A358&amp;" Corp","YAS_BOND_YLD","YAS_YLD_FLAG=15","SETTLE_DT",Company_desc!$A$1))</f>
        <v/>
      </c>
      <c r="M358" s="31">
        <f>IF($A358="","",K358-_xll.BDP($A358&amp;" Corp","YAS_BOND_YLD","YAS_YLD_FLAG=15","SETTLE_DT",Company_desc!$A$2))</f>
        <v/>
      </c>
      <c r="N358" s="79">
        <f>IF($A358="","",_xll.BDP($A358&amp;" Corp","YAS_OAS_SPRD"))</f>
        <v/>
      </c>
      <c r="O358" s="67">
        <f>IF($A358="","",_xll.BDP($A358&amp;" Corp","YAS_MOD_DUR"))</f>
        <v/>
      </c>
      <c r="P358" s="80">
        <f>IF($A358="","",IFERROR(INDEX(Sheet1!$P:$P,MATCH($A358,Sheet1!$A:$A,0)),""))</f>
        <v/>
      </c>
      <c r="Q358" s="75">
        <f>IF($A358="","",IFERROR(INDEX(Company_desc!$C:$C,MATCH($A358,Company_desc!$A:$A,0)),IFERROR(INDEX(Sheet1!$Q:$Q,MATCH($A358,Sheet1!$A:$A,0)),"")))</f>
        <v/>
      </c>
      <c r="R358" s="75">
        <f>IF($A358="","",_xll.BDP($A358&amp;" Corp","CRNCY"))</f>
        <v/>
      </c>
      <c r="S358" s="75">
        <f>IF($A358="","",IFERROR(INDEX(Sheet1!$S:$S,MATCH($A358,Sheet1!$A:$A,0)),""))</f>
        <v/>
      </c>
      <c r="T358" s="75">
        <f>IF($A358="","",IFERROR(INDEX(Sheet1!$T:$T,MATCH($A358,Sheet1!$A:$A,0)),_xll.BDP($A358&amp;" Corp","RTG_SP")))</f>
        <v/>
      </c>
      <c r="U358" s="75">
        <f>IF($A358="","",IFERROR(INDEX(Sheet1!$U:$U,MATCH($A358,Sheet1!$A:$A,0)),""))</f>
        <v/>
      </c>
      <c r="W358" s="81">
        <f>IF($A358="","",N358-_xll.BDP($A358&amp;" Corp","YAS_OAS_SPRD","SETTLE_DT",Company_desc!$A$1))</f>
        <v/>
      </c>
      <c r="X358" s="81">
        <f>IF($A358="","",N358-_xll.BDP($A358&amp;" Corp","YAS_OAS_SPRD","SETTLE_DT",Company_desc!$A$2))</f>
        <v/>
      </c>
      <c r="Y358" s="80">
        <f>IF($A358="","",N358-_xll.BDP($A358&amp;" Corp","YAS_OAS_SPRD","SETTLE_DT",Company_desc!$D$1))</f>
        <v/>
      </c>
      <c r="Z358" s="82">
        <f>IF($A358="","",K358-_xll.BDP($A358&amp;" Corp","YAS_BOND_YLD","YAS_YLD_FLAG=15","SETTLE_DT",Company_desc!$D$1))</f>
        <v/>
      </c>
      <c r="AA358" s="80">
        <f>IF($A358="","",_xll.BDP($A358&amp;" Corp","YAS_OAS_SPRD","SETTLE_DT",Company_desc!$D$1))</f>
        <v/>
      </c>
    </row>
    <row r="359">
      <c r="B359" s="75">
        <f>IF($A359="","",IFERROR(INDEX(Sheet1!$B:$B,MATCH($A359,Sheet1!$A:$A,0)),""))</f>
        <v/>
      </c>
      <c r="C359" s="75">
        <f>IF($A359="","",PROPER(_xll.BDP($A359&amp;" Corp","NAME")))</f>
        <v/>
      </c>
      <c r="D359" s="76">
        <f>IF($A359="","",_xll.BDP($A359&amp;" Corp","CPN"))</f>
        <v/>
      </c>
      <c r="E359" s="75">
        <f>IF($A359="","",_xll.BDP($A359&amp;" Corp","PAYMENT_RANK"))</f>
        <v/>
      </c>
      <c r="F359" s="100">
        <f>IF($A359="","",_xll.BDP($A359&amp;" Corp","MATURITY"))</f>
        <v/>
      </c>
      <c r="G359" s="75">
        <f>IF($A359="","",PROPER(_xll.BDP($A359&amp;" Corp","COUNTRY_FULL_NAME")))</f>
        <v/>
      </c>
      <c r="H359" s="75">
        <f>IF($A359="","",_xll.BDP($A359&amp;" Corp","INDUSTRY_SECTOR"))</f>
        <v/>
      </c>
      <c r="I359" s="101">
        <f>IF($A359="","",IFERROR(_xll.BDP($A359&amp;" Corp","MIN_PIECE")/1000,""))</f>
        <v/>
      </c>
      <c r="J359" s="31">
        <f>IF($A359="","",_xll.BDP($A359&amp;" Corp","PX_LAST"))</f>
        <v/>
      </c>
      <c r="K359" s="31">
        <f>IF($A359="","",_xll.BDP($A359&amp;" Corp","YAS_BOND_YLD","YAS_YLD_FLAG=15"))</f>
        <v/>
      </c>
      <c r="L359" s="31">
        <f>IF($A359="","",K359-_xll.BDP($A359&amp;" Corp","YAS_BOND_YLD","YAS_YLD_FLAG=15","SETTLE_DT",Company_desc!$A$1))</f>
        <v/>
      </c>
      <c r="M359" s="31">
        <f>IF($A359="","",K359-_xll.BDP($A359&amp;" Corp","YAS_BOND_YLD","YAS_YLD_FLAG=15","SETTLE_DT",Company_desc!$A$2))</f>
        <v/>
      </c>
      <c r="N359" s="79">
        <f>IF($A359="","",_xll.BDP($A359&amp;" Corp","YAS_OAS_SPRD"))</f>
        <v/>
      </c>
      <c r="O359" s="67">
        <f>IF($A359="","",_xll.BDP($A359&amp;" Corp","YAS_MOD_DUR"))</f>
        <v/>
      </c>
      <c r="P359" s="80">
        <f>IF($A359="","",IFERROR(INDEX(Sheet1!$P:$P,MATCH($A359,Sheet1!$A:$A,0)),""))</f>
        <v/>
      </c>
      <c r="Q359" s="75">
        <f>IF($A359="","",IFERROR(INDEX(Company_desc!$C:$C,MATCH($A359,Company_desc!$A:$A,0)),IFERROR(INDEX(Sheet1!$Q:$Q,MATCH($A359,Sheet1!$A:$A,0)),"")))</f>
        <v/>
      </c>
      <c r="R359" s="75">
        <f>IF($A359="","",_xll.BDP($A359&amp;" Corp","CRNCY"))</f>
        <v/>
      </c>
      <c r="S359" s="75">
        <f>IF($A359="","",IFERROR(INDEX(Sheet1!$S:$S,MATCH($A359,Sheet1!$A:$A,0)),""))</f>
        <v/>
      </c>
      <c r="T359" s="75">
        <f>IF($A359="","",IFERROR(INDEX(Sheet1!$T:$T,MATCH($A359,Sheet1!$A:$A,0)),_xll.BDP($A359&amp;" Corp","RTG_SP")))</f>
        <v/>
      </c>
      <c r="U359" s="75">
        <f>IF($A359="","",IFERROR(INDEX(Sheet1!$U:$U,MATCH($A359,Sheet1!$A:$A,0)),""))</f>
        <v/>
      </c>
      <c r="W359" s="81">
        <f>IF($A359="","",N359-_xll.BDP($A359&amp;" Corp","YAS_OAS_SPRD","SETTLE_DT",Company_desc!$A$1))</f>
        <v/>
      </c>
      <c r="X359" s="81">
        <f>IF($A359="","",N359-_xll.BDP($A359&amp;" Corp","YAS_OAS_SPRD","SETTLE_DT",Company_desc!$A$2))</f>
        <v/>
      </c>
      <c r="Y359" s="80">
        <f>IF($A359="","",N359-_xll.BDP($A359&amp;" Corp","YAS_OAS_SPRD","SETTLE_DT",Company_desc!$D$1))</f>
        <v/>
      </c>
      <c r="Z359" s="82">
        <f>IF($A359="","",K359-_xll.BDP($A359&amp;" Corp","YAS_BOND_YLD","YAS_YLD_FLAG=15","SETTLE_DT",Company_desc!$D$1))</f>
        <v/>
      </c>
      <c r="AA359" s="80">
        <f>IF($A359="","",_xll.BDP($A359&amp;" Corp","YAS_OAS_SPRD","SETTLE_DT",Company_desc!$D$1))</f>
        <v/>
      </c>
    </row>
    <row r="360">
      <c r="B360" s="75">
        <f>IF($A360="","",IFERROR(INDEX(Sheet1!$B:$B,MATCH($A360,Sheet1!$A:$A,0)),""))</f>
        <v/>
      </c>
      <c r="C360" s="75">
        <f>IF($A360="","",PROPER(_xll.BDP($A360&amp;" Corp","NAME")))</f>
        <v/>
      </c>
      <c r="D360" s="76">
        <f>IF($A360="","",_xll.BDP($A360&amp;" Corp","CPN"))</f>
        <v/>
      </c>
      <c r="E360" s="75">
        <f>IF($A360="","",_xll.BDP($A360&amp;" Corp","PAYMENT_RANK"))</f>
        <v/>
      </c>
      <c r="F360" s="100">
        <f>IF($A360="","",_xll.BDP($A360&amp;" Corp","MATURITY"))</f>
        <v/>
      </c>
      <c r="G360" s="75">
        <f>IF($A360="","",PROPER(_xll.BDP($A360&amp;" Corp","COUNTRY_FULL_NAME")))</f>
        <v/>
      </c>
      <c r="H360" s="75">
        <f>IF($A360="","",_xll.BDP($A360&amp;" Corp","INDUSTRY_SECTOR"))</f>
        <v/>
      </c>
      <c r="I360" s="101">
        <f>IF($A360="","",IFERROR(_xll.BDP($A360&amp;" Corp","MIN_PIECE")/1000,""))</f>
        <v/>
      </c>
      <c r="J360" s="31">
        <f>IF($A360="","",_xll.BDP($A360&amp;" Corp","PX_LAST"))</f>
        <v/>
      </c>
      <c r="K360" s="31">
        <f>IF($A360="","",_xll.BDP($A360&amp;" Corp","YAS_BOND_YLD","YAS_YLD_FLAG=15"))</f>
        <v/>
      </c>
      <c r="L360" s="31">
        <f>IF($A360="","",K360-_xll.BDP($A360&amp;" Corp","YAS_BOND_YLD","YAS_YLD_FLAG=15","SETTLE_DT",Company_desc!$A$1))</f>
        <v/>
      </c>
      <c r="M360" s="31">
        <f>IF($A360="","",K360-_xll.BDP($A360&amp;" Corp","YAS_BOND_YLD","YAS_YLD_FLAG=15","SETTLE_DT",Company_desc!$A$2))</f>
        <v/>
      </c>
      <c r="N360" s="79">
        <f>IF($A360="","",_xll.BDP($A360&amp;" Corp","YAS_OAS_SPRD"))</f>
        <v/>
      </c>
      <c r="O360" s="67">
        <f>IF($A360="","",_xll.BDP($A360&amp;" Corp","YAS_MOD_DUR"))</f>
        <v/>
      </c>
      <c r="P360" s="80">
        <f>IF($A360="","",IFERROR(INDEX(Sheet1!$P:$P,MATCH($A360,Sheet1!$A:$A,0)),""))</f>
        <v/>
      </c>
      <c r="Q360" s="75">
        <f>IF($A360="","",IFERROR(INDEX(Company_desc!$C:$C,MATCH($A360,Company_desc!$A:$A,0)),IFERROR(INDEX(Sheet1!$Q:$Q,MATCH($A360,Sheet1!$A:$A,0)),"")))</f>
        <v/>
      </c>
      <c r="R360" s="75">
        <f>IF($A360="","",_xll.BDP($A360&amp;" Corp","CRNCY"))</f>
        <v/>
      </c>
      <c r="S360" s="75">
        <f>IF($A360="","",IFERROR(INDEX(Sheet1!$S:$S,MATCH($A360,Sheet1!$A:$A,0)),""))</f>
        <v/>
      </c>
      <c r="T360" s="75">
        <f>IF($A360="","",IFERROR(INDEX(Sheet1!$T:$T,MATCH($A360,Sheet1!$A:$A,0)),_xll.BDP($A360&amp;" Corp","RTG_SP")))</f>
        <v/>
      </c>
      <c r="U360" s="75">
        <f>IF($A360="","",IFERROR(INDEX(Sheet1!$U:$U,MATCH($A360,Sheet1!$A:$A,0)),""))</f>
        <v/>
      </c>
      <c r="W360" s="81">
        <f>IF($A360="","",N360-_xll.BDP($A360&amp;" Corp","YAS_OAS_SPRD","SETTLE_DT",Company_desc!$A$1))</f>
        <v/>
      </c>
      <c r="X360" s="81">
        <f>IF($A360="","",N360-_xll.BDP($A360&amp;" Corp","YAS_OAS_SPRD","SETTLE_DT",Company_desc!$A$2))</f>
        <v/>
      </c>
      <c r="Y360" s="80">
        <f>IF($A360="","",N360-_xll.BDP($A360&amp;" Corp","YAS_OAS_SPRD","SETTLE_DT",Company_desc!$D$1))</f>
        <v/>
      </c>
      <c r="Z360" s="82">
        <f>IF($A360="","",K360-_xll.BDP($A360&amp;" Corp","YAS_BOND_YLD","YAS_YLD_FLAG=15","SETTLE_DT",Company_desc!$D$1))</f>
        <v/>
      </c>
      <c r="AA360" s="80">
        <f>IF($A360="","",_xll.BDP($A360&amp;" Corp","YAS_OAS_SPRD","SETTLE_DT",Company_desc!$D$1))</f>
        <v/>
      </c>
    </row>
    <row r="361">
      <c r="B361" s="75">
        <f>IF($A361="","",IFERROR(INDEX(Sheet1!$B:$B,MATCH($A361,Sheet1!$A:$A,0)),""))</f>
        <v/>
      </c>
      <c r="C361" s="75">
        <f>IF($A361="","",PROPER(_xll.BDP($A361&amp;" Corp","NAME")))</f>
        <v/>
      </c>
      <c r="D361" s="76">
        <f>IF($A361="","",_xll.BDP($A361&amp;" Corp","CPN"))</f>
        <v/>
      </c>
      <c r="E361" s="75">
        <f>IF($A361="","",_xll.BDP($A361&amp;" Corp","PAYMENT_RANK"))</f>
        <v/>
      </c>
      <c r="F361" s="100">
        <f>IF($A361="","",_xll.BDP($A361&amp;" Corp","MATURITY"))</f>
        <v/>
      </c>
      <c r="G361" s="75">
        <f>IF($A361="","",PROPER(_xll.BDP($A361&amp;" Corp","COUNTRY_FULL_NAME")))</f>
        <v/>
      </c>
      <c r="H361" s="75">
        <f>IF($A361="","",_xll.BDP($A361&amp;" Corp","INDUSTRY_SECTOR"))</f>
        <v/>
      </c>
      <c r="I361" s="101">
        <f>IF($A361="","",IFERROR(_xll.BDP($A361&amp;" Corp","MIN_PIECE")/1000,""))</f>
        <v/>
      </c>
      <c r="J361" s="31">
        <f>IF($A361="","",_xll.BDP($A361&amp;" Corp","PX_LAST"))</f>
        <v/>
      </c>
      <c r="K361" s="31">
        <f>IF($A361="","",_xll.BDP($A361&amp;" Corp","YAS_BOND_YLD","YAS_YLD_FLAG=15"))</f>
        <v/>
      </c>
      <c r="L361" s="31">
        <f>IF($A361="","",K361-_xll.BDP($A361&amp;" Corp","YAS_BOND_YLD","YAS_YLD_FLAG=15","SETTLE_DT",Company_desc!$A$1))</f>
        <v/>
      </c>
      <c r="M361" s="31">
        <f>IF($A361="","",K361-_xll.BDP($A361&amp;" Corp","YAS_BOND_YLD","YAS_YLD_FLAG=15","SETTLE_DT",Company_desc!$A$2))</f>
        <v/>
      </c>
      <c r="N361" s="79">
        <f>IF($A361="","",_xll.BDP($A361&amp;" Corp","YAS_OAS_SPRD"))</f>
        <v/>
      </c>
      <c r="O361" s="67">
        <f>IF($A361="","",_xll.BDP($A361&amp;" Corp","YAS_MOD_DUR"))</f>
        <v/>
      </c>
      <c r="P361" s="80">
        <f>IF($A361="","",IFERROR(INDEX(Sheet1!$P:$P,MATCH($A361,Sheet1!$A:$A,0)),""))</f>
        <v/>
      </c>
      <c r="Q361" s="75">
        <f>IF($A361="","",IFERROR(INDEX(Company_desc!$C:$C,MATCH($A361,Company_desc!$A:$A,0)),IFERROR(INDEX(Sheet1!$Q:$Q,MATCH($A361,Sheet1!$A:$A,0)),"")))</f>
        <v/>
      </c>
      <c r="R361" s="75">
        <f>IF($A361="","",_xll.BDP($A361&amp;" Corp","CRNCY"))</f>
        <v/>
      </c>
      <c r="S361" s="75">
        <f>IF($A361="","",IFERROR(INDEX(Sheet1!$S:$S,MATCH($A361,Sheet1!$A:$A,0)),""))</f>
        <v/>
      </c>
      <c r="T361" s="75">
        <f>IF($A361="","",IFERROR(INDEX(Sheet1!$T:$T,MATCH($A361,Sheet1!$A:$A,0)),_xll.BDP($A361&amp;" Corp","RTG_SP")))</f>
        <v/>
      </c>
      <c r="U361" s="75">
        <f>IF($A361="","",IFERROR(INDEX(Sheet1!$U:$U,MATCH($A361,Sheet1!$A:$A,0)),""))</f>
        <v/>
      </c>
      <c r="W361" s="81">
        <f>IF($A361="","",N361-_xll.BDP($A361&amp;" Corp","YAS_OAS_SPRD","SETTLE_DT",Company_desc!$A$1))</f>
        <v/>
      </c>
      <c r="X361" s="81">
        <f>IF($A361="","",N361-_xll.BDP($A361&amp;" Corp","YAS_OAS_SPRD","SETTLE_DT",Company_desc!$A$2))</f>
        <v/>
      </c>
      <c r="Y361" s="80">
        <f>IF($A361="","",N361-_xll.BDP($A361&amp;" Corp","YAS_OAS_SPRD","SETTLE_DT",Company_desc!$D$1))</f>
        <v/>
      </c>
      <c r="Z361" s="82">
        <f>IF($A361="","",K361-_xll.BDP($A361&amp;" Corp","YAS_BOND_YLD","YAS_YLD_FLAG=15","SETTLE_DT",Company_desc!$D$1))</f>
        <v/>
      </c>
      <c r="AA361" s="80">
        <f>IF($A361="","",_xll.BDP($A361&amp;" Corp","YAS_OAS_SPRD","SETTLE_DT",Company_desc!$D$1))</f>
        <v/>
      </c>
    </row>
    <row r="362">
      <c r="A362" s="42" t="n"/>
      <c r="B362" s="75">
        <f>IF($A362="","",IFERROR(INDEX(Sheet1!$B:$B,MATCH($A362,Sheet1!$A:$A,0)),""))</f>
        <v/>
      </c>
      <c r="C362" s="75">
        <f>IF($A362="","",PROPER(_xll.BDP($A362&amp;" Corp","NAME")))</f>
        <v/>
      </c>
      <c r="D362" s="76">
        <f>IF($A362="","",_xll.BDP($A362&amp;" Corp","CPN"))</f>
        <v/>
      </c>
      <c r="E362" s="75">
        <f>IF($A362="","",_xll.BDP($A362&amp;" Corp","PAYMENT_RANK"))</f>
        <v/>
      </c>
      <c r="F362" s="100">
        <f>IF($A362="","",_xll.BDP($A362&amp;" Corp","MATURITY"))</f>
        <v/>
      </c>
      <c r="G362" s="75">
        <f>IF($A362="","",PROPER(_xll.BDP($A362&amp;" Corp","COUNTRY_FULL_NAME")))</f>
        <v/>
      </c>
      <c r="H362" s="75">
        <f>IF($A362="","",_xll.BDP($A362&amp;" Corp","INDUSTRY_SECTOR"))</f>
        <v/>
      </c>
      <c r="I362" s="101">
        <f>IF($A362="","",IFERROR(_xll.BDP($A362&amp;" Corp","MIN_PIECE")/1000,""))</f>
        <v/>
      </c>
      <c r="J362" s="31">
        <f>IF($A362="","",_xll.BDP($A362&amp;" Corp","PX_LAST"))</f>
        <v/>
      </c>
      <c r="K362" s="31">
        <f>IF($A362="","",_xll.BDP($A362&amp;" Corp","YAS_BOND_YLD","YAS_YLD_FLAG=15"))</f>
        <v/>
      </c>
      <c r="L362" s="31">
        <f>IF($A362="","",K362-_xll.BDP($A362&amp;" Corp","YAS_BOND_YLD","YAS_YLD_FLAG=15","SETTLE_DT",Company_desc!$A$1))</f>
        <v/>
      </c>
      <c r="M362" s="31">
        <f>IF($A362="","",K362-_xll.BDP($A362&amp;" Corp","YAS_BOND_YLD","YAS_YLD_FLAG=15","SETTLE_DT",Company_desc!$A$2))</f>
        <v/>
      </c>
      <c r="N362" s="79">
        <f>IF($A362="","",_xll.BDP($A362&amp;" Corp","YAS_OAS_SPRD"))</f>
        <v/>
      </c>
      <c r="O362" s="67">
        <f>IF($A362="","",_xll.BDP($A362&amp;" Corp","YAS_MOD_DUR"))</f>
        <v/>
      </c>
      <c r="P362" s="80">
        <f>IF($A362="","",IFERROR(INDEX(Sheet1!$P:$P,MATCH($A362,Sheet1!$A:$A,0)),""))</f>
        <v/>
      </c>
      <c r="Q362" s="75">
        <f>IF($A362="","",IFERROR(INDEX(Company_desc!$C:$C,MATCH($A362,Company_desc!$A:$A,0)),IFERROR(INDEX(Sheet1!$Q:$Q,MATCH($A362,Sheet1!$A:$A,0)),"")))</f>
        <v/>
      </c>
      <c r="R362" s="75">
        <f>IF($A362="","",_xll.BDP($A362&amp;" Corp","CRNCY"))</f>
        <v/>
      </c>
      <c r="S362" s="75">
        <f>IF($A362="","",IFERROR(INDEX(Sheet1!$S:$S,MATCH($A362,Sheet1!$A:$A,0)),""))</f>
        <v/>
      </c>
      <c r="T362" s="75">
        <f>IF($A362="","",IFERROR(INDEX(Sheet1!$T:$T,MATCH($A362,Sheet1!$A:$A,0)),_xll.BDP($A362&amp;" Corp","RTG_SP")))</f>
        <v/>
      </c>
      <c r="U362" s="75">
        <f>IF($A362="","",IFERROR(INDEX(Sheet1!$U:$U,MATCH($A362,Sheet1!$A:$A,0)),""))</f>
        <v/>
      </c>
      <c r="W362" s="81">
        <f>IF($A362="","",N362-_xll.BDP($A362&amp;" Corp","YAS_OAS_SPRD","SETTLE_DT",Company_desc!$A$1))</f>
        <v/>
      </c>
      <c r="X362" s="81">
        <f>IF($A362="","",N362-_xll.BDP($A362&amp;" Corp","YAS_OAS_SPRD","SETTLE_DT",Company_desc!$A$2))</f>
        <v/>
      </c>
      <c r="Y362" s="80">
        <f>IF($A362="","",N362-_xll.BDP($A362&amp;" Corp","YAS_OAS_SPRD","SETTLE_DT",Company_desc!$D$1))</f>
        <v/>
      </c>
      <c r="Z362" s="82">
        <f>IF($A362="","",K362-_xll.BDP($A362&amp;" Corp","YAS_BOND_YLD","YAS_YLD_FLAG=15","SETTLE_DT",Company_desc!$D$1))</f>
        <v/>
      </c>
      <c r="AA362" s="80">
        <f>IF($A362="","",_xll.BDP($A362&amp;" Corp","YAS_OAS_SPRD","SETTLE_DT",Company_desc!$D$1))</f>
        <v/>
      </c>
    </row>
    <row r="363">
      <c r="B363" s="75">
        <f>IF($A363="","",IFERROR(INDEX(Sheet1!$B:$B,MATCH($A363,Sheet1!$A:$A,0)),""))</f>
        <v/>
      </c>
      <c r="C363" s="75">
        <f>IF($A363="","",PROPER(_xll.BDP($A363&amp;" Corp","NAME")))</f>
        <v/>
      </c>
      <c r="D363" s="76">
        <f>IF($A363="","",_xll.BDP($A363&amp;" Corp","CPN"))</f>
        <v/>
      </c>
      <c r="E363" s="75">
        <f>IF($A363="","",_xll.BDP($A363&amp;" Corp","PAYMENT_RANK"))</f>
        <v/>
      </c>
      <c r="F363" s="100">
        <f>IF($A363="","",_xll.BDP($A363&amp;" Corp","MATURITY"))</f>
        <v/>
      </c>
      <c r="G363" s="75">
        <f>IF($A363="","",PROPER(_xll.BDP($A363&amp;" Corp","COUNTRY_FULL_NAME")))</f>
        <v/>
      </c>
      <c r="H363" s="75">
        <f>IF($A363="","",_xll.BDP($A363&amp;" Corp","INDUSTRY_SECTOR"))</f>
        <v/>
      </c>
      <c r="I363" s="101">
        <f>IF($A363="","",IFERROR(_xll.BDP($A363&amp;" Corp","MIN_PIECE")/1000,""))</f>
        <v/>
      </c>
      <c r="J363" s="31">
        <f>IF($A363="","",_xll.BDP($A363&amp;" Corp","PX_LAST"))</f>
        <v/>
      </c>
      <c r="K363" s="31">
        <f>IF($A363="","",_xll.BDP($A363&amp;" Corp","YAS_BOND_YLD","YAS_YLD_FLAG=15"))</f>
        <v/>
      </c>
      <c r="L363" s="31">
        <f>IF($A363="","",K363-_xll.BDP($A363&amp;" Corp","YAS_BOND_YLD","YAS_YLD_FLAG=15","SETTLE_DT",Company_desc!$A$1))</f>
        <v/>
      </c>
      <c r="M363" s="31">
        <f>IF($A363="","",K363-_xll.BDP($A363&amp;" Corp","YAS_BOND_YLD","YAS_YLD_FLAG=15","SETTLE_DT",Company_desc!$A$2))</f>
        <v/>
      </c>
      <c r="N363" s="79">
        <f>IF($A363="","",_xll.BDP($A363&amp;" Corp","YAS_OAS_SPRD"))</f>
        <v/>
      </c>
      <c r="O363" s="67">
        <f>IF($A363="","",_xll.BDP($A363&amp;" Corp","YAS_MOD_DUR"))</f>
        <v/>
      </c>
      <c r="P363" s="80">
        <f>IF($A363="","",IFERROR(INDEX(Sheet1!$P:$P,MATCH($A363,Sheet1!$A:$A,0)),""))</f>
        <v/>
      </c>
      <c r="Q363" s="75">
        <f>IF($A363="","",IFERROR(INDEX(Company_desc!$C:$C,MATCH($A363,Company_desc!$A:$A,0)),IFERROR(INDEX(Sheet1!$Q:$Q,MATCH($A363,Sheet1!$A:$A,0)),"")))</f>
        <v/>
      </c>
      <c r="R363" s="75">
        <f>IF($A363="","",_xll.BDP($A363&amp;" Corp","CRNCY"))</f>
        <v/>
      </c>
      <c r="S363" s="75">
        <f>IF($A363="","",IFERROR(INDEX(Sheet1!$S:$S,MATCH($A363,Sheet1!$A:$A,0)),""))</f>
        <v/>
      </c>
      <c r="T363" s="75">
        <f>IF($A363="","",IFERROR(INDEX(Sheet1!$T:$T,MATCH($A363,Sheet1!$A:$A,0)),_xll.BDP($A363&amp;" Corp","RTG_SP")))</f>
        <v/>
      </c>
      <c r="U363" s="75">
        <f>IF($A363="","",IFERROR(INDEX(Sheet1!$U:$U,MATCH($A363,Sheet1!$A:$A,0)),""))</f>
        <v/>
      </c>
      <c r="W363" s="81">
        <f>IF($A363="","",N363-_xll.BDP($A363&amp;" Corp","YAS_OAS_SPRD","SETTLE_DT",Company_desc!$A$1))</f>
        <v/>
      </c>
      <c r="X363" s="81">
        <f>IF($A363="","",N363-_xll.BDP($A363&amp;" Corp","YAS_OAS_SPRD","SETTLE_DT",Company_desc!$A$2))</f>
        <v/>
      </c>
      <c r="Y363" s="80">
        <f>IF($A363="","",N363-_xll.BDP($A363&amp;" Corp","YAS_OAS_SPRD","SETTLE_DT",Company_desc!$D$1))</f>
        <v/>
      </c>
      <c r="Z363" s="82">
        <f>IF($A363="","",K363-_xll.BDP($A363&amp;" Corp","YAS_BOND_YLD","YAS_YLD_FLAG=15","SETTLE_DT",Company_desc!$D$1))</f>
        <v/>
      </c>
      <c r="AA363" s="80">
        <f>IF($A363="","",_xll.BDP($A363&amp;" Corp","YAS_OAS_SPRD","SETTLE_DT",Company_desc!$D$1))</f>
        <v/>
      </c>
    </row>
    <row r="364">
      <c r="B364" s="75">
        <f>IF($A364="","",IFERROR(INDEX(Sheet1!$B:$B,MATCH($A364,Sheet1!$A:$A,0)),""))</f>
        <v/>
      </c>
      <c r="C364" s="75">
        <f>IF($A364="","",PROPER(_xll.BDP($A364&amp;" Corp","NAME")))</f>
        <v/>
      </c>
      <c r="D364" s="76">
        <f>IF($A364="","",_xll.BDP($A364&amp;" Corp","CPN"))</f>
        <v/>
      </c>
      <c r="E364" s="75">
        <f>IF($A364="","",_xll.BDP($A364&amp;" Corp","PAYMENT_RANK"))</f>
        <v/>
      </c>
      <c r="F364" s="100">
        <f>IF($A364="","",_xll.BDP($A364&amp;" Corp","MATURITY"))</f>
        <v/>
      </c>
      <c r="G364" s="75">
        <f>IF($A364="","",PROPER(_xll.BDP($A364&amp;" Corp","COUNTRY_FULL_NAME")))</f>
        <v/>
      </c>
      <c r="H364" s="75">
        <f>IF($A364="","",_xll.BDP($A364&amp;" Corp","INDUSTRY_SECTOR"))</f>
        <v/>
      </c>
      <c r="I364" s="101">
        <f>IF($A364="","",IFERROR(_xll.BDP($A364&amp;" Corp","MIN_PIECE")/1000,""))</f>
        <v/>
      </c>
      <c r="J364" s="31">
        <f>IF($A364="","",_xll.BDP($A364&amp;" Corp","PX_LAST"))</f>
        <v/>
      </c>
      <c r="K364" s="31">
        <f>IF($A364="","",_xll.BDP($A364&amp;" Corp","YAS_BOND_YLD","YAS_YLD_FLAG=15"))</f>
        <v/>
      </c>
      <c r="L364" s="31">
        <f>IF($A364="","",K364-_xll.BDP($A364&amp;" Corp","YAS_BOND_YLD","YAS_YLD_FLAG=15","SETTLE_DT",Company_desc!$A$1))</f>
        <v/>
      </c>
      <c r="M364" s="31">
        <f>IF($A364="","",K364-_xll.BDP($A364&amp;" Corp","YAS_BOND_YLD","YAS_YLD_FLAG=15","SETTLE_DT",Company_desc!$A$2))</f>
        <v/>
      </c>
      <c r="N364" s="79">
        <f>IF($A364="","",_xll.BDP($A364&amp;" Corp","YAS_OAS_SPRD"))</f>
        <v/>
      </c>
      <c r="O364" s="67">
        <f>IF($A364="","",_xll.BDP($A364&amp;" Corp","YAS_MOD_DUR"))</f>
        <v/>
      </c>
      <c r="P364" s="80">
        <f>IF($A364="","",IFERROR(INDEX(Sheet1!$P:$P,MATCH($A364,Sheet1!$A:$A,0)),""))</f>
        <v/>
      </c>
      <c r="Q364" s="75">
        <f>IF($A364="","",IFERROR(INDEX(Company_desc!$C:$C,MATCH($A364,Company_desc!$A:$A,0)),IFERROR(INDEX(Sheet1!$Q:$Q,MATCH($A364,Sheet1!$A:$A,0)),"")))</f>
        <v/>
      </c>
      <c r="R364" s="75">
        <f>IF($A364="","",_xll.BDP($A364&amp;" Corp","CRNCY"))</f>
        <v/>
      </c>
      <c r="S364" s="75">
        <f>IF($A364="","",IFERROR(INDEX(Sheet1!$S:$S,MATCH($A364,Sheet1!$A:$A,0)),""))</f>
        <v/>
      </c>
      <c r="T364" s="75">
        <f>IF($A364="","",IFERROR(INDEX(Sheet1!$T:$T,MATCH($A364,Sheet1!$A:$A,0)),_xll.BDP($A364&amp;" Corp","RTG_SP")))</f>
        <v/>
      </c>
      <c r="U364" s="75">
        <f>IF($A364="","",IFERROR(INDEX(Sheet1!$U:$U,MATCH($A364,Sheet1!$A:$A,0)),""))</f>
        <v/>
      </c>
      <c r="W364" s="81">
        <f>IF($A364="","",N364-_xll.BDP($A364&amp;" Corp","YAS_OAS_SPRD","SETTLE_DT",Company_desc!$A$1))</f>
        <v/>
      </c>
      <c r="X364" s="81">
        <f>IF($A364="","",N364-_xll.BDP($A364&amp;" Corp","YAS_OAS_SPRD","SETTLE_DT",Company_desc!$A$2))</f>
        <v/>
      </c>
      <c r="Y364" s="80">
        <f>IF($A364="","",N364-_xll.BDP($A364&amp;" Corp","YAS_OAS_SPRD","SETTLE_DT",Company_desc!$D$1))</f>
        <v/>
      </c>
      <c r="Z364" s="82">
        <f>IF($A364="","",K364-_xll.BDP($A364&amp;" Corp","YAS_BOND_YLD","YAS_YLD_FLAG=15","SETTLE_DT",Company_desc!$D$1))</f>
        <v/>
      </c>
      <c r="AA364" s="80">
        <f>IF($A364="","",_xll.BDP($A364&amp;" Corp","YAS_OAS_SPRD","SETTLE_DT",Company_desc!$D$1))</f>
        <v/>
      </c>
    </row>
    <row r="365">
      <c r="B365" s="75">
        <f>IF($A365="","",IFERROR(INDEX(Sheet1!$B:$B,MATCH($A365,Sheet1!$A:$A,0)),""))</f>
        <v/>
      </c>
      <c r="C365" s="75">
        <f>IF($A365="","",PROPER(_xll.BDP($A365&amp;" Corp","NAME")))</f>
        <v/>
      </c>
      <c r="D365" s="76">
        <f>IF($A365="","",_xll.BDP($A365&amp;" Corp","CPN"))</f>
        <v/>
      </c>
      <c r="E365" s="75">
        <f>IF($A365="","",_xll.BDP($A365&amp;" Corp","PAYMENT_RANK"))</f>
        <v/>
      </c>
      <c r="F365" s="100">
        <f>IF($A365="","",_xll.BDP($A365&amp;" Corp","MATURITY"))</f>
        <v/>
      </c>
      <c r="G365" s="75">
        <f>IF($A365="","",PROPER(_xll.BDP($A365&amp;" Corp","COUNTRY_FULL_NAME")))</f>
        <v/>
      </c>
      <c r="H365" s="75">
        <f>IF($A365="","",_xll.BDP($A365&amp;" Corp","INDUSTRY_SECTOR"))</f>
        <v/>
      </c>
      <c r="I365" s="101">
        <f>IF($A365="","",IFERROR(_xll.BDP($A365&amp;" Corp","MIN_PIECE")/1000,""))</f>
        <v/>
      </c>
      <c r="J365" s="31">
        <f>IF($A365="","",_xll.BDP($A365&amp;" Corp","PX_LAST"))</f>
        <v/>
      </c>
      <c r="K365" s="31">
        <f>IF($A365="","",_xll.BDP($A365&amp;" Corp","YAS_BOND_YLD","YAS_YLD_FLAG=15"))</f>
        <v/>
      </c>
      <c r="L365" s="31">
        <f>IF($A365="","",K365-_xll.BDP($A365&amp;" Corp","YAS_BOND_YLD","YAS_YLD_FLAG=15","SETTLE_DT",Company_desc!$A$1))</f>
        <v/>
      </c>
      <c r="M365" s="31">
        <f>IF($A365="","",K365-_xll.BDP($A365&amp;" Corp","YAS_BOND_YLD","YAS_YLD_FLAG=15","SETTLE_DT",Company_desc!$A$2))</f>
        <v/>
      </c>
      <c r="N365" s="79">
        <f>IF($A365="","",_xll.BDP($A365&amp;" Corp","YAS_OAS_SPRD"))</f>
        <v/>
      </c>
      <c r="O365" s="67">
        <f>IF($A365="","",_xll.BDP($A365&amp;" Corp","YAS_MOD_DUR"))</f>
        <v/>
      </c>
      <c r="P365" s="80">
        <f>IF($A365="","",IFERROR(INDEX(Sheet1!$P:$P,MATCH($A365,Sheet1!$A:$A,0)),""))</f>
        <v/>
      </c>
      <c r="Q365" s="75">
        <f>IF($A365="","",IFERROR(INDEX(Company_desc!$C:$C,MATCH($A365,Company_desc!$A:$A,0)),IFERROR(INDEX(Sheet1!$Q:$Q,MATCH($A365,Sheet1!$A:$A,0)),"")))</f>
        <v/>
      </c>
      <c r="R365" s="75">
        <f>IF($A365="","",_xll.BDP($A365&amp;" Corp","CRNCY"))</f>
        <v/>
      </c>
      <c r="S365" s="75">
        <f>IF($A365="","",IFERROR(INDEX(Sheet1!$S:$S,MATCH($A365,Sheet1!$A:$A,0)),""))</f>
        <v/>
      </c>
      <c r="T365" s="75">
        <f>IF($A365="","",IFERROR(INDEX(Sheet1!$T:$T,MATCH($A365,Sheet1!$A:$A,0)),_xll.BDP($A365&amp;" Corp","RTG_SP")))</f>
        <v/>
      </c>
      <c r="U365" s="75">
        <f>IF($A365="","",IFERROR(INDEX(Sheet1!$U:$U,MATCH($A365,Sheet1!$A:$A,0)),""))</f>
        <v/>
      </c>
      <c r="W365" s="81">
        <f>IF($A365="","",N365-_xll.BDP($A365&amp;" Corp","YAS_OAS_SPRD","SETTLE_DT",Company_desc!$A$1))</f>
        <v/>
      </c>
      <c r="X365" s="81">
        <f>IF($A365="","",N365-_xll.BDP($A365&amp;" Corp","YAS_OAS_SPRD","SETTLE_DT",Company_desc!$A$2))</f>
        <v/>
      </c>
      <c r="Y365" s="80">
        <f>IF($A365="","",N365-_xll.BDP($A365&amp;" Corp","YAS_OAS_SPRD","SETTLE_DT",Company_desc!$D$1))</f>
        <v/>
      </c>
      <c r="Z365" s="82">
        <f>IF($A365="","",K365-_xll.BDP($A365&amp;" Corp","YAS_BOND_YLD","YAS_YLD_FLAG=15","SETTLE_DT",Company_desc!$D$1))</f>
        <v/>
      </c>
      <c r="AA365" s="80">
        <f>IF($A365="","",_xll.BDP($A365&amp;" Corp","YAS_OAS_SPRD","SETTLE_DT",Company_desc!$D$1))</f>
        <v/>
      </c>
    </row>
    <row r="366">
      <c r="B366" s="75">
        <f>IF($A366="","",IFERROR(INDEX(Sheet1!$B:$B,MATCH($A366,Sheet1!$A:$A,0)),""))</f>
        <v/>
      </c>
      <c r="C366" s="75">
        <f>IF($A366="","",PROPER(_xll.BDP($A366&amp;" Corp","NAME")))</f>
        <v/>
      </c>
      <c r="D366" s="76">
        <f>IF($A366="","",_xll.BDP($A366&amp;" Corp","CPN"))</f>
        <v/>
      </c>
      <c r="E366" s="75">
        <f>IF($A366="","",_xll.BDP($A366&amp;" Corp","PAYMENT_RANK"))</f>
        <v/>
      </c>
      <c r="F366" s="100">
        <f>IF($A366="","",_xll.BDP($A366&amp;" Corp","MATURITY"))</f>
        <v/>
      </c>
      <c r="G366" s="75">
        <f>IF($A366="","",PROPER(_xll.BDP($A366&amp;" Corp","COUNTRY_FULL_NAME")))</f>
        <v/>
      </c>
      <c r="H366" s="75">
        <f>IF($A366="","",_xll.BDP($A366&amp;" Corp","INDUSTRY_SECTOR"))</f>
        <v/>
      </c>
      <c r="I366" s="101">
        <f>IF($A366="","",IFERROR(_xll.BDP($A366&amp;" Corp","MIN_PIECE")/1000,""))</f>
        <v/>
      </c>
      <c r="J366" s="31">
        <f>IF($A366="","",_xll.BDP($A366&amp;" Corp","PX_LAST"))</f>
        <v/>
      </c>
      <c r="K366" s="31">
        <f>IF($A366="","",_xll.BDP($A366&amp;" Corp","YAS_BOND_YLD","YAS_YLD_FLAG=15"))</f>
        <v/>
      </c>
      <c r="L366" s="31">
        <f>IF($A366="","",K366-_xll.BDP($A366&amp;" Corp","YAS_BOND_YLD","YAS_YLD_FLAG=15","SETTLE_DT",Company_desc!$A$1))</f>
        <v/>
      </c>
      <c r="M366" s="31">
        <f>IF($A366="","",K366-_xll.BDP($A366&amp;" Corp","YAS_BOND_YLD","YAS_YLD_FLAG=15","SETTLE_DT",Company_desc!$A$2))</f>
        <v/>
      </c>
      <c r="N366" s="79">
        <f>IF($A366="","",_xll.BDP($A366&amp;" Corp","YAS_OAS_SPRD"))</f>
        <v/>
      </c>
      <c r="O366" s="67">
        <f>IF($A366="","",_xll.BDP($A366&amp;" Corp","YAS_MOD_DUR"))</f>
        <v/>
      </c>
      <c r="P366" s="80">
        <f>IF($A366="","",IFERROR(INDEX(Sheet1!$P:$P,MATCH($A366,Sheet1!$A:$A,0)),""))</f>
        <v/>
      </c>
      <c r="Q366" s="75">
        <f>IF($A366="","",IFERROR(INDEX(Company_desc!$C:$C,MATCH($A366,Company_desc!$A:$A,0)),IFERROR(INDEX(Sheet1!$Q:$Q,MATCH($A366,Sheet1!$A:$A,0)),"")))</f>
        <v/>
      </c>
      <c r="R366" s="75">
        <f>IF($A366="","",_xll.BDP($A366&amp;" Corp","CRNCY"))</f>
        <v/>
      </c>
      <c r="S366" s="75">
        <f>IF($A366="","",IFERROR(INDEX(Sheet1!$S:$S,MATCH($A366,Sheet1!$A:$A,0)),""))</f>
        <v/>
      </c>
      <c r="T366" s="75">
        <f>IF($A366="","",IFERROR(INDEX(Sheet1!$T:$T,MATCH($A366,Sheet1!$A:$A,0)),_xll.BDP($A366&amp;" Corp","RTG_SP")))</f>
        <v/>
      </c>
      <c r="U366" s="75">
        <f>IF($A366="","",IFERROR(INDEX(Sheet1!$U:$U,MATCH($A366,Sheet1!$A:$A,0)),""))</f>
        <v/>
      </c>
      <c r="W366" s="81">
        <f>IF($A366="","",N366-_xll.BDP($A366&amp;" Corp","YAS_OAS_SPRD","SETTLE_DT",Company_desc!$A$1))</f>
        <v/>
      </c>
      <c r="X366" s="81">
        <f>IF($A366="","",N366-_xll.BDP($A366&amp;" Corp","YAS_OAS_SPRD","SETTLE_DT",Company_desc!$A$2))</f>
        <v/>
      </c>
      <c r="Y366" s="80">
        <f>IF($A366="","",N366-_xll.BDP($A366&amp;" Corp","YAS_OAS_SPRD","SETTLE_DT",Company_desc!$D$1))</f>
        <v/>
      </c>
      <c r="Z366" s="82">
        <f>IF($A366="","",K366-_xll.BDP($A366&amp;" Corp","YAS_BOND_YLD","YAS_YLD_FLAG=15","SETTLE_DT",Company_desc!$D$1))</f>
        <v/>
      </c>
      <c r="AA366" s="80">
        <f>IF($A366="","",_xll.BDP($A366&amp;" Corp","YAS_OAS_SPRD","SETTLE_DT",Company_desc!$D$1))</f>
        <v/>
      </c>
    </row>
    <row r="367">
      <c r="B367" s="75">
        <f>IF($A367="","",IFERROR(INDEX(Sheet1!$B:$B,MATCH($A367,Sheet1!$A:$A,0)),""))</f>
        <v/>
      </c>
      <c r="C367" s="75">
        <f>IF($A367="","",PROPER(_xll.BDP($A367&amp;" Corp","NAME")))</f>
        <v/>
      </c>
      <c r="D367" s="76">
        <f>IF($A367="","",_xll.BDP($A367&amp;" Corp","CPN"))</f>
        <v/>
      </c>
      <c r="E367" s="75">
        <f>IF($A367="","",_xll.BDP($A367&amp;" Corp","PAYMENT_RANK"))</f>
        <v/>
      </c>
      <c r="F367" s="100">
        <f>IF($A367="","",_xll.BDP($A367&amp;" Corp","MATURITY"))</f>
        <v/>
      </c>
      <c r="G367" s="75">
        <f>IF($A367="","",PROPER(_xll.BDP($A367&amp;" Corp","COUNTRY_FULL_NAME")))</f>
        <v/>
      </c>
      <c r="H367" s="75">
        <f>IF($A367="","",_xll.BDP($A367&amp;" Corp","INDUSTRY_SECTOR"))</f>
        <v/>
      </c>
      <c r="I367" s="101">
        <f>IF($A367="","",IFERROR(_xll.BDP($A367&amp;" Corp","MIN_PIECE")/1000,""))</f>
        <v/>
      </c>
      <c r="J367" s="31">
        <f>IF($A367="","",_xll.BDP($A367&amp;" Corp","PX_LAST"))</f>
        <v/>
      </c>
      <c r="K367" s="31">
        <f>IF($A367="","",_xll.BDP($A367&amp;" Corp","YAS_BOND_YLD","YAS_YLD_FLAG=15"))</f>
        <v/>
      </c>
      <c r="L367" s="31">
        <f>IF($A367="","",K367-_xll.BDP($A367&amp;" Corp","YAS_BOND_YLD","YAS_YLD_FLAG=15","SETTLE_DT",Company_desc!$A$1))</f>
        <v/>
      </c>
      <c r="M367" s="31">
        <f>IF($A367="","",K367-_xll.BDP($A367&amp;" Corp","YAS_BOND_YLD","YAS_YLD_FLAG=15","SETTLE_DT",Company_desc!$A$2))</f>
        <v/>
      </c>
      <c r="N367" s="79">
        <f>IF($A367="","",_xll.BDP($A367&amp;" Corp","YAS_OAS_SPRD"))</f>
        <v/>
      </c>
      <c r="O367" s="67">
        <f>IF($A367="","",_xll.BDP($A367&amp;" Corp","YAS_MOD_DUR"))</f>
        <v/>
      </c>
      <c r="P367" s="80">
        <f>IF($A367="","",IFERROR(INDEX(Sheet1!$P:$P,MATCH($A367,Sheet1!$A:$A,0)),""))</f>
        <v/>
      </c>
      <c r="Q367" s="75">
        <f>IF($A367="","",IFERROR(INDEX(Company_desc!$C:$C,MATCH($A367,Company_desc!$A:$A,0)),IFERROR(INDEX(Sheet1!$Q:$Q,MATCH($A367,Sheet1!$A:$A,0)),"")))</f>
        <v/>
      </c>
      <c r="R367" s="75">
        <f>IF($A367="","",_xll.BDP($A367&amp;" Corp","CRNCY"))</f>
        <v/>
      </c>
      <c r="S367" s="75">
        <f>IF($A367="","",IFERROR(INDEX(Sheet1!$S:$S,MATCH($A367,Sheet1!$A:$A,0)),""))</f>
        <v/>
      </c>
      <c r="T367" s="75">
        <f>IF($A367="","",IFERROR(INDEX(Sheet1!$T:$T,MATCH($A367,Sheet1!$A:$A,0)),_xll.BDP($A367&amp;" Corp","RTG_SP")))</f>
        <v/>
      </c>
      <c r="U367" s="75">
        <f>IF($A367="","",IFERROR(INDEX(Sheet1!$U:$U,MATCH($A367,Sheet1!$A:$A,0)),""))</f>
        <v/>
      </c>
      <c r="W367" s="81">
        <f>IF($A367="","",N367-_xll.BDP($A367&amp;" Corp","YAS_OAS_SPRD","SETTLE_DT",Company_desc!$A$1))</f>
        <v/>
      </c>
      <c r="X367" s="81">
        <f>IF($A367="","",N367-_xll.BDP($A367&amp;" Corp","YAS_OAS_SPRD","SETTLE_DT",Company_desc!$A$2))</f>
        <v/>
      </c>
      <c r="Y367" s="80">
        <f>IF($A367="","",N367-_xll.BDP($A367&amp;" Corp","YAS_OAS_SPRD","SETTLE_DT",Company_desc!$D$1))</f>
        <v/>
      </c>
      <c r="Z367" s="82">
        <f>IF($A367="","",K367-_xll.BDP($A367&amp;" Corp","YAS_BOND_YLD","YAS_YLD_FLAG=15","SETTLE_DT",Company_desc!$D$1))</f>
        <v/>
      </c>
      <c r="AA367" s="80">
        <f>IF($A367="","",_xll.BDP($A367&amp;" Corp","YAS_OAS_SPRD","SETTLE_DT",Company_desc!$D$1))</f>
        <v/>
      </c>
    </row>
    <row r="368">
      <c r="B368" s="75">
        <f>IF($A368="","",IFERROR(INDEX(Sheet1!$B:$B,MATCH($A368,Sheet1!$A:$A,0)),""))</f>
        <v/>
      </c>
      <c r="C368" s="75">
        <f>IF($A368="","",PROPER(_xll.BDP($A368&amp;" Corp","NAME")))</f>
        <v/>
      </c>
      <c r="D368" s="76">
        <f>IF($A368="","",_xll.BDP($A368&amp;" Corp","CPN"))</f>
        <v/>
      </c>
      <c r="E368" s="75">
        <f>IF($A368="","",_xll.BDP($A368&amp;" Corp","PAYMENT_RANK"))</f>
        <v/>
      </c>
      <c r="F368" s="100">
        <f>IF($A368="","",_xll.BDP($A368&amp;" Corp","MATURITY"))</f>
        <v/>
      </c>
      <c r="G368" s="75">
        <f>IF($A368="","",PROPER(_xll.BDP($A368&amp;" Corp","COUNTRY_FULL_NAME")))</f>
        <v/>
      </c>
      <c r="H368" s="75">
        <f>IF($A368="","",_xll.BDP($A368&amp;" Corp","INDUSTRY_SECTOR"))</f>
        <v/>
      </c>
      <c r="I368" s="101">
        <f>IF($A368="","",IFERROR(_xll.BDP($A368&amp;" Corp","MIN_PIECE")/1000,""))</f>
        <v/>
      </c>
      <c r="J368" s="31">
        <f>IF($A368="","",_xll.BDP($A368&amp;" Corp","PX_LAST"))</f>
        <v/>
      </c>
      <c r="K368" s="31">
        <f>IF($A368="","",_xll.BDP($A368&amp;" Corp","YAS_BOND_YLD","YAS_YLD_FLAG=15"))</f>
        <v/>
      </c>
      <c r="L368" s="31">
        <f>IF($A368="","",K368-_xll.BDP($A368&amp;" Corp","YAS_BOND_YLD","YAS_YLD_FLAG=15","SETTLE_DT",Company_desc!$A$1))</f>
        <v/>
      </c>
      <c r="M368" s="31">
        <f>IF($A368="","",K368-_xll.BDP($A368&amp;" Corp","YAS_BOND_YLD","YAS_YLD_FLAG=15","SETTLE_DT",Company_desc!$A$2))</f>
        <v/>
      </c>
      <c r="N368" s="79">
        <f>IF($A368="","",_xll.BDP($A368&amp;" Corp","YAS_OAS_SPRD"))</f>
        <v/>
      </c>
      <c r="O368" s="67">
        <f>IF($A368="","",_xll.BDP($A368&amp;" Corp","YAS_MOD_DUR"))</f>
        <v/>
      </c>
      <c r="P368" s="80">
        <f>IF($A368="","",IFERROR(INDEX(Sheet1!$P:$P,MATCH($A368,Sheet1!$A:$A,0)),""))</f>
        <v/>
      </c>
      <c r="Q368" s="75">
        <f>IF($A368="","",IFERROR(INDEX(Company_desc!$C:$C,MATCH($A368,Company_desc!$A:$A,0)),IFERROR(INDEX(Sheet1!$Q:$Q,MATCH($A368,Sheet1!$A:$A,0)),"")))</f>
        <v/>
      </c>
      <c r="R368" s="75">
        <f>IF($A368="","",_xll.BDP($A368&amp;" Corp","CRNCY"))</f>
        <v/>
      </c>
      <c r="S368" s="75">
        <f>IF($A368="","",IFERROR(INDEX(Sheet1!$S:$S,MATCH($A368,Sheet1!$A:$A,0)),""))</f>
        <v/>
      </c>
      <c r="T368" s="75">
        <f>IF($A368="","",IFERROR(INDEX(Sheet1!$T:$T,MATCH($A368,Sheet1!$A:$A,0)),_xll.BDP($A368&amp;" Corp","RTG_SP")))</f>
        <v/>
      </c>
      <c r="U368" s="75">
        <f>IF($A368="","",IFERROR(INDEX(Sheet1!$U:$U,MATCH($A368,Sheet1!$A:$A,0)),""))</f>
        <v/>
      </c>
      <c r="W368" s="81">
        <f>IF($A368="","",N368-_xll.BDP($A368&amp;" Corp","YAS_OAS_SPRD","SETTLE_DT",Company_desc!$A$1))</f>
        <v/>
      </c>
      <c r="X368" s="81">
        <f>IF($A368="","",N368-_xll.BDP($A368&amp;" Corp","YAS_OAS_SPRD","SETTLE_DT",Company_desc!$A$2))</f>
        <v/>
      </c>
      <c r="Y368" s="80">
        <f>IF($A368="","",N368-_xll.BDP($A368&amp;" Corp","YAS_OAS_SPRD","SETTLE_DT",Company_desc!$D$1))</f>
        <v/>
      </c>
      <c r="Z368" s="82">
        <f>IF($A368="","",K368-_xll.BDP($A368&amp;" Corp","YAS_BOND_YLD","YAS_YLD_FLAG=15","SETTLE_DT",Company_desc!$D$1))</f>
        <v/>
      </c>
      <c r="AA368" s="80">
        <f>IF($A368="","",_xll.BDP($A368&amp;" Corp","YAS_OAS_SPRD","SETTLE_DT",Company_desc!$D$1))</f>
        <v/>
      </c>
    </row>
    <row r="369">
      <c r="B369" s="75">
        <f>IF($A369="","",IFERROR(INDEX(Sheet1!$B:$B,MATCH($A369,Sheet1!$A:$A,0)),""))</f>
        <v/>
      </c>
      <c r="C369" s="75">
        <f>IF($A369="","",PROPER(_xll.BDP($A369&amp;" Corp","NAME")))</f>
        <v/>
      </c>
      <c r="D369" s="76">
        <f>IF($A369="","",_xll.BDP($A369&amp;" Corp","CPN"))</f>
        <v/>
      </c>
      <c r="E369" s="75">
        <f>IF($A369="","",_xll.BDP($A369&amp;" Corp","PAYMENT_RANK"))</f>
        <v/>
      </c>
      <c r="F369" s="100">
        <f>IF($A369="","",_xll.BDP($A369&amp;" Corp","MATURITY"))</f>
        <v/>
      </c>
      <c r="G369" s="75">
        <f>IF($A369="","",PROPER(_xll.BDP($A369&amp;" Corp","COUNTRY_FULL_NAME")))</f>
        <v/>
      </c>
      <c r="H369" s="75">
        <f>IF($A369="","",_xll.BDP($A369&amp;" Corp","INDUSTRY_SECTOR"))</f>
        <v/>
      </c>
      <c r="I369" s="101">
        <f>IF($A369="","",IFERROR(_xll.BDP($A369&amp;" Corp","MIN_PIECE")/1000,""))</f>
        <v/>
      </c>
      <c r="J369" s="31">
        <f>IF($A369="","",_xll.BDP($A369&amp;" Corp","PX_LAST"))</f>
        <v/>
      </c>
      <c r="K369" s="31">
        <f>IF($A369="","",_xll.BDP($A369&amp;" Corp","YAS_BOND_YLD","YAS_YLD_FLAG=15"))</f>
        <v/>
      </c>
      <c r="L369" s="31">
        <f>IF($A369="","",K369-_xll.BDP($A369&amp;" Corp","YAS_BOND_YLD","YAS_YLD_FLAG=15","SETTLE_DT",Company_desc!$A$1))</f>
        <v/>
      </c>
      <c r="M369" s="31">
        <f>IF($A369="","",K369-_xll.BDP($A369&amp;" Corp","YAS_BOND_YLD","YAS_YLD_FLAG=15","SETTLE_DT",Company_desc!$A$2))</f>
        <v/>
      </c>
      <c r="N369" s="79">
        <f>IF($A369="","",_xll.BDP($A369&amp;" Corp","YAS_OAS_SPRD"))</f>
        <v/>
      </c>
      <c r="O369" s="67">
        <f>IF($A369="","",_xll.BDP($A369&amp;" Corp","YAS_MOD_DUR"))</f>
        <v/>
      </c>
      <c r="P369" s="80">
        <f>IF($A369="","",IFERROR(INDEX(Sheet1!$P:$P,MATCH($A369,Sheet1!$A:$A,0)),""))</f>
        <v/>
      </c>
      <c r="Q369" s="75">
        <f>IF($A369="","",IFERROR(INDEX(Company_desc!$C:$C,MATCH($A369,Company_desc!$A:$A,0)),IFERROR(INDEX(Sheet1!$Q:$Q,MATCH($A369,Sheet1!$A:$A,0)),"")))</f>
        <v/>
      </c>
      <c r="R369" s="75">
        <f>IF($A369="","",_xll.BDP($A369&amp;" Corp","CRNCY"))</f>
        <v/>
      </c>
      <c r="S369" s="75">
        <f>IF($A369="","",IFERROR(INDEX(Sheet1!$S:$S,MATCH($A369,Sheet1!$A:$A,0)),""))</f>
        <v/>
      </c>
      <c r="T369" s="75">
        <f>IF($A369="","",IFERROR(INDEX(Sheet1!$T:$T,MATCH($A369,Sheet1!$A:$A,0)),_xll.BDP($A369&amp;" Corp","RTG_SP")))</f>
        <v/>
      </c>
      <c r="U369" s="75">
        <f>IF($A369="","",IFERROR(INDEX(Sheet1!$U:$U,MATCH($A369,Sheet1!$A:$A,0)),""))</f>
        <v/>
      </c>
      <c r="W369" s="81">
        <f>IF($A369="","",N369-_xll.BDP($A369&amp;" Corp","YAS_OAS_SPRD","SETTLE_DT",Company_desc!$A$1))</f>
        <v/>
      </c>
      <c r="X369" s="81">
        <f>IF($A369="","",N369-_xll.BDP($A369&amp;" Corp","YAS_OAS_SPRD","SETTLE_DT",Company_desc!$A$2))</f>
        <v/>
      </c>
      <c r="Y369" s="80">
        <f>IF($A369="","",N369-_xll.BDP($A369&amp;" Corp","YAS_OAS_SPRD","SETTLE_DT",Company_desc!$D$1))</f>
        <v/>
      </c>
      <c r="Z369" s="82">
        <f>IF($A369="","",K369-_xll.BDP($A369&amp;" Corp","YAS_BOND_YLD","YAS_YLD_FLAG=15","SETTLE_DT",Company_desc!$D$1))</f>
        <v/>
      </c>
      <c r="AA369" s="80">
        <f>IF($A369="","",_xll.BDP($A369&amp;" Corp","YAS_OAS_SPRD","SETTLE_DT",Company_desc!$D$1))</f>
        <v/>
      </c>
    </row>
    <row r="370">
      <c r="B370" s="75">
        <f>IF($A370="","",IFERROR(INDEX(Sheet1!$B:$B,MATCH($A370,Sheet1!$A:$A,0)),""))</f>
        <v/>
      </c>
      <c r="C370" s="75">
        <f>IF($A370="","",PROPER(_xll.BDP($A370&amp;" Corp","NAME")))</f>
        <v/>
      </c>
      <c r="D370" s="76">
        <f>IF($A370="","",_xll.BDP($A370&amp;" Corp","CPN"))</f>
        <v/>
      </c>
      <c r="E370" s="75">
        <f>IF($A370="","",_xll.BDP($A370&amp;" Corp","PAYMENT_RANK"))</f>
        <v/>
      </c>
      <c r="F370" s="100">
        <f>IF($A370="","",_xll.BDP($A370&amp;" Corp","MATURITY"))</f>
        <v/>
      </c>
      <c r="G370" s="75">
        <f>IF($A370="","",PROPER(_xll.BDP($A370&amp;" Corp","COUNTRY_FULL_NAME")))</f>
        <v/>
      </c>
      <c r="H370" s="75">
        <f>IF($A370="","",_xll.BDP($A370&amp;" Corp","INDUSTRY_SECTOR"))</f>
        <v/>
      </c>
      <c r="I370" s="101">
        <f>IF($A370="","",IFERROR(_xll.BDP($A370&amp;" Corp","MIN_PIECE")/1000,""))</f>
        <v/>
      </c>
      <c r="J370" s="31">
        <f>IF($A370="","",_xll.BDP($A370&amp;" Corp","PX_LAST"))</f>
        <v/>
      </c>
      <c r="K370" s="31">
        <f>IF($A370="","",_xll.BDP($A370&amp;" Corp","YAS_BOND_YLD","YAS_YLD_FLAG=15"))</f>
        <v/>
      </c>
      <c r="L370" s="31">
        <f>IF($A370="","",K370-_xll.BDP($A370&amp;" Corp","YAS_BOND_YLD","YAS_YLD_FLAG=15","SETTLE_DT",Company_desc!$A$1))</f>
        <v/>
      </c>
      <c r="M370" s="31">
        <f>IF($A370="","",K370-_xll.BDP($A370&amp;" Corp","YAS_BOND_YLD","YAS_YLD_FLAG=15","SETTLE_DT",Company_desc!$A$2))</f>
        <v/>
      </c>
      <c r="N370" s="79">
        <f>IF($A370="","",_xll.BDP($A370&amp;" Corp","YAS_OAS_SPRD"))</f>
        <v/>
      </c>
      <c r="O370" s="67">
        <f>IF($A370="","",_xll.BDP($A370&amp;" Corp","YAS_MOD_DUR"))</f>
        <v/>
      </c>
      <c r="P370" s="80">
        <f>IF($A370="","",IFERROR(INDEX(Sheet1!$P:$P,MATCH($A370,Sheet1!$A:$A,0)),""))</f>
        <v/>
      </c>
      <c r="Q370" s="75">
        <f>IF($A370="","",IFERROR(INDEX(Company_desc!$C:$C,MATCH($A370,Company_desc!$A:$A,0)),IFERROR(INDEX(Sheet1!$Q:$Q,MATCH($A370,Sheet1!$A:$A,0)),"")))</f>
        <v/>
      </c>
      <c r="R370" s="75">
        <f>IF($A370="","",_xll.BDP($A370&amp;" Corp","CRNCY"))</f>
        <v/>
      </c>
      <c r="S370" s="75">
        <f>IF($A370="","",IFERROR(INDEX(Sheet1!$S:$S,MATCH($A370,Sheet1!$A:$A,0)),""))</f>
        <v/>
      </c>
      <c r="T370" s="75">
        <f>IF($A370="","",IFERROR(INDEX(Sheet1!$T:$T,MATCH($A370,Sheet1!$A:$A,0)),_xll.BDP($A370&amp;" Corp","RTG_SP")))</f>
        <v/>
      </c>
      <c r="U370" s="75">
        <f>IF($A370="","",IFERROR(INDEX(Sheet1!$U:$U,MATCH($A370,Sheet1!$A:$A,0)),""))</f>
        <v/>
      </c>
      <c r="W370" s="81">
        <f>IF($A370="","",N370-_xll.BDP($A370&amp;" Corp","YAS_OAS_SPRD","SETTLE_DT",Company_desc!$A$1))</f>
        <v/>
      </c>
      <c r="X370" s="81">
        <f>IF($A370="","",N370-_xll.BDP($A370&amp;" Corp","YAS_OAS_SPRD","SETTLE_DT",Company_desc!$A$2))</f>
        <v/>
      </c>
      <c r="Y370" s="80">
        <f>IF($A370="","",N370-_xll.BDP($A370&amp;" Corp","YAS_OAS_SPRD","SETTLE_DT",Company_desc!$D$1))</f>
        <v/>
      </c>
      <c r="Z370" s="82">
        <f>IF($A370="","",K370-_xll.BDP($A370&amp;" Corp","YAS_BOND_YLD","YAS_YLD_FLAG=15","SETTLE_DT",Company_desc!$D$1))</f>
        <v/>
      </c>
      <c r="AA370" s="80">
        <f>IF($A370="","",_xll.BDP($A370&amp;" Corp","YAS_OAS_SPRD","SETTLE_DT",Company_desc!$D$1))</f>
        <v/>
      </c>
    </row>
    <row r="371">
      <c r="B371" s="75">
        <f>IF($A371="","",IFERROR(INDEX(Sheet1!$B:$B,MATCH($A371,Sheet1!$A:$A,0)),""))</f>
        <v/>
      </c>
      <c r="C371" s="75">
        <f>IF($A371="","",PROPER(_xll.BDP($A371&amp;" Corp","NAME")))</f>
        <v/>
      </c>
      <c r="D371" s="76">
        <f>IF($A371="","",_xll.BDP($A371&amp;" Corp","CPN"))</f>
        <v/>
      </c>
      <c r="E371" s="75">
        <f>IF($A371="","",_xll.BDP($A371&amp;" Corp","PAYMENT_RANK"))</f>
        <v/>
      </c>
      <c r="F371" s="100">
        <f>IF($A371="","",_xll.BDP($A371&amp;" Corp","MATURITY"))</f>
        <v/>
      </c>
      <c r="G371" s="75">
        <f>IF($A371="","",PROPER(_xll.BDP($A371&amp;" Corp","COUNTRY_FULL_NAME")))</f>
        <v/>
      </c>
      <c r="H371" s="75">
        <f>IF($A371="","",_xll.BDP($A371&amp;" Corp","INDUSTRY_SECTOR"))</f>
        <v/>
      </c>
      <c r="I371" s="101">
        <f>IF($A371="","",IFERROR(_xll.BDP($A371&amp;" Corp","MIN_PIECE")/1000,""))</f>
        <v/>
      </c>
      <c r="J371" s="31">
        <f>IF($A371="","",_xll.BDP($A371&amp;" Corp","PX_LAST"))</f>
        <v/>
      </c>
      <c r="K371" s="31">
        <f>IF($A371="","",_xll.BDP($A371&amp;" Corp","YAS_BOND_YLD","YAS_YLD_FLAG=15"))</f>
        <v/>
      </c>
      <c r="L371" s="31">
        <f>IF($A371="","",K371-_xll.BDP($A371&amp;" Corp","YAS_BOND_YLD","YAS_YLD_FLAG=15","SETTLE_DT",Company_desc!$A$1))</f>
        <v/>
      </c>
      <c r="M371" s="31">
        <f>IF($A371="","",K371-_xll.BDP($A371&amp;" Corp","YAS_BOND_YLD","YAS_YLD_FLAG=15","SETTLE_DT",Company_desc!$A$2))</f>
        <v/>
      </c>
      <c r="N371" s="79">
        <f>IF($A371="","",_xll.BDP($A371&amp;" Corp","YAS_OAS_SPRD"))</f>
        <v/>
      </c>
      <c r="O371" s="67">
        <f>IF($A371="","",_xll.BDP($A371&amp;" Corp","YAS_MOD_DUR"))</f>
        <v/>
      </c>
      <c r="P371" s="80">
        <f>IF($A371="","",IFERROR(INDEX(Sheet1!$P:$P,MATCH($A371,Sheet1!$A:$A,0)),""))</f>
        <v/>
      </c>
      <c r="Q371" s="75">
        <f>IF($A371="","",IFERROR(INDEX(Company_desc!$C:$C,MATCH($A371,Company_desc!$A:$A,0)),IFERROR(INDEX(Sheet1!$Q:$Q,MATCH($A371,Sheet1!$A:$A,0)),"")))</f>
        <v/>
      </c>
      <c r="R371" s="75">
        <f>IF($A371="","",_xll.BDP($A371&amp;" Corp","CRNCY"))</f>
        <v/>
      </c>
      <c r="S371" s="75">
        <f>IF($A371="","",IFERROR(INDEX(Sheet1!$S:$S,MATCH($A371,Sheet1!$A:$A,0)),""))</f>
        <v/>
      </c>
      <c r="T371" s="75">
        <f>IF($A371="","",IFERROR(INDEX(Sheet1!$T:$T,MATCH($A371,Sheet1!$A:$A,0)),_xll.BDP($A371&amp;" Corp","RTG_SP")))</f>
        <v/>
      </c>
      <c r="U371" s="75">
        <f>IF($A371="","",IFERROR(INDEX(Sheet1!$U:$U,MATCH($A371,Sheet1!$A:$A,0)),""))</f>
        <v/>
      </c>
      <c r="W371" s="81">
        <f>IF($A371="","",N371-_xll.BDP($A371&amp;" Corp","YAS_OAS_SPRD","SETTLE_DT",Company_desc!$A$1))</f>
        <v/>
      </c>
      <c r="X371" s="81">
        <f>IF($A371="","",N371-_xll.BDP($A371&amp;" Corp","YAS_OAS_SPRD","SETTLE_DT",Company_desc!$A$2))</f>
        <v/>
      </c>
      <c r="Y371" s="80">
        <f>IF($A371="","",N371-_xll.BDP($A371&amp;" Corp","YAS_OAS_SPRD","SETTLE_DT",Company_desc!$D$1))</f>
        <v/>
      </c>
      <c r="Z371" s="82">
        <f>IF($A371="","",K371-_xll.BDP($A371&amp;" Corp","YAS_BOND_YLD","YAS_YLD_FLAG=15","SETTLE_DT",Company_desc!$D$1))</f>
        <v/>
      </c>
      <c r="AA371" s="80">
        <f>IF($A371="","",_xll.BDP($A371&amp;" Corp","YAS_OAS_SPRD","SETTLE_DT",Company_desc!$D$1))</f>
        <v/>
      </c>
    </row>
    <row r="372">
      <c r="B372" s="75">
        <f>IF($A372="","",IFERROR(INDEX(Sheet1!$B:$B,MATCH($A372,Sheet1!$A:$A,0)),""))</f>
        <v/>
      </c>
      <c r="C372" s="75">
        <f>IF($A372="","",PROPER(_xll.BDP($A372&amp;" Corp","NAME")))</f>
        <v/>
      </c>
      <c r="D372" s="76">
        <f>IF($A372="","",_xll.BDP($A372&amp;" Corp","CPN"))</f>
        <v/>
      </c>
      <c r="E372" s="75">
        <f>IF($A372="","",_xll.BDP($A372&amp;" Corp","PAYMENT_RANK"))</f>
        <v/>
      </c>
      <c r="F372" s="100">
        <f>IF($A372="","",_xll.BDP($A372&amp;" Corp","MATURITY"))</f>
        <v/>
      </c>
      <c r="G372" s="75">
        <f>IF($A372="","",PROPER(_xll.BDP($A372&amp;" Corp","COUNTRY_FULL_NAME")))</f>
        <v/>
      </c>
      <c r="H372" s="75">
        <f>IF($A372="","",_xll.BDP($A372&amp;" Corp","INDUSTRY_SECTOR"))</f>
        <v/>
      </c>
      <c r="I372" s="101">
        <f>IF($A372="","",IFERROR(_xll.BDP($A372&amp;" Corp","MIN_PIECE")/1000,""))</f>
        <v/>
      </c>
      <c r="J372" s="31">
        <f>IF($A372="","",_xll.BDP($A372&amp;" Corp","PX_LAST"))</f>
        <v/>
      </c>
      <c r="K372" s="31">
        <f>IF($A372="","",_xll.BDP($A372&amp;" Corp","YAS_BOND_YLD","YAS_YLD_FLAG=15"))</f>
        <v/>
      </c>
      <c r="L372" s="31">
        <f>IF($A372="","",K372-_xll.BDP($A372&amp;" Corp","YAS_BOND_YLD","YAS_YLD_FLAG=15","SETTLE_DT",Company_desc!$A$1))</f>
        <v/>
      </c>
      <c r="M372" s="31">
        <f>IF($A372="","",K372-_xll.BDP($A372&amp;" Corp","YAS_BOND_YLD","YAS_YLD_FLAG=15","SETTLE_DT",Company_desc!$A$2))</f>
        <v/>
      </c>
      <c r="N372" s="79">
        <f>IF($A372="","",_xll.BDP($A372&amp;" Corp","YAS_OAS_SPRD"))</f>
        <v/>
      </c>
      <c r="O372" s="67">
        <f>IF($A372="","",_xll.BDP($A372&amp;" Corp","YAS_MOD_DUR"))</f>
        <v/>
      </c>
      <c r="P372" s="80">
        <f>IF($A372="","",IFERROR(INDEX(Sheet1!$P:$P,MATCH($A372,Sheet1!$A:$A,0)),""))</f>
        <v/>
      </c>
      <c r="Q372" s="75">
        <f>IF($A372="","",IFERROR(INDEX(Company_desc!$C:$C,MATCH($A372,Company_desc!$A:$A,0)),IFERROR(INDEX(Sheet1!$Q:$Q,MATCH($A372,Sheet1!$A:$A,0)),"")))</f>
        <v/>
      </c>
      <c r="R372" s="75">
        <f>IF($A372="","",_xll.BDP($A372&amp;" Corp","CRNCY"))</f>
        <v/>
      </c>
      <c r="S372" s="75">
        <f>IF($A372="","",IFERROR(INDEX(Sheet1!$S:$S,MATCH($A372,Sheet1!$A:$A,0)),""))</f>
        <v/>
      </c>
      <c r="T372" s="75">
        <f>IF($A372="","",IFERROR(INDEX(Sheet1!$T:$T,MATCH($A372,Sheet1!$A:$A,0)),_xll.BDP($A372&amp;" Corp","RTG_SP")))</f>
        <v/>
      </c>
      <c r="U372" s="75">
        <f>IF($A372="","",IFERROR(INDEX(Sheet1!$U:$U,MATCH($A372,Sheet1!$A:$A,0)),""))</f>
        <v/>
      </c>
      <c r="W372" s="81">
        <f>IF($A372="","",N372-_xll.BDP($A372&amp;" Corp","YAS_OAS_SPRD","SETTLE_DT",Company_desc!$A$1))</f>
        <v/>
      </c>
      <c r="X372" s="81">
        <f>IF($A372="","",N372-_xll.BDP($A372&amp;" Corp","YAS_OAS_SPRD","SETTLE_DT",Company_desc!$A$2))</f>
        <v/>
      </c>
      <c r="Y372" s="80">
        <f>IF($A372="","",N372-_xll.BDP($A372&amp;" Corp","YAS_OAS_SPRD","SETTLE_DT",Company_desc!$D$1))</f>
        <v/>
      </c>
      <c r="Z372" s="82">
        <f>IF($A372="","",K372-_xll.BDP($A372&amp;" Corp","YAS_BOND_YLD","YAS_YLD_FLAG=15","SETTLE_DT",Company_desc!$D$1))</f>
        <v/>
      </c>
      <c r="AA372" s="80">
        <f>IF($A372="","",_xll.BDP($A372&amp;" Corp","YAS_OAS_SPRD","SETTLE_DT",Company_desc!$D$1))</f>
        <v/>
      </c>
    </row>
    <row r="373">
      <c r="B373" s="75">
        <f>IF($A373="","",IFERROR(INDEX(Sheet1!$B:$B,MATCH($A373,Sheet1!$A:$A,0)),""))</f>
        <v/>
      </c>
      <c r="C373" s="75">
        <f>IF($A373="","",PROPER(_xll.BDP($A373&amp;" Corp","NAME")))</f>
        <v/>
      </c>
      <c r="D373" s="76">
        <f>IF($A373="","",_xll.BDP($A373&amp;" Corp","CPN"))</f>
        <v/>
      </c>
      <c r="E373" s="75">
        <f>IF($A373="","",_xll.BDP($A373&amp;" Corp","PAYMENT_RANK"))</f>
        <v/>
      </c>
      <c r="F373" s="100">
        <f>IF($A373="","",_xll.BDP($A373&amp;" Corp","MATURITY"))</f>
        <v/>
      </c>
      <c r="G373" s="75">
        <f>IF($A373="","",PROPER(_xll.BDP($A373&amp;" Corp","COUNTRY_FULL_NAME")))</f>
        <v/>
      </c>
      <c r="H373" s="75">
        <f>IF($A373="","",_xll.BDP($A373&amp;" Corp","INDUSTRY_SECTOR"))</f>
        <v/>
      </c>
      <c r="I373" s="101">
        <f>IF($A373="","",IFERROR(_xll.BDP($A373&amp;" Corp","MIN_PIECE")/1000,""))</f>
        <v/>
      </c>
      <c r="J373" s="31">
        <f>IF($A373="","",_xll.BDP($A373&amp;" Corp","PX_LAST"))</f>
        <v/>
      </c>
      <c r="K373" s="31">
        <f>IF($A373="","",_xll.BDP($A373&amp;" Corp","YAS_BOND_YLD","YAS_YLD_FLAG=15"))</f>
        <v/>
      </c>
      <c r="L373" s="31">
        <f>IF($A373="","",K373-_xll.BDP($A373&amp;" Corp","YAS_BOND_YLD","YAS_YLD_FLAG=15","SETTLE_DT",Company_desc!$A$1))</f>
        <v/>
      </c>
      <c r="M373" s="31">
        <f>IF($A373="","",K373-_xll.BDP($A373&amp;" Corp","YAS_BOND_YLD","YAS_YLD_FLAG=15","SETTLE_DT",Company_desc!$A$2))</f>
        <v/>
      </c>
      <c r="N373" s="79">
        <f>IF($A373="","",_xll.BDP($A373&amp;" Corp","YAS_OAS_SPRD"))</f>
        <v/>
      </c>
      <c r="O373" s="67">
        <f>IF($A373="","",_xll.BDP($A373&amp;" Corp","YAS_MOD_DUR"))</f>
        <v/>
      </c>
      <c r="P373" s="80">
        <f>IF($A373="","",IFERROR(INDEX(Sheet1!$P:$P,MATCH($A373,Sheet1!$A:$A,0)),""))</f>
        <v/>
      </c>
      <c r="Q373" s="75">
        <f>IF($A373="","",IFERROR(INDEX(Company_desc!$C:$C,MATCH($A373,Company_desc!$A:$A,0)),IFERROR(INDEX(Sheet1!$Q:$Q,MATCH($A373,Sheet1!$A:$A,0)),"")))</f>
        <v/>
      </c>
      <c r="R373" s="75">
        <f>IF($A373="","",_xll.BDP($A373&amp;" Corp","CRNCY"))</f>
        <v/>
      </c>
      <c r="S373" s="75">
        <f>IF($A373="","",IFERROR(INDEX(Sheet1!$S:$S,MATCH($A373,Sheet1!$A:$A,0)),""))</f>
        <v/>
      </c>
      <c r="T373" s="75">
        <f>IF($A373="","",IFERROR(INDEX(Sheet1!$T:$T,MATCH($A373,Sheet1!$A:$A,0)),_xll.BDP($A373&amp;" Corp","RTG_SP")))</f>
        <v/>
      </c>
      <c r="U373" s="75">
        <f>IF($A373="","",IFERROR(INDEX(Sheet1!$U:$U,MATCH($A373,Sheet1!$A:$A,0)),""))</f>
        <v/>
      </c>
      <c r="W373" s="81">
        <f>IF($A373="","",N373-_xll.BDP($A373&amp;" Corp","YAS_OAS_SPRD","SETTLE_DT",Company_desc!$A$1))</f>
        <v/>
      </c>
      <c r="X373" s="81">
        <f>IF($A373="","",N373-_xll.BDP($A373&amp;" Corp","YAS_OAS_SPRD","SETTLE_DT",Company_desc!$A$2))</f>
        <v/>
      </c>
      <c r="Y373" s="80">
        <f>IF($A373="","",N373-_xll.BDP($A373&amp;" Corp","YAS_OAS_SPRD","SETTLE_DT",Company_desc!$D$1))</f>
        <v/>
      </c>
      <c r="Z373" s="82">
        <f>IF($A373="","",K373-_xll.BDP($A373&amp;" Corp","YAS_BOND_YLD","YAS_YLD_FLAG=15","SETTLE_DT",Company_desc!$D$1))</f>
        <v/>
      </c>
      <c r="AA373" s="80">
        <f>IF($A373="","",_xll.BDP($A373&amp;" Corp","YAS_OAS_SPRD","SETTLE_DT",Company_desc!$D$1))</f>
        <v/>
      </c>
    </row>
    <row r="374">
      <c r="B374" s="75">
        <f>IF($A374="","",IFERROR(INDEX(Sheet1!$B:$B,MATCH($A374,Sheet1!$A:$A,0)),""))</f>
        <v/>
      </c>
      <c r="C374" s="75">
        <f>IF($A374="","",PROPER(_xll.BDP($A374&amp;" Corp","NAME")))</f>
        <v/>
      </c>
      <c r="D374" s="76">
        <f>IF($A374="","",_xll.BDP($A374&amp;" Corp","CPN"))</f>
        <v/>
      </c>
      <c r="E374" s="75">
        <f>IF($A374="","",_xll.BDP($A374&amp;" Corp","PAYMENT_RANK"))</f>
        <v/>
      </c>
      <c r="F374" s="100">
        <f>IF($A374="","",_xll.BDP($A374&amp;" Corp","MATURITY"))</f>
        <v/>
      </c>
      <c r="G374" s="75">
        <f>IF($A374="","",PROPER(_xll.BDP($A374&amp;" Corp","COUNTRY_FULL_NAME")))</f>
        <v/>
      </c>
      <c r="H374" s="75">
        <f>IF($A374="","",_xll.BDP($A374&amp;" Corp","INDUSTRY_SECTOR"))</f>
        <v/>
      </c>
      <c r="I374" s="101">
        <f>IF($A374="","",IFERROR(_xll.BDP($A374&amp;" Corp","MIN_PIECE")/1000,""))</f>
        <v/>
      </c>
      <c r="J374" s="31">
        <f>IF($A374="","",_xll.BDP($A374&amp;" Corp","PX_LAST"))</f>
        <v/>
      </c>
      <c r="K374" s="31">
        <f>IF($A374="","",_xll.BDP($A374&amp;" Corp","YAS_BOND_YLD","YAS_YLD_FLAG=15"))</f>
        <v/>
      </c>
      <c r="L374" s="31">
        <f>IF($A374="","",K374-_xll.BDP($A374&amp;" Corp","YAS_BOND_YLD","YAS_YLD_FLAG=15","SETTLE_DT",Company_desc!$A$1))</f>
        <v/>
      </c>
      <c r="M374" s="31">
        <f>IF($A374="","",K374-_xll.BDP($A374&amp;" Corp","YAS_BOND_YLD","YAS_YLD_FLAG=15","SETTLE_DT",Company_desc!$A$2))</f>
        <v/>
      </c>
      <c r="N374" s="79">
        <f>IF($A374="","",_xll.BDP($A374&amp;" Corp","YAS_OAS_SPRD"))</f>
        <v/>
      </c>
      <c r="O374" s="67">
        <f>IF($A374="","",_xll.BDP($A374&amp;" Corp","YAS_MOD_DUR"))</f>
        <v/>
      </c>
      <c r="P374" s="80">
        <f>IF($A374="","",IFERROR(INDEX(Sheet1!$P:$P,MATCH($A374,Sheet1!$A:$A,0)),""))</f>
        <v/>
      </c>
      <c r="Q374" s="75">
        <f>IF($A374="","",IFERROR(INDEX(Company_desc!$C:$C,MATCH($A374,Company_desc!$A:$A,0)),IFERROR(INDEX(Sheet1!$Q:$Q,MATCH($A374,Sheet1!$A:$A,0)),"")))</f>
        <v/>
      </c>
      <c r="R374" s="75">
        <f>IF($A374="","",_xll.BDP($A374&amp;" Corp","CRNCY"))</f>
        <v/>
      </c>
      <c r="S374" s="75">
        <f>IF($A374="","",IFERROR(INDEX(Sheet1!$S:$S,MATCH($A374,Sheet1!$A:$A,0)),""))</f>
        <v/>
      </c>
      <c r="T374" s="75">
        <f>IF($A374="","",IFERROR(INDEX(Sheet1!$T:$T,MATCH($A374,Sheet1!$A:$A,0)),_xll.BDP($A374&amp;" Corp","RTG_SP")))</f>
        <v/>
      </c>
      <c r="U374" s="75">
        <f>IF($A374="","",IFERROR(INDEX(Sheet1!$U:$U,MATCH($A374,Sheet1!$A:$A,0)),""))</f>
        <v/>
      </c>
      <c r="W374" s="81">
        <f>IF($A374="","",N374-_xll.BDP($A374&amp;" Corp","YAS_OAS_SPRD","SETTLE_DT",Company_desc!$A$1))</f>
        <v/>
      </c>
      <c r="X374" s="81">
        <f>IF($A374="","",N374-_xll.BDP($A374&amp;" Corp","YAS_OAS_SPRD","SETTLE_DT",Company_desc!$A$2))</f>
        <v/>
      </c>
      <c r="Y374" s="80">
        <f>IF($A374="","",N374-_xll.BDP($A374&amp;" Corp","YAS_OAS_SPRD","SETTLE_DT",Company_desc!$D$1))</f>
        <v/>
      </c>
      <c r="Z374" s="82">
        <f>IF($A374="","",K374-_xll.BDP($A374&amp;" Corp","YAS_BOND_YLD","YAS_YLD_FLAG=15","SETTLE_DT",Company_desc!$D$1))</f>
        <v/>
      </c>
      <c r="AA374" s="80">
        <f>IF($A374="","",_xll.BDP($A374&amp;" Corp","YAS_OAS_SPRD","SETTLE_DT",Company_desc!$D$1))</f>
        <v/>
      </c>
    </row>
    <row r="375">
      <c r="B375" s="75">
        <f>IF($A375="","",IFERROR(INDEX(Sheet1!$B:$B,MATCH($A375,Sheet1!$A:$A,0)),""))</f>
        <v/>
      </c>
      <c r="C375" s="75">
        <f>IF($A375="","",PROPER(_xll.BDP($A375&amp;" Corp","NAME")))</f>
        <v/>
      </c>
      <c r="D375" s="76">
        <f>IF($A375="","",_xll.BDP($A375&amp;" Corp","CPN"))</f>
        <v/>
      </c>
      <c r="E375" s="75">
        <f>IF($A375="","",_xll.BDP($A375&amp;" Corp","PAYMENT_RANK"))</f>
        <v/>
      </c>
      <c r="F375" s="100">
        <f>IF($A375="","",_xll.BDP($A375&amp;" Corp","MATURITY"))</f>
        <v/>
      </c>
      <c r="G375" s="75">
        <f>IF($A375="","",PROPER(_xll.BDP($A375&amp;" Corp","COUNTRY_FULL_NAME")))</f>
        <v/>
      </c>
      <c r="H375" s="75">
        <f>IF($A375="","",_xll.BDP($A375&amp;" Corp","INDUSTRY_SECTOR"))</f>
        <v/>
      </c>
      <c r="I375" s="101">
        <f>IF($A375="","",IFERROR(_xll.BDP($A375&amp;" Corp","MIN_PIECE")/1000,""))</f>
        <v/>
      </c>
      <c r="J375" s="31">
        <f>IF($A375="","",_xll.BDP($A375&amp;" Corp","PX_LAST"))</f>
        <v/>
      </c>
      <c r="K375" s="31">
        <f>IF($A375="","",_xll.BDP($A375&amp;" Corp","YAS_BOND_YLD","YAS_YLD_FLAG=15"))</f>
        <v/>
      </c>
      <c r="L375" s="31">
        <f>IF($A375="","",K375-_xll.BDP($A375&amp;" Corp","YAS_BOND_YLD","YAS_YLD_FLAG=15","SETTLE_DT",Company_desc!$A$1))</f>
        <v/>
      </c>
      <c r="M375" s="31">
        <f>IF($A375="","",K375-_xll.BDP($A375&amp;" Corp","YAS_BOND_YLD","YAS_YLD_FLAG=15","SETTLE_DT",Company_desc!$A$2))</f>
        <v/>
      </c>
      <c r="N375" s="79">
        <f>IF($A375="","",_xll.BDP($A375&amp;" Corp","YAS_OAS_SPRD"))</f>
        <v/>
      </c>
      <c r="O375" s="67">
        <f>IF($A375="","",_xll.BDP($A375&amp;" Corp","YAS_MOD_DUR"))</f>
        <v/>
      </c>
      <c r="P375" s="80">
        <f>IF($A375="","",IFERROR(INDEX(Sheet1!$P:$P,MATCH($A375,Sheet1!$A:$A,0)),""))</f>
        <v/>
      </c>
      <c r="Q375" s="75">
        <f>IF($A375="","",IFERROR(INDEX(Company_desc!$C:$C,MATCH($A375,Company_desc!$A:$A,0)),IFERROR(INDEX(Sheet1!$Q:$Q,MATCH($A375,Sheet1!$A:$A,0)),"")))</f>
        <v/>
      </c>
      <c r="R375" s="75">
        <f>IF($A375="","",_xll.BDP($A375&amp;" Corp","CRNCY"))</f>
        <v/>
      </c>
      <c r="S375" s="75">
        <f>IF($A375="","",IFERROR(INDEX(Sheet1!$S:$S,MATCH($A375,Sheet1!$A:$A,0)),""))</f>
        <v/>
      </c>
      <c r="T375" s="75">
        <f>IF($A375="","",IFERROR(INDEX(Sheet1!$T:$T,MATCH($A375,Sheet1!$A:$A,0)),_xll.BDP($A375&amp;" Corp","RTG_SP")))</f>
        <v/>
      </c>
      <c r="U375" s="75">
        <f>IF($A375="","",IFERROR(INDEX(Sheet1!$U:$U,MATCH($A375,Sheet1!$A:$A,0)),""))</f>
        <v/>
      </c>
      <c r="W375" s="81">
        <f>IF($A375="","",N375-_xll.BDP($A375&amp;" Corp","YAS_OAS_SPRD","SETTLE_DT",Company_desc!$A$1))</f>
        <v/>
      </c>
      <c r="X375" s="81">
        <f>IF($A375="","",N375-_xll.BDP($A375&amp;" Corp","YAS_OAS_SPRD","SETTLE_DT",Company_desc!$A$2))</f>
        <v/>
      </c>
      <c r="Y375" s="80">
        <f>IF($A375="","",N375-_xll.BDP($A375&amp;" Corp","YAS_OAS_SPRD","SETTLE_DT",Company_desc!$D$1))</f>
        <v/>
      </c>
      <c r="Z375" s="82">
        <f>IF($A375="","",K375-_xll.BDP($A375&amp;" Corp","YAS_BOND_YLD","YAS_YLD_FLAG=15","SETTLE_DT",Company_desc!$D$1))</f>
        <v/>
      </c>
      <c r="AA375" s="80">
        <f>IF($A375="","",_xll.BDP($A375&amp;" Corp","YAS_OAS_SPRD","SETTLE_DT",Company_desc!$D$1))</f>
        <v/>
      </c>
    </row>
    <row r="376">
      <c r="B376" s="75">
        <f>IF($A376="","",IFERROR(INDEX(Sheet1!$B:$B,MATCH($A376,Sheet1!$A:$A,0)),""))</f>
        <v/>
      </c>
      <c r="C376" s="75">
        <f>IF($A376="","",PROPER(_xll.BDP($A376&amp;" Corp","NAME")))</f>
        <v/>
      </c>
      <c r="D376" s="76">
        <f>IF($A376="","",_xll.BDP($A376&amp;" Corp","CPN"))</f>
        <v/>
      </c>
      <c r="E376" s="75">
        <f>IF($A376="","",_xll.BDP($A376&amp;" Corp","PAYMENT_RANK"))</f>
        <v/>
      </c>
      <c r="F376" s="100">
        <f>IF($A376="","",_xll.BDP($A376&amp;" Corp","MATURITY"))</f>
        <v/>
      </c>
      <c r="G376" s="75">
        <f>IF($A376="","",PROPER(_xll.BDP($A376&amp;" Corp","COUNTRY_FULL_NAME")))</f>
        <v/>
      </c>
      <c r="H376" s="75">
        <f>IF($A376="","",_xll.BDP($A376&amp;" Corp","INDUSTRY_SECTOR"))</f>
        <v/>
      </c>
      <c r="I376" s="101">
        <f>IF($A376="","",IFERROR(_xll.BDP($A376&amp;" Corp","MIN_PIECE")/1000,""))</f>
        <v/>
      </c>
      <c r="J376" s="31">
        <f>IF($A376="","",_xll.BDP($A376&amp;" Corp","PX_LAST"))</f>
        <v/>
      </c>
      <c r="K376" s="31">
        <f>IF($A376="","",_xll.BDP($A376&amp;" Corp","YAS_BOND_YLD","YAS_YLD_FLAG=15"))</f>
        <v/>
      </c>
      <c r="L376" s="31">
        <f>IF($A376="","",K376-_xll.BDP($A376&amp;" Corp","YAS_BOND_YLD","YAS_YLD_FLAG=15","SETTLE_DT",Company_desc!$A$1))</f>
        <v/>
      </c>
      <c r="M376" s="31">
        <f>IF($A376="","",K376-_xll.BDP($A376&amp;" Corp","YAS_BOND_YLD","YAS_YLD_FLAG=15","SETTLE_DT",Company_desc!$A$2))</f>
        <v/>
      </c>
      <c r="N376" s="79">
        <f>IF($A376="","",_xll.BDP($A376&amp;" Corp","YAS_OAS_SPRD"))</f>
        <v/>
      </c>
      <c r="O376" s="67">
        <f>IF($A376="","",_xll.BDP($A376&amp;" Corp","YAS_MOD_DUR"))</f>
        <v/>
      </c>
      <c r="P376" s="80">
        <f>IF($A376="","",IFERROR(INDEX(Sheet1!$P:$P,MATCH($A376,Sheet1!$A:$A,0)),""))</f>
        <v/>
      </c>
      <c r="Q376" s="75">
        <f>IF($A376="","",IFERROR(INDEX(Company_desc!$C:$C,MATCH($A376,Company_desc!$A:$A,0)),IFERROR(INDEX(Sheet1!$Q:$Q,MATCH($A376,Sheet1!$A:$A,0)),"")))</f>
        <v/>
      </c>
      <c r="R376" s="75">
        <f>IF($A376="","",_xll.BDP($A376&amp;" Corp","CRNCY"))</f>
        <v/>
      </c>
      <c r="S376" s="75">
        <f>IF($A376="","",IFERROR(INDEX(Sheet1!$S:$S,MATCH($A376,Sheet1!$A:$A,0)),""))</f>
        <v/>
      </c>
      <c r="T376" s="75">
        <f>IF($A376="","",IFERROR(INDEX(Sheet1!$T:$T,MATCH($A376,Sheet1!$A:$A,0)),_xll.BDP($A376&amp;" Corp","RTG_SP")))</f>
        <v/>
      </c>
      <c r="U376" s="75">
        <f>IF($A376="","",IFERROR(INDEX(Sheet1!$U:$U,MATCH($A376,Sheet1!$A:$A,0)),""))</f>
        <v/>
      </c>
      <c r="W376" s="81">
        <f>IF($A376="","",N376-_xll.BDP($A376&amp;" Corp","YAS_OAS_SPRD","SETTLE_DT",Company_desc!$A$1))</f>
        <v/>
      </c>
      <c r="X376" s="81">
        <f>IF($A376="","",N376-_xll.BDP($A376&amp;" Corp","YAS_OAS_SPRD","SETTLE_DT",Company_desc!$A$2))</f>
        <v/>
      </c>
      <c r="Y376" s="80">
        <f>IF($A376="","",N376-_xll.BDP($A376&amp;" Corp","YAS_OAS_SPRD","SETTLE_DT",Company_desc!$D$1))</f>
        <v/>
      </c>
      <c r="Z376" s="82">
        <f>IF($A376="","",K376-_xll.BDP($A376&amp;" Corp","YAS_BOND_YLD","YAS_YLD_FLAG=15","SETTLE_DT",Company_desc!$D$1))</f>
        <v/>
      </c>
      <c r="AA376" s="80">
        <f>IF($A376="","",_xll.BDP($A376&amp;" Corp","YAS_OAS_SPRD","SETTLE_DT",Company_desc!$D$1))</f>
        <v/>
      </c>
    </row>
    <row r="377">
      <c r="B377" s="75">
        <f>IF($A377="","",IFERROR(INDEX(Sheet1!$B:$B,MATCH($A377,Sheet1!$A:$A,0)),""))</f>
        <v/>
      </c>
      <c r="C377" s="75">
        <f>IF($A377="","",PROPER(_xll.BDP($A377&amp;" Corp","NAME")))</f>
        <v/>
      </c>
      <c r="D377" s="76">
        <f>IF($A377="","",_xll.BDP($A377&amp;" Corp","CPN"))</f>
        <v/>
      </c>
      <c r="E377" s="75">
        <f>IF($A377="","",_xll.BDP($A377&amp;" Corp","PAYMENT_RANK"))</f>
        <v/>
      </c>
      <c r="F377" s="100">
        <f>IF($A377="","",_xll.BDP($A377&amp;" Corp","MATURITY"))</f>
        <v/>
      </c>
      <c r="G377" s="75">
        <f>IF($A377="","",PROPER(_xll.BDP($A377&amp;" Corp","COUNTRY_FULL_NAME")))</f>
        <v/>
      </c>
      <c r="H377" s="75">
        <f>IF($A377="","",_xll.BDP($A377&amp;" Corp","INDUSTRY_SECTOR"))</f>
        <v/>
      </c>
      <c r="I377" s="101">
        <f>IF($A377="","",IFERROR(_xll.BDP($A377&amp;" Corp","MIN_PIECE")/1000,""))</f>
        <v/>
      </c>
      <c r="J377" s="31">
        <f>IF($A377="","",_xll.BDP($A377&amp;" Corp","PX_LAST"))</f>
        <v/>
      </c>
      <c r="K377" s="31">
        <f>IF($A377="","",_xll.BDP($A377&amp;" Corp","YAS_BOND_YLD","YAS_YLD_FLAG=15"))</f>
        <v/>
      </c>
      <c r="L377" s="31">
        <f>IF($A377="","",K377-_xll.BDP($A377&amp;" Corp","YAS_BOND_YLD","YAS_YLD_FLAG=15","SETTLE_DT",Company_desc!$A$1))</f>
        <v/>
      </c>
      <c r="M377" s="31">
        <f>IF($A377="","",K377-_xll.BDP($A377&amp;" Corp","YAS_BOND_YLD","YAS_YLD_FLAG=15","SETTLE_DT",Company_desc!$A$2))</f>
        <v/>
      </c>
      <c r="N377" s="79">
        <f>IF($A377="","",_xll.BDP($A377&amp;" Corp","YAS_OAS_SPRD"))</f>
        <v/>
      </c>
      <c r="O377" s="67">
        <f>IF($A377="","",_xll.BDP($A377&amp;" Corp","YAS_MOD_DUR"))</f>
        <v/>
      </c>
      <c r="P377" s="80">
        <f>IF($A377="","",IFERROR(INDEX(Sheet1!$P:$P,MATCH($A377,Sheet1!$A:$A,0)),""))</f>
        <v/>
      </c>
      <c r="Q377" s="75">
        <f>IF($A377="","",IFERROR(INDEX(Company_desc!$C:$C,MATCH($A377,Company_desc!$A:$A,0)),IFERROR(INDEX(Sheet1!$Q:$Q,MATCH($A377,Sheet1!$A:$A,0)),"")))</f>
        <v/>
      </c>
      <c r="R377" s="75">
        <f>IF($A377="","",_xll.BDP($A377&amp;" Corp","CRNCY"))</f>
        <v/>
      </c>
      <c r="S377" s="75">
        <f>IF($A377="","",IFERROR(INDEX(Sheet1!$S:$S,MATCH($A377,Sheet1!$A:$A,0)),""))</f>
        <v/>
      </c>
      <c r="T377" s="75">
        <f>IF($A377="","",IFERROR(INDEX(Sheet1!$T:$T,MATCH($A377,Sheet1!$A:$A,0)),_xll.BDP($A377&amp;" Corp","RTG_SP")))</f>
        <v/>
      </c>
      <c r="U377" s="75">
        <f>IF($A377="","",IFERROR(INDEX(Sheet1!$U:$U,MATCH($A377,Sheet1!$A:$A,0)),""))</f>
        <v/>
      </c>
      <c r="W377" s="81">
        <f>IF($A377="","",N377-_xll.BDP($A377&amp;" Corp","YAS_OAS_SPRD","SETTLE_DT",Company_desc!$A$1))</f>
        <v/>
      </c>
      <c r="X377" s="81">
        <f>IF($A377="","",N377-_xll.BDP($A377&amp;" Corp","YAS_OAS_SPRD","SETTLE_DT",Company_desc!$A$2))</f>
        <v/>
      </c>
      <c r="Y377" s="80">
        <f>IF($A377="","",N377-_xll.BDP($A377&amp;" Corp","YAS_OAS_SPRD","SETTLE_DT",Company_desc!$D$1))</f>
        <v/>
      </c>
      <c r="Z377" s="82">
        <f>IF($A377="","",K377-_xll.BDP($A377&amp;" Corp","YAS_BOND_YLD","YAS_YLD_FLAG=15","SETTLE_DT",Company_desc!$D$1))</f>
        <v/>
      </c>
      <c r="AA377" s="80">
        <f>IF($A377="","",_xll.BDP($A377&amp;" Corp","YAS_OAS_SPRD","SETTLE_DT",Company_desc!$D$1))</f>
        <v/>
      </c>
    </row>
    <row r="378">
      <c r="B378" s="75">
        <f>IF($A378="","",IFERROR(INDEX(Sheet1!$B:$B,MATCH($A378,Sheet1!$A:$A,0)),""))</f>
        <v/>
      </c>
      <c r="C378" s="75">
        <f>IF($A378="","",PROPER(_xll.BDP($A378&amp;" Corp","NAME")))</f>
        <v/>
      </c>
      <c r="D378" s="76">
        <f>IF($A378="","",_xll.BDP($A378&amp;" Corp","CPN"))</f>
        <v/>
      </c>
      <c r="E378" s="75">
        <f>IF($A378="","",_xll.BDP($A378&amp;" Corp","PAYMENT_RANK"))</f>
        <v/>
      </c>
      <c r="F378" s="100">
        <f>IF($A378="","",_xll.BDP($A378&amp;" Corp","MATURITY"))</f>
        <v/>
      </c>
      <c r="G378" s="75">
        <f>IF($A378="","",PROPER(_xll.BDP($A378&amp;" Corp","COUNTRY_FULL_NAME")))</f>
        <v/>
      </c>
      <c r="H378" s="75">
        <f>IF($A378="","",_xll.BDP($A378&amp;" Corp","INDUSTRY_SECTOR"))</f>
        <v/>
      </c>
      <c r="I378" s="101">
        <f>IF($A378="","",IFERROR(_xll.BDP($A378&amp;" Corp","MIN_PIECE")/1000,""))</f>
        <v/>
      </c>
      <c r="J378" s="31">
        <f>IF($A378="","",_xll.BDP($A378&amp;" Corp","PX_LAST"))</f>
        <v/>
      </c>
      <c r="K378" s="31">
        <f>IF($A378="","",_xll.BDP($A378&amp;" Corp","YAS_BOND_YLD","YAS_YLD_FLAG=15"))</f>
        <v/>
      </c>
      <c r="L378" s="31">
        <f>IF($A378="","",K378-_xll.BDP($A378&amp;" Corp","YAS_BOND_YLD","YAS_YLD_FLAG=15","SETTLE_DT",Company_desc!$A$1))</f>
        <v/>
      </c>
      <c r="M378" s="31">
        <f>IF($A378="","",K378-_xll.BDP($A378&amp;" Corp","YAS_BOND_YLD","YAS_YLD_FLAG=15","SETTLE_DT",Company_desc!$A$2))</f>
        <v/>
      </c>
      <c r="N378" s="79">
        <f>IF($A378="","",_xll.BDP($A378&amp;" Corp","YAS_OAS_SPRD"))</f>
        <v/>
      </c>
      <c r="O378" s="67">
        <f>IF($A378="","",_xll.BDP($A378&amp;" Corp","YAS_MOD_DUR"))</f>
        <v/>
      </c>
      <c r="P378" s="80">
        <f>IF($A378="","",IFERROR(INDEX(Sheet1!$P:$P,MATCH($A378,Sheet1!$A:$A,0)),""))</f>
        <v/>
      </c>
      <c r="Q378" s="75">
        <f>IF($A378="","",IFERROR(INDEX(Company_desc!$C:$C,MATCH($A378,Company_desc!$A:$A,0)),IFERROR(INDEX(Sheet1!$Q:$Q,MATCH($A378,Sheet1!$A:$A,0)),"")))</f>
        <v/>
      </c>
      <c r="R378" s="75">
        <f>IF($A378="","",_xll.BDP($A378&amp;" Corp","CRNCY"))</f>
        <v/>
      </c>
      <c r="S378" s="75">
        <f>IF($A378="","",IFERROR(INDEX(Sheet1!$S:$S,MATCH($A378,Sheet1!$A:$A,0)),""))</f>
        <v/>
      </c>
      <c r="T378" s="75">
        <f>IF($A378="","",IFERROR(INDEX(Sheet1!$T:$T,MATCH($A378,Sheet1!$A:$A,0)),_xll.BDP($A378&amp;" Corp","RTG_SP")))</f>
        <v/>
      </c>
      <c r="U378" s="75">
        <f>IF($A378="","",IFERROR(INDEX(Sheet1!$U:$U,MATCH($A378,Sheet1!$A:$A,0)),""))</f>
        <v/>
      </c>
      <c r="W378" s="81">
        <f>IF($A378="","",N378-_xll.BDP($A378&amp;" Corp","YAS_OAS_SPRD","SETTLE_DT",Company_desc!$A$1))</f>
        <v/>
      </c>
      <c r="X378" s="81">
        <f>IF($A378="","",N378-_xll.BDP($A378&amp;" Corp","YAS_OAS_SPRD","SETTLE_DT",Company_desc!$A$2))</f>
        <v/>
      </c>
      <c r="Y378" s="80">
        <f>IF($A378="","",N378-_xll.BDP($A378&amp;" Corp","YAS_OAS_SPRD","SETTLE_DT",Company_desc!$D$1))</f>
        <v/>
      </c>
      <c r="Z378" s="82">
        <f>IF($A378="","",K378-_xll.BDP($A378&amp;" Corp","YAS_BOND_YLD","YAS_YLD_FLAG=15","SETTLE_DT",Company_desc!$D$1))</f>
        <v/>
      </c>
      <c r="AA378" s="80">
        <f>IF($A378="","",_xll.BDP($A378&amp;" Corp","YAS_OAS_SPRD","SETTLE_DT",Company_desc!$D$1))</f>
        <v/>
      </c>
    </row>
    <row r="379">
      <c r="B379" s="75">
        <f>IF($A379="","",IFERROR(INDEX(Sheet1!$B:$B,MATCH($A379,Sheet1!$A:$A,0)),""))</f>
        <v/>
      </c>
      <c r="C379" s="75">
        <f>IF($A379="","",PROPER(_xll.BDP($A379&amp;" Corp","NAME")))</f>
        <v/>
      </c>
      <c r="D379" s="76">
        <f>IF($A379="","",_xll.BDP($A379&amp;" Corp","CPN"))</f>
        <v/>
      </c>
      <c r="E379" s="75">
        <f>IF($A379="","",_xll.BDP($A379&amp;" Corp","PAYMENT_RANK"))</f>
        <v/>
      </c>
      <c r="F379" s="100">
        <f>IF($A379="","",_xll.BDP($A379&amp;" Corp","MATURITY"))</f>
        <v/>
      </c>
      <c r="G379" s="75">
        <f>IF($A379="","",PROPER(_xll.BDP($A379&amp;" Corp","COUNTRY_FULL_NAME")))</f>
        <v/>
      </c>
      <c r="H379" s="75">
        <f>IF($A379="","",_xll.BDP($A379&amp;" Corp","INDUSTRY_SECTOR"))</f>
        <v/>
      </c>
      <c r="I379" s="101">
        <f>IF($A379="","",IFERROR(_xll.BDP($A379&amp;" Corp","MIN_PIECE")/1000,""))</f>
        <v/>
      </c>
      <c r="J379" s="31">
        <f>IF($A379="","",_xll.BDP($A379&amp;" Corp","PX_LAST"))</f>
        <v/>
      </c>
      <c r="K379" s="31">
        <f>IF($A379="","",_xll.BDP($A379&amp;" Corp","YAS_BOND_YLD","YAS_YLD_FLAG=15"))</f>
        <v/>
      </c>
      <c r="L379" s="31">
        <f>IF($A379="","",K379-_xll.BDP($A379&amp;" Corp","YAS_BOND_YLD","YAS_YLD_FLAG=15","SETTLE_DT",Company_desc!$A$1))</f>
        <v/>
      </c>
      <c r="M379" s="31">
        <f>IF($A379="","",K379-_xll.BDP($A379&amp;" Corp","YAS_BOND_YLD","YAS_YLD_FLAG=15","SETTLE_DT",Company_desc!$A$2))</f>
        <v/>
      </c>
      <c r="N379" s="79">
        <f>IF($A379="","",_xll.BDP($A379&amp;" Corp","YAS_OAS_SPRD"))</f>
        <v/>
      </c>
      <c r="O379" s="67">
        <f>IF($A379="","",_xll.BDP($A379&amp;" Corp","YAS_MOD_DUR"))</f>
        <v/>
      </c>
      <c r="P379" s="80">
        <f>IF($A379="","",IFERROR(INDEX(Sheet1!$P:$P,MATCH($A379,Sheet1!$A:$A,0)),""))</f>
        <v/>
      </c>
      <c r="Q379" s="75">
        <f>IF($A379="","",IFERROR(INDEX(Company_desc!$C:$C,MATCH($A379,Company_desc!$A:$A,0)),IFERROR(INDEX(Sheet1!$Q:$Q,MATCH($A379,Sheet1!$A:$A,0)),"")))</f>
        <v/>
      </c>
      <c r="R379" s="75">
        <f>IF($A379="","",_xll.BDP($A379&amp;" Corp","CRNCY"))</f>
        <v/>
      </c>
      <c r="S379" s="75">
        <f>IF($A379="","",IFERROR(INDEX(Sheet1!$S:$S,MATCH($A379,Sheet1!$A:$A,0)),""))</f>
        <v/>
      </c>
      <c r="T379" s="75">
        <f>IF($A379="","",IFERROR(INDEX(Sheet1!$T:$T,MATCH($A379,Sheet1!$A:$A,0)),_xll.BDP($A379&amp;" Corp","RTG_SP")))</f>
        <v/>
      </c>
      <c r="U379" s="75">
        <f>IF($A379="","",IFERROR(INDEX(Sheet1!$U:$U,MATCH($A379,Sheet1!$A:$A,0)),""))</f>
        <v/>
      </c>
      <c r="W379" s="81">
        <f>IF($A379="","",N379-_xll.BDP($A379&amp;" Corp","YAS_OAS_SPRD","SETTLE_DT",Company_desc!$A$1))</f>
        <v/>
      </c>
      <c r="X379" s="81">
        <f>IF($A379="","",N379-_xll.BDP($A379&amp;" Corp","YAS_OAS_SPRD","SETTLE_DT",Company_desc!$A$2))</f>
        <v/>
      </c>
      <c r="Y379" s="80">
        <f>IF($A379="","",N379-_xll.BDP($A379&amp;" Corp","YAS_OAS_SPRD","SETTLE_DT",Company_desc!$D$1))</f>
        <v/>
      </c>
      <c r="Z379" s="82">
        <f>IF($A379="","",K379-_xll.BDP($A379&amp;" Corp","YAS_BOND_YLD","YAS_YLD_FLAG=15","SETTLE_DT",Company_desc!$D$1))</f>
        <v/>
      </c>
      <c r="AA379" s="80">
        <f>IF($A379="","",_xll.BDP($A379&amp;" Corp","YAS_OAS_SPRD","SETTLE_DT",Company_desc!$D$1))</f>
        <v/>
      </c>
    </row>
    <row r="380">
      <c r="B380" s="75">
        <f>IF($A380="","",IFERROR(INDEX(Sheet1!$B:$B,MATCH($A380,Sheet1!$A:$A,0)),""))</f>
        <v/>
      </c>
      <c r="C380" s="75">
        <f>IF($A380="","",PROPER(_xll.BDP($A380&amp;" Corp","NAME")))</f>
        <v/>
      </c>
      <c r="D380" s="76">
        <f>IF($A380="","",_xll.BDP($A380&amp;" Corp","CPN"))</f>
        <v/>
      </c>
      <c r="E380" s="75">
        <f>IF($A380="","",_xll.BDP($A380&amp;" Corp","PAYMENT_RANK"))</f>
        <v/>
      </c>
      <c r="F380" s="100">
        <f>IF($A380="","",_xll.BDP($A380&amp;" Corp","MATURITY"))</f>
        <v/>
      </c>
      <c r="G380" s="75">
        <f>IF($A380="","",PROPER(_xll.BDP($A380&amp;" Corp","COUNTRY_FULL_NAME")))</f>
        <v/>
      </c>
      <c r="H380" s="75">
        <f>IF($A380="","",_xll.BDP($A380&amp;" Corp","INDUSTRY_SECTOR"))</f>
        <v/>
      </c>
      <c r="I380" s="101">
        <f>IF($A380="","",IFERROR(_xll.BDP($A380&amp;" Corp","MIN_PIECE")/1000,""))</f>
        <v/>
      </c>
      <c r="J380" s="31">
        <f>IF($A380="","",_xll.BDP($A380&amp;" Corp","PX_LAST"))</f>
        <v/>
      </c>
      <c r="K380" s="31">
        <f>IF($A380="","",_xll.BDP($A380&amp;" Corp","YAS_BOND_YLD","YAS_YLD_FLAG=15"))</f>
        <v/>
      </c>
      <c r="L380" s="31">
        <f>IF($A380="","",K380-_xll.BDP($A380&amp;" Corp","YAS_BOND_YLD","YAS_YLD_FLAG=15","SETTLE_DT",Company_desc!$A$1))</f>
        <v/>
      </c>
      <c r="M380" s="31">
        <f>IF($A380="","",K380-_xll.BDP($A380&amp;" Corp","YAS_BOND_YLD","YAS_YLD_FLAG=15","SETTLE_DT",Company_desc!$A$2))</f>
        <v/>
      </c>
      <c r="N380" s="79">
        <f>IF($A380="","",_xll.BDP($A380&amp;" Corp","YAS_OAS_SPRD"))</f>
        <v/>
      </c>
      <c r="O380" s="67">
        <f>IF($A380="","",_xll.BDP($A380&amp;" Corp","YAS_MOD_DUR"))</f>
        <v/>
      </c>
      <c r="P380" s="80">
        <f>IF($A380="","",IFERROR(INDEX(Sheet1!$P:$P,MATCH($A380,Sheet1!$A:$A,0)),""))</f>
        <v/>
      </c>
      <c r="Q380" s="75">
        <f>IF($A380="","",IFERROR(INDEX(Company_desc!$C:$C,MATCH($A380,Company_desc!$A:$A,0)),IFERROR(INDEX(Sheet1!$Q:$Q,MATCH($A380,Sheet1!$A:$A,0)),"")))</f>
        <v/>
      </c>
      <c r="R380" s="75">
        <f>IF($A380="","",_xll.BDP($A380&amp;" Corp","CRNCY"))</f>
        <v/>
      </c>
      <c r="S380" s="75">
        <f>IF($A380="","",IFERROR(INDEX(Sheet1!$S:$S,MATCH($A380,Sheet1!$A:$A,0)),""))</f>
        <v/>
      </c>
      <c r="T380" s="75">
        <f>IF($A380="","",IFERROR(INDEX(Sheet1!$T:$T,MATCH($A380,Sheet1!$A:$A,0)),_xll.BDP($A380&amp;" Corp","RTG_SP")))</f>
        <v/>
      </c>
      <c r="U380" s="75">
        <f>IF($A380="","",IFERROR(INDEX(Sheet1!$U:$U,MATCH($A380,Sheet1!$A:$A,0)),""))</f>
        <v/>
      </c>
      <c r="W380" s="81">
        <f>IF($A380="","",N380-_xll.BDP($A380&amp;" Corp","YAS_OAS_SPRD","SETTLE_DT",Company_desc!$A$1))</f>
        <v/>
      </c>
      <c r="X380" s="81">
        <f>IF($A380="","",N380-_xll.BDP($A380&amp;" Corp","YAS_OAS_SPRD","SETTLE_DT",Company_desc!$A$2))</f>
        <v/>
      </c>
      <c r="Y380" s="80">
        <f>IF($A380="","",N380-_xll.BDP($A380&amp;" Corp","YAS_OAS_SPRD","SETTLE_DT",Company_desc!$D$1))</f>
        <v/>
      </c>
      <c r="Z380" s="82">
        <f>IF($A380="","",K380-_xll.BDP($A380&amp;" Corp","YAS_BOND_YLD","YAS_YLD_FLAG=15","SETTLE_DT",Company_desc!$D$1))</f>
        <v/>
      </c>
      <c r="AA380" s="80">
        <f>IF($A380="","",_xll.BDP($A380&amp;" Corp","YAS_OAS_SPRD","SETTLE_DT",Company_desc!$D$1))</f>
        <v/>
      </c>
    </row>
    <row r="381">
      <c r="B381" s="75">
        <f>IF($A381="","",IFERROR(INDEX(Sheet1!$B:$B,MATCH($A381,Sheet1!$A:$A,0)),""))</f>
        <v/>
      </c>
      <c r="C381" s="75">
        <f>IF($A381="","",PROPER(_xll.BDP($A381&amp;" Corp","NAME")))</f>
        <v/>
      </c>
      <c r="D381" s="76">
        <f>IF($A381="","",_xll.BDP($A381&amp;" Corp","CPN"))</f>
        <v/>
      </c>
      <c r="E381" s="75">
        <f>IF($A381="","",_xll.BDP($A381&amp;" Corp","PAYMENT_RANK"))</f>
        <v/>
      </c>
      <c r="F381" s="100">
        <f>IF($A381="","",_xll.BDP($A381&amp;" Corp","MATURITY"))</f>
        <v/>
      </c>
      <c r="G381" s="75">
        <f>IF($A381="","",PROPER(_xll.BDP($A381&amp;" Corp","COUNTRY_FULL_NAME")))</f>
        <v/>
      </c>
      <c r="H381" s="75">
        <f>IF($A381="","",_xll.BDP($A381&amp;" Corp","INDUSTRY_SECTOR"))</f>
        <v/>
      </c>
      <c r="I381" s="101">
        <f>IF($A381="","",IFERROR(_xll.BDP($A381&amp;" Corp","MIN_PIECE")/1000,""))</f>
        <v/>
      </c>
      <c r="J381" s="31">
        <f>IF($A381="","",_xll.BDP($A381&amp;" Corp","PX_LAST"))</f>
        <v/>
      </c>
      <c r="K381" s="31">
        <f>IF($A381="","",_xll.BDP($A381&amp;" Corp","YAS_BOND_YLD","YAS_YLD_FLAG=15"))</f>
        <v/>
      </c>
      <c r="L381" s="31">
        <f>IF($A381="","",K381-_xll.BDP($A381&amp;" Corp","YAS_BOND_YLD","YAS_YLD_FLAG=15","SETTLE_DT",Company_desc!$A$1))</f>
        <v/>
      </c>
      <c r="M381" s="31">
        <f>IF($A381="","",K381-_xll.BDP($A381&amp;" Corp","YAS_BOND_YLD","YAS_YLD_FLAG=15","SETTLE_DT",Company_desc!$A$2))</f>
        <v/>
      </c>
      <c r="N381" s="79">
        <f>IF($A381="","",_xll.BDP($A381&amp;" Corp","YAS_OAS_SPRD"))</f>
        <v/>
      </c>
      <c r="O381" s="67">
        <f>IF($A381="","",_xll.BDP($A381&amp;" Corp","YAS_MOD_DUR"))</f>
        <v/>
      </c>
      <c r="P381" s="80">
        <f>IF($A381="","",IFERROR(INDEX(Sheet1!$P:$P,MATCH($A381,Sheet1!$A:$A,0)),""))</f>
        <v/>
      </c>
      <c r="Q381" s="75">
        <f>IF($A381="","",IFERROR(INDEX(Company_desc!$C:$C,MATCH($A381,Company_desc!$A:$A,0)),IFERROR(INDEX(Sheet1!$Q:$Q,MATCH($A381,Sheet1!$A:$A,0)),"")))</f>
        <v/>
      </c>
      <c r="R381" s="75">
        <f>IF($A381="","",_xll.BDP($A381&amp;" Corp","CRNCY"))</f>
        <v/>
      </c>
      <c r="S381" s="75">
        <f>IF($A381="","",IFERROR(INDEX(Sheet1!$S:$S,MATCH($A381,Sheet1!$A:$A,0)),""))</f>
        <v/>
      </c>
      <c r="T381" s="75">
        <f>IF($A381="","",IFERROR(INDEX(Sheet1!$T:$T,MATCH($A381,Sheet1!$A:$A,0)),_xll.BDP($A381&amp;" Corp","RTG_SP")))</f>
        <v/>
      </c>
      <c r="U381" s="75">
        <f>IF($A381="","",IFERROR(INDEX(Sheet1!$U:$U,MATCH($A381,Sheet1!$A:$A,0)),""))</f>
        <v/>
      </c>
      <c r="W381" s="81">
        <f>IF($A381="","",N381-_xll.BDP($A381&amp;" Corp","YAS_OAS_SPRD","SETTLE_DT",Company_desc!$A$1))</f>
        <v/>
      </c>
      <c r="X381" s="81">
        <f>IF($A381="","",N381-_xll.BDP($A381&amp;" Corp","YAS_OAS_SPRD","SETTLE_DT",Company_desc!$A$2))</f>
        <v/>
      </c>
      <c r="Y381" s="80">
        <f>IF($A381="","",N381-_xll.BDP($A381&amp;" Corp","YAS_OAS_SPRD","SETTLE_DT",Company_desc!$D$1))</f>
        <v/>
      </c>
      <c r="Z381" s="82">
        <f>IF($A381="","",K381-_xll.BDP($A381&amp;" Corp","YAS_BOND_YLD","YAS_YLD_FLAG=15","SETTLE_DT",Company_desc!$D$1))</f>
        <v/>
      </c>
      <c r="AA381" s="80">
        <f>IF($A381="","",_xll.BDP($A381&amp;" Corp","YAS_OAS_SPRD","SETTLE_DT",Company_desc!$D$1))</f>
        <v/>
      </c>
    </row>
    <row r="382">
      <c r="B382" s="75">
        <f>IF($A382="","",IFERROR(INDEX(Sheet1!$B:$B,MATCH($A382,Sheet1!$A:$A,0)),""))</f>
        <v/>
      </c>
      <c r="C382" s="75">
        <f>IF($A382="","",PROPER(_xll.BDP($A382&amp;" Corp","NAME")))</f>
        <v/>
      </c>
      <c r="D382" s="76">
        <f>IF($A382="","",_xll.BDP($A382&amp;" Corp","CPN"))</f>
        <v/>
      </c>
      <c r="E382" s="75">
        <f>IF($A382="","",_xll.BDP($A382&amp;" Corp","PAYMENT_RANK"))</f>
        <v/>
      </c>
      <c r="F382" s="100">
        <f>IF($A382="","",_xll.BDP($A382&amp;" Corp","MATURITY"))</f>
        <v/>
      </c>
      <c r="G382" s="75">
        <f>IF($A382="","",PROPER(_xll.BDP($A382&amp;" Corp","COUNTRY_FULL_NAME")))</f>
        <v/>
      </c>
      <c r="H382" s="75">
        <f>IF($A382="","",_xll.BDP($A382&amp;" Corp","INDUSTRY_SECTOR"))</f>
        <v/>
      </c>
      <c r="I382" s="101">
        <f>IF($A382="","",IFERROR(_xll.BDP($A382&amp;" Corp","MIN_PIECE")/1000,""))</f>
        <v/>
      </c>
      <c r="J382" s="31">
        <f>IF($A382="","",_xll.BDP($A382&amp;" Corp","PX_LAST"))</f>
        <v/>
      </c>
      <c r="K382" s="31">
        <f>IF($A382="","",_xll.BDP($A382&amp;" Corp","YAS_BOND_YLD","YAS_YLD_FLAG=15"))</f>
        <v/>
      </c>
      <c r="L382" s="31">
        <f>IF($A382="","",K382-_xll.BDP($A382&amp;" Corp","YAS_BOND_YLD","YAS_YLD_FLAG=15","SETTLE_DT",Company_desc!$A$1))</f>
        <v/>
      </c>
      <c r="M382" s="31">
        <f>IF($A382="","",K382-_xll.BDP($A382&amp;" Corp","YAS_BOND_YLD","YAS_YLD_FLAG=15","SETTLE_DT",Company_desc!$A$2))</f>
        <v/>
      </c>
      <c r="N382" s="79">
        <f>IF($A382="","",_xll.BDP($A382&amp;" Corp","YAS_OAS_SPRD"))</f>
        <v/>
      </c>
      <c r="O382" s="67">
        <f>IF($A382="","",_xll.BDP($A382&amp;" Corp","YAS_MOD_DUR"))</f>
        <v/>
      </c>
      <c r="P382" s="80">
        <f>IF($A382="","",IFERROR(INDEX(Sheet1!$P:$P,MATCH($A382,Sheet1!$A:$A,0)),""))</f>
        <v/>
      </c>
      <c r="Q382" s="75">
        <f>IF($A382="","",IFERROR(INDEX(Company_desc!$C:$C,MATCH($A382,Company_desc!$A:$A,0)),IFERROR(INDEX(Sheet1!$Q:$Q,MATCH($A382,Sheet1!$A:$A,0)),"")))</f>
        <v/>
      </c>
      <c r="R382" s="75">
        <f>IF($A382="","",_xll.BDP($A382&amp;" Corp","CRNCY"))</f>
        <v/>
      </c>
      <c r="S382" s="75">
        <f>IF($A382="","",IFERROR(INDEX(Sheet1!$S:$S,MATCH($A382,Sheet1!$A:$A,0)),""))</f>
        <v/>
      </c>
      <c r="T382" s="75">
        <f>IF($A382="","",IFERROR(INDEX(Sheet1!$T:$T,MATCH($A382,Sheet1!$A:$A,0)),_xll.BDP($A382&amp;" Corp","RTG_SP")))</f>
        <v/>
      </c>
      <c r="U382" s="75">
        <f>IF($A382="","",IFERROR(INDEX(Sheet1!$U:$U,MATCH($A382,Sheet1!$A:$A,0)),""))</f>
        <v/>
      </c>
      <c r="W382" s="81">
        <f>IF($A382="","",N382-_xll.BDP($A382&amp;" Corp","YAS_OAS_SPRD","SETTLE_DT",Company_desc!$A$1))</f>
        <v/>
      </c>
      <c r="X382" s="81">
        <f>IF($A382="","",N382-_xll.BDP($A382&amp;" Corp","YAS_OAS_SPRD","SETTLE_DT",Company_desc!$A$2))</f>
        <v/>
      </c>
      <c r="Y382" s="80">
        <f>IF($A382="","",N382-_xll.BDP($A382&amp;" Corp","YAS_OAS_SPRD","SETTLE_DT",Company_desc!$D$1))</f>
        <v/>
      </c>
      <c r="Z382" s="82">
        <f>IF($A382="","",K382-_xll.BDP($A382&amp;" Corp","YAS_BOND_YLD","YAS_YLD_FLAG=15","SETTLE_DT",Company_desc!$D$1))</f>
        <v/>
      </c>
      <c r="AA382" s="80">
        <f>IF($A382="","",_xll.BDP($A382&amp;" Corp","YAS_OAS_SPRD","SETTLE_DT",Company_desc!$D$1))</f>
        <v/>
      </c>
    </row>
    <row r="383">
      <c r="B383" s="75">
        <f>IF($A383="","",IFERROR(INDEX(Sheet1!$B:$B,MATCH($A383,Sheet1!$A:$A,0)),""))</f>
        <v/>
      </c>
      <c r="C383" s="75">
        <f>IF($A383="","",PROPER(_xll.BDP($A383&amp;" Corp","NAME")))</f>
        <v/>
      </c>
      <c r="D383" s="76">
        <f>IF($A383="","",_xll.BDP($A383&amp;" Corp","CPN"))</f>
        <v/>
      </c>
      <c r="E383" s="75">
        <f>IF($A383="","",_xll.BDP($A383&amp;" Corp","PAYMENT_RANK"))</f>
        <v/>
      </c>
      <c r="F383" s="100">
        <f>IF($A383="","",_xll.BDP($A383&amp;" Corp","MATURITY"))</f>
        <v/>
      </c>
      <c r="G383" s="75">
        <f>IF($A383="","",PROPER(_xll.BDP($A383&amp;" Corp","COUNTRY_FULL_NAME")))</f>
        <v/>
      </c>
      <c r="H383" s="75">
        <f>IF($A383="","",_xll.BDP($A383&amp;" Corp","INDUSTRY_SECTOR"))</f>
        <v/>
      </c>
      <c r="I383" s="101">
        <f>IF($A383="","",IFERROR(_xll.BDP($A383&amp;" Corp","MIN_PIECE")/1000,""))</f>
        <v/>
      </c>
      <c r="J383" s="31">
        <f>IF($A383="","",_xll.BDP($A383&amp;" Corp","PX_LAST"))</f>
        <v/>
      </c>
      <c r="K383" s="31">
        <f>IF($A383="","",_xll.BDP($A383&amp;" Corp","YAS_BOND_YLD","YAS_YLD_FLAG=15"))</f>
        <v/>
      </c>
      <c r="L383" s="31">
        <f>IF($A383="","",K383-_xll.BDP($A383&amp;" Corp","YAS_BOND_YLD","YAS_YLD_FLAG=15","SETTLE_DT",Company_desc!$A$1))</f>
        <v/>
      </c>
      <c r="M383" s="31">
        <f>IF($A383="","",K383-_xll.BDP($A383&amp;" Corp","YAS_BOND_YLD","YAS_YLD_FLAG=15","SETTLE_DT",Company_desc!$A$2))</f>
        <v/>
      </c>
      <c r="N383" s="79">
        <f>IF($A383="","",_xll.BDP($A383&amp;" Corp","YAS_OAS_SPRD"))</f>
        <v/>
      </c>
      <c r="O383" s="67">
        <f>IF($A383="","",_xll.BDP($A383&amp;" Corp","YAS_MOD_DUR"))</f>
        <v/>
      </c>
      <c r="P383" s="80">
        <f>IF($A383="","",IFERROR(INDEX(Sheet1!$P:$P,MATCH($A383,Sheet1!$A:$A,0)),""))</f>
        <v/>
      </c>
      <c r="Q383" s="75">
        <f>IF($A383="","",IFERROR(INDEX(Company_desc!$C:$C,MATCH($A383,Company_desc!$A:$A,0)),IFERROR(INDEX(Sheet1!$Q:$Q,MATCH($A383,Sheet1!$A:$A,0)),"")))</f>
        <v/>
      </c>
      <c r="R383" s="75">
        <f>IF($A383="","",_xll.BDP($A383&amp;" Corp","CRNCY"))</f>
        <v/>
      </c>
      <c r="S383" s="75">
        <f>IF($A383="","",IFERROR(INDEX(Sheet1!$S:$S,MATCH($A383,Sheet1!$A:$A,0)),""))</f>
        <v/>
      </c>
      <c r="T383" s="75">
        <f>IF($A383="","",IFERROR(INDEX(Sheet1!$T:$T,MATCH($A383,Sheet1!$A:$A,0)),_xll.BDP($A383&amp;" Corp","RTG_SP")))</f>
        <v/>
      </c>
      <c r="U383" s="75">
        <f>IF($A383="","",IFERROR(INDEX(Sheet1!$U:$U,MATCH($A383,Sheet1!$A:$A,0)),""))</f>
        <v/>
      </c>
      <c r="W383" s="81">
        <f>IF($A383="","",N383-_xll.BDP($A383&amp;" Corp","YAS_OAS_SPRD","SETTLE_DT",Company_desc!$A$1))</f>
        <v/>
      </c>
      <c r="X383" s="81">
        <f>IF($A383="","",N383-_xll.BDP($A383&amp;" Corp","YAS_OAS_SPRD","SETTLE_DT",Company_desc!$A$2))</f>
        <v/>
      </c>
      <c r="Y383" s="80">
        <f>IF($A383="","",N383-_xll.BDP($A383&amp;" Corp","YAS_OAS_SPRD","SETTLE_DT",Company_desc!$D$1))</f>
        <v/>
      </c>
      <c r="Z383" s="82">
        <f>IF($A383="","",K383-_xll.BDP($A383&amp;" Corp","YAS_BOND_YLD","YAS_YLD_FLAG=15","SETTLE_DT",Company_desc!$D$1))</f>
        <v/>
      </c>
      <c r="AA383" s="80">
        <f>IF($A383="","",_xll.BDP($A383&amp;" Corp","YAS_OAS_SPRD","SETTLE_DT",Company_desc!$D$1))</f>
        <v/>
      </c>
    </row>
    <row r="384">
      <c r="B384" s="75">
        <f>IF($A384="","",IFERROR(INDEX(Sheet1!$B:$B,MATCH($A384,Sheet1!$A:$A,0)),""))</f>
        <v/>
      </c>
      <c r="C384" s="75">
        <f>IF($A384="","",PROPER(_xll.BDP($A384&amp;" Corp","NAME")))</f>
        <v/>
      </c>
      <c r="D384" s="76">
        <f>IF($A384="","",_xll.BDP($A384&amp;" Corp","CPN"))</f>
        <v/>
      </c>
      <c r="E384" s="75">
        <f>IF($A384="","",_xll.BDP($A384&amp;" Corp","PAYMENT_RANK"))</f>
        <v/>
      </c>
      <c r="F384" s="100">
        <f>IF($A384="","",_xll.BDP($A384&amp;" Corp","MATURITY"))</f>
        <v/>
      </c>
      <c r="G384" s="75">
        <f>IF($A384="","",PROPER(_xll.BDP($A384&amp;" Corp","COUNTRY_FULL_NAME")))</f>
        <v/>
      </c>
      <c r="H384" s="75">
        <f>IF($A384="","",_xll.BDP($A384&amp;" Corp","INDUSTRY_SECTOR"))</f>
        <v/>
      </c>
      <c r="I384" s="101">
        <f>IF($A384="","",IFERROR(_xll.BDP($A384&amp;" Corp","MIN_PIECE")/1000,""))</f>
        <v/>
      </c>
      <c r="J384" s="31">
        <f>IF($A384="","",_xll.BDP($A384&amp;" Corp","PX_LAST"))</f>
        <v/>
      </c>
      <c r="K384" s="31">
        <f>IF($A384="","",_xll.BDP($A384&amp;" Corp","YAS_BOND_YLD","YAS_YLD_FLAG=15"))</f>
        <v/>
      </c>
      <c r="L384" s="31">
        <f>IF($A384="","",K384-_xll.BDP($A384&amp;" Corp","YAS_BOND_YLD","YAS_YLD_FLAG=15","SETTLE_DT",Company_desc!$A$1))</f>
        <v/>
      </c>
      <c r="M384" s="31">
        <f>IF($A384="","",K384-_xll.BDP($A384&amp;" Corp","YAS_BOND_YLD","YAS_YLD_FLAG=15","SETTLE_DT",Company_desc!$A$2))</f>
        <v/>
      </c>
      <c r="N384" s="79">
        <f>IF($A384="","",_xll.BDP($A384&amp;" Corp","YAS_OAS_SPRD"))</f>
        <v/>
      </c>
      <c r="O384" s="67">
        <f>IF($A384="","",_xll.BDP($A384&amp;" Corp","YAS_MOD_DUR"))</f>
        <v/>
      </c>
      <c r="P384" s="80">
        <f>IF($A384="","",IFERROR(INDEX(Sheet1!$P:$P,MATCH($A384,Sheet1!$A:$A,0)),""))</f>
        <v/>
      </c>
      <c r="Q384" s="75">
        <f>IF($A384="","",IFERROR(INDEX(Company_desc!$C:$C,MATCH($A384,Company_desc!$A:$A,0)),IFERROR(INDEX(Sheet1!$Q:$Q,MATCH($A384,Sheet1!$A:$A,0)),"")))</f>
        <v/>
      </c>
      <c r="R384" s="75">
        <f>IF($A384="","",_xll.BDP($A384&amp;" Corp","CRNCY"))</f>
        <v/>
      </c>
      <c r="S384" s="75">
        <f>IF($A384="","",IFERROR(INDEX(Sheet1!$S:$S,MATCH($A384,Sheet1!$A:$A,0)),""))</f>
        <v/>
      </c>
      <c r="T384" s="75">
        <f>IF($A384="","",IFERROR(INDEX(Sheet1!$T:$T,MATCH($A384,Sheet1!$A:$A,0)),_xll.BDP($A384&amp;" Corp","RTG_SP")))</f>
        <v/>
      </c>
      <c r="U384" s="75">
        <f>IF($A384="","",IFERROR(INDEX(Sheet1!$U:$U,MATCH($A384,Sheet1!$A:$A,0)),""))</f>
        <v/>
      </c>
      <c r="W384" s="81">
        <f>IF($A384="","",N384-_xll.BDP($A384&amp;" Corp","YAS_OAS_SPRD","SETTLE_DT",Company_desc!$A$1))</f>
        <v/>
      </c>
      <c r="X384" s="81">
        <f>IF($A384="","",N384-_xll.BDP($A384&amp;" Corp","YAS_OAS_SPRD","SETTLE_DT",Company_desc!$A$2))</f>
        <v/>
      </c>
      <c r="Y384" s="80">
        <f>IF($A384="","",N384-_xll.BDP($A384&amp;" Corp","YAS_OAS_SPRD","SETTLE_DT",Company_desc!$D$1))</f>
        <v/>
      </c>
      <c r="Z384" s="82">
        <f>IF($A384="","",K384-_xll.BDP($A384&amp;" Corp","YAS_BOND_YLD","YAS_YLD_FLAG=15","SETTLE_DT",Company_desc!$D$1))</f>
        <v/>
      </c>
      <c r="AA384" s="80">
        <f>IF($A384="","",_xll.BDP($A384&amp;" Corp","YAS_OAS_SPRD","SETTLE_DT",Company_desc!$D$1))</f>
        <v/>
      </c>
    </row>
    <row r="385">
      <c r="B385" s="75">
        <f>IF($A385="","",IFERROR(INDEX(Sheet1!$B:$B,MATCH($A385,Sheet1!$A:$A,0)),""))</f>
        <v/>
      </c>
      <c r="C385" s="75">
        <f>IF($A385="","",PROPER(_xll.BDP($A385&amp;" Corp","NAME")))</f>
        <v/>
      </c>
      <c r="D385" s="76">
        <f>IF($A385="","",_xll.BDP($A385&amp;" Corp","CPN"))</f>
        <v/>
      </c>
      <c r="E385" s="75">
        <f>IF($A385="","",_xll.BDP($A385&amp;" Corp","PAYMENT_RANK"))</f>
        <v/>
      </c>
      <c r="F385" s="100">
        <f>IF($A385="","",_xll.BDP($A385&amp;" Corp","MATURITY"))</f>
        <v/>
      </c>
      <c r="G385" s="75">
        <f>IF($A385="","",PROPER(_xll.BDP($A385&amp;" Corp","COUNTRY_FULL_NAME")))</f>
        <v/>
      </c>
      <c r="H385" s="75">
        <f>IF($A385="","",_xll.BDP($A385&amp;" Corp","INDUSTRY_SECTOR"))</f>
        <v/>
      </c>
      <c r="I385" s="101">
        <f>IF($A385="","",IFERROR(_xll.BDP($A385&amp;" Corp","MIN_PIECE")/1000,""))</f>
        <v/>
      </c>
      <c r="J385" s="31">
        <f>IF($A385="","",_xll.BDP($A385&amp;" Corp","PX_LAST"))</f>
        <v/>
      </c>
      <c r="K385" s="31">
        <f>IF($A385="","",_xll.BDP($A385&amp;" Corp","YAS_BOND_YLD","YAS_YLD_FLAG=15"))</f>
        <v/>
      </c>
      <c r="L385" s="31">
        <f>IF($A385="","",K385-_xll.BDP($A385&amp;" Corp","YAS_BOND_YLD","YAS_YLD_FLAG=15","SETTLE_DT",Company_desc!$A$1))</f>
        <v/>
      </c>
      <c r="M385" s="31">
        <f>IF($A385="","",K385-_xll.BDP($A385&amp;" Corp","YAS_BOND_YLD","YAS_YLD_FLAG=15","SETTLE_DT",Company_desc!$A$2))</f>
        <v/>
      </c>
      <c r="N385" s="79">
        <f>IF($A385="","",_xll.BDP($A385&amp;" Corp","YAS_OAS_SPRD"))</f>
        <v/>
      </c>
      <c r="O385" s="67">
        <f>IF($A385="","",_xll.BDP($A385&amp;" Corp","YAS_MOD_DUR"))</f>
        <v/>
      </c>
      <c r="P385" s="80">
        <f>IF($A385="","",IFERROR(INDEX(Sheet1!$P:$P,MATCH($A385,Sheet1!$A:$A,0)),""))</f>
        <v/>
      </c>
      <c r="Q385" s="75">
        <f>IF($A385="","",IFERROR(INDEX(Company_desc!$C:$C,MATCH($A385,Company_desc!$A:$A,0)),IFERROR(INDEX(Sheet1!$Q:$Q,MATCH($A385,Sheet1!$A:$A,0)),"")))</f>
        <v/>
      </c>
      <c r="R385" s="75">
        <f>IF($A385="","",_xll.BDP($A385&amp;" Corp","CRNCY"))</f>
        <v/>
      </c>
      <c r="S385" s="75">
        <f>IF($A385="","",IFERROR(INDEX(Sheet1!$S:$S,MATCH($A385,Sheet1!$A:$A,0)),""))</f>
        <v/>
      </c>
      <c r="T385" s="75">
        <f>IF($A385="","",IFERROR(INDEX(Sheet1!$T:$T,MATCH($A385,Sheet1!$A:$A,0)),_xll.BDP($A385&amp;" Corp","RTG_SP")))</f>
        <v/>
      </c>
      <c r="U385" s="75">
        <f>IF($A385="","",IFERROR(INDEX(Sheet1!$U:$U,MATCH($A385,Sheet1!$A:$A,0)),""))</f>
        <v/>
      </c>
      <c r="W385" s="81">
        <f>IF($A385="","",N385-_xll.BDP($A385&amp;" Corp","YAS_OAS_SPRD","SETTLE_DT",Company_desc!$A$1))</f>
        <v/>
      </c>
      <c r="X385" s="81">
        <f>IF($A385="","",N385-_xll.BDP($A385&amp;" Corp","YAS_OAS_SPRD","SETTLE_DT",Company_desc!$A$2))</f>
        <v/>
      </c>
      <c r="Y385" s="80">
        <f>IF($A385="","",N385-_xll.BDP($A385&amp;" Corp","YAS_OAS_SPRD","SETTLE_DT",Company_desc!$D$1))</f>
        <v/>
      </c>
      <c r="Z385" s="82">
        <f>IF($A385="","",K385-_xll.BDP($A385&amp;" Corp","YAS_BOND_YLD","YAS_YLD_FLAG=15","SETTLE_DT",Company_desc!$D$1))</f>
        <v/>
      </c>
      <c r="AA385" s="80">
        <f>IF($A385="","",_xll.BDP($A385&amp;" Corp","YAS_OAS_SPRD","SETTLE_DT",Company_desc!$D$1))</f>
        <v/>
      </c>
    </row>
    <row r="386">
      <c r="B386" s="75">
        <f>IF($A386="","",IFERROR(INDEX(Sheet1!$B:$B,MATCH($A386,Sheet1!$A:$A,0)),""))</f>
        <v/>
      </c>
      <c r="C386" s="75">
        <f>IF($A386="","",PROPER(_xll.BDP($A386&amp;" Corp","NAME")))</f>
        <v/>
      </c>
      <c r="D386" s="76">
        <f>IF($A386="","",_xll.BDP($A386&amp;" Corp","CPN"))</f>
        <v/>
      </c>
      <c r="E386" s="75">
        <f>IF($A386="","",_xll.BDP($A386&amp;" Corp","PAYMENT_RANK"))</f>
        <v/>
      </c>
      <c r="F386" s="100">
        <f>IF($A386="","",_xll.BDP($A386&amp;" Corp","MATURITY"))</f>
        <v/>
      </c>
      <c r="G386" s="75">
        <f>IF($A386="","",PROPER(_xll.BDP($A386&amp;" Corp","COUNTRY_FULL_NAME")))</f>
        <v/>
      </c>
      <c r="H386" s="75">
        <f>IF($A386="","",_xll.BDP($A386&amp;" Corp","INDUSTRY_SECTOR"))</f>
        <v/>
      </c>
      <c r="I386" s="101">
        <f>IF($A386="","",IFERROR(_xll.BDP($A386&amp;" Corp","MIN_PIECE")/1000,""))</f>
        <v/>
      </c>
      <c r="J386" s="31">
        <f>IF($A386="","",_xll.BDP($A386&amp;" Corp","PX_LAST"))</f>
        <v/>
      </c>
      <c r="K386" s="31">
        <f>IF($A386="","",_xll.BDP($A386&amp;" Corp","YAS_BOND_YLD","YAS_YLD_FLAG=15"))</f>
        <v/>
      </c>
      <c r="L386" s="31">
        <f>IF($A386="","",K386-_xll.BDP($A386&amp;" Corp","YAS_BOND_YLD","YAS_YLD_FLAG=15","SETTLE_DT",Company_desc!$A$1))</f>
        <v/>
      </c>
      <c r="M386" s="31">
        <f>IF($A386="","",K386-_xll.BDP($A386&amp;" Corp","YAS_BOND_YLD","YAS_YLD_FLAG=15","SETTLE_DT",Company_desc!$A$2))</f>
        <v/>
      </c>
      <c r="N386" s="79">
        <f>IF($A386="","",_xll.BDP($A386&amp;" Corp","YAS_OAS_SPRD"))</f>
        <v/>
      </c>
      <c r="O386" s="67">
        <f>IF($A386="","",_xll.BDP($A386&amp;" Corp","YAS_MOD_DUR"))</f>
        <v/>
      </c>
      <c r="P386" s="80">
        <f>IF($A386="","",IFERROR(INDEX(Sheet1!$P:$P,MATCH($A386,Sheet1!$A:$A,0)),""))</f>
        <v/>
      </c>
      <c r="Q386" s="75">
        <f>IF($A386="","",IFERROR(INDEX(Company_desc!$C:$C,MATCH($A386,Company_desc!$A:$A,0)),IFERROR(INDEX(Sheet1!$Q:$Q,MATCH($A386,Sheet1!$A:$A,0)),"")))</f>
        <v/>
      </c>
      <c r="R386" s="75">
        <f>IF($A386="","",_xll.BDP($A386&amp;" Corp","CRNCY"))</f>
        <v/>
      </c>
      <c r="S386" s="75">
        <f>IF($A386="","",IFERROR(INDEX(Sheet1!$S:$S,MATCH($A386,Sheet1!$A:$A,0)),""))</f>
        <v/>
      </c>
      <c r="T386" s="75">
        <f>IF($A386="","",IFERROR(INDEX(Sheet1!$T:$T,MATCH($A386,Sheet1!$A:$A,0)),_xll.BDP($A386&amp;" Corp","RTG_SP")))</f>
        <v/>
      </c>
      <c r="U386" s="75">
        <f>IF($A386="","",IFERROR(INDEX(Sheet1!$U:$U,MATCH($A386,Sheet1!$A:$A,0)),""))</f>
        <v/>
      </c>
      <c r="W386" s="81">
        <f>IF($A386="","",N386-_xll.BDP($A386&amp;" Corp","YAS_OAS_SPRD","SETTLE_DT",Company_desc!$A$1))</f>
        <v/>
      </c>
      <c r="X386" s="81">
        <f>IF($A386="","",N386-_xll.BDP($A386&amp;" Corp","YAS_OAS_SPRD","SETTLE_DT",Company_desc!$A$2))</f>
        <v/>
      </c>
      <c r="Y386" s="80">
        <f>IF($A386="","",N386-_xll.BDP($A386&amp;" Corp","YAS_OAS_SPRD","SETTLE_DT",Company_desc!$D$1))</f>
        <v/>
      </c>
      <c r="Z386" s="82">
        <f>IF($A386="","",K386-_xll.BDP($A386&amp;" Corp","YAS_BOND_YLD","YAS_YLD_FLAG=15","SETTLE_DT",Company_desc!$D$1))</f>
        <v/>
      </c>
      <c r="AA386" s="80">
        <f>IF($A386="","",_xll.BDP($A386&amp;" Corp","YAS_OAS_SPRD","SETTLE_DT",Company_desc!$D$1))</f>
        <v/>
      </c>
    </row>
    <row r="387">
      <c r="B387" s="75">
        <f>IF($A387="","",IFERROR(INDEX(Sheet1!$B:$B,MATCH($A387,Sheet1!$A:$A,0)),""))</f>
        <v/>
      </c>
      <c r="C387" s="75">
        <f>IF($A387="","",PROPER(_xll.BDP($A387&amp;" Corp","NAME")))</f>
        <v/>
      </c>
      <c r="D387" s="76">
        <f>IF($A387="","",_xll.BDP($A387&amp;" Corp","CPN"))</f>
        <v/>
      </c>
      <c r="E387" s="75">
        <f>IF($A387="","",_xll.BDP($A387&amp;" Corp","PAYMENT_RANK"))</f>
        <v/>
      </c>
      <c r="F387" s="100">
        <f>IF($A387="","",_xll.BDP($A387&amp;" Corp","MATURITY"))</f>
        <v/>
      </c>
      <c r="G387" s="75">
        <f>IF($A387="","",PROPER(_xll.BDP($A387&amp;" Corp","COUNTRY_FULL_NAME")))</f>
        <v/>
      </c>
      <c r="H387" s="75">
        <f>IF($A387="","",_xll.BDP($A387&amp;" Corp","INDUSTRY_SECTOR"))</f>
        <v/>
      </c>
      <c r="I387" s="101">
        <f>IF($A387="","",IFERROR(_xll.BDP($A387&amp;" Corp","MIN_PIECE")/1000,""))</f>
        <v/>
      </c>
      <c r="J387" s="31">
        <f>IF($A387="","",_xll.BDP($A387&amp;" Corp","PX_LAST"))</f>
        <v/>
      </c>
      <c r="K387" s="31">
        <f>IF($A387="","",_xll.BDP($A387&amp;" Corp","YAS_BOND_YLD","YAS_YLD_FLAG=15"))</f>
        <v/>
      </c>
      <c r="L387" s="31">
        <f>IF($A387="","",K387-_xll.BDP($A387&amp;" Corp","YAS_BOND_YLD","YAS_YLD_FLAG=15","SETTLE_DT",Company_desc!$A$1))</f>
        <v/>
      </c>
      <c r="M387" s="31">
        <f>IF($A387="","",K387-_xll.BDP($A387&amp;" Corp","YAS_BOND_YLD","YAS_YLD_FLAG=15","SETTLE_DT",Company_desc!$A$2))</f>
        <v/>
      </c>
      <c r="N387" s="79">
        <f>IF($A387="","",_xll.BDP($A387&amp;" Corp","YAS_OAS_SPRD"))</f>
        <v/>
      </c>
      <c r="O387" s="67">
        <f>IF($A387="","",_xll.BDP($A387&amp;" Corp","YAS_MOD_DUR"))</f>
        <v/>
      </c>
      <c r="P387" s="80">
        <f>IF($A387="","",IFERROR(INDEX(Sheet1!$P:$P,MATCH($A387,Sheet1!$A:$A,0)),""))</f>
        <v/>
      </c>
      <c r="Q387" s="75">
        <f>IF($A387="","",IFERROR(INDEX(Company_desc!$C:$C,MATCH($A387,Company_desc!$A:$A,0)),IFERROR(INDEX(Sheet1!$Q:$Q,MATCH($A387,Sheet1!$A:$A,0)),"")))</f>
        <v/>
      </c>
      <c r="R387" s="75">
        <f>IF($A387="","",_xll.BDP($A387&amp;" Corp","CRNCY"))</f>
        <v/>
      </c>
      <c r="S387" s="75">
        <f>IF($A387="","",IFERROR(INDEX(Sheet1!$S:$S,MATCH($A387,Sheet1!$A:$A,0)),""))</f>
        <v/>
      </c>
      <c r="T387" s="75">
        <f>IF($A387="","",IFERROR(INDEX(Sheet1!$T:$T,MATCH($A387,Sheet1!$A:$A,0)),_xll.BDP($A387&amp;" Corp","RTG_SP")))</f>
        <v/>
      </c>
      <c r="U387" s="75">
        <f>IF($A387="","",IFERROR(INDEX(Sheet1!$U:$U,MATCH($A387,Sheet1!$A:$A,0)),""))</f>
        <v/>
      </c>
      <c r="W387" s="81">
        <f>IF($A387="","",N387-_xll.BDP($A387&amp;" Corp","YAS_OAS_SPRD","SETTLE_DT",Company_desc!$A$1))</f>
        <v/>
      </c>
      <c r="X387" s="81">
        <f>IF($A387="","",N387-_xll.BDP($A387&amp;" Corp","YAS_OAS_SPRD","SETTLE_DT",Company_desc!$A$2))</f>
        <v/>
      </c>
      <c r="Y387" s="80">
        <f>IF($A387="","",N387-_xll.BDP($A387&amp;" Corp","YAS_OAS_SPRD","SETTLE_DT",Company_desc!$D$1))</f>
        <v/>
      </c>
      <c r="Z387" s="82">
        <f>IF($A387="","",K387-_xll.BDP($A387&amp;" Corp","YAS_BOND_YLD","YAS_YLD_FLAG=15","SETTLE_DT",Company_desc!$D$1))</f>
        <v/>
      </c>
      <c r="AA387" s="80">
        <f>IF($A387="","",_xll.BDP($A387&amp;" Corp","YAS_OAS_SPRD","SETTLE_DT",Company_desc!$D$1))</f>
        <v/>
      </c>
    </row>
    <row r="388">
      <c r="B388" s="75">
        <f>IF($A388="","",IFERROR(INDEX(Sheet1!$B:$B,MATCH($A388,Sheet1!$A:$A,0)),""))</f>
        <v/>
      </c>
      <c r="C388" s="75">
        <f>IF($A388="","",PROPER(_xll.BDP($A388&amp;" Corp","NAME")))</f>
        <v/>
      </c>
      <c r="D388" s="76">
        <f>IF($A388="","",_xll.BDP($A388&amp;" Corp","CPN"))</f>
        <v/>
      </c>
      <c r="E388" s="75">
        <f>IF($A388="","",_xll.BDP($A388&amp;" Corp","PAYMENT_RANK"))</f>
        <v/>
      </c>
      <c r="F388" s="100">
        <f>IF($A388="","",_xll.BDP($A388&amp;" Corp","MATURITY"))</f>
        <v/>
      </c>
      <c r="G388" s="75">
        <f>IF($A388="","",PROPER(_xll.BDP($A388&amp;" Corp","COUNTRY_FULL_NAME")))</f>
        <v/>
      </c>
      <c r="H388" s="75">
        <f>IF($A388="","",_xll.BDP($A388&amp;" Corp","INDUSTRY_SECTOR"))</f>
        <v/>
      </c>
      <c r="I388" s="101">
        <f>IF($A388="","",IFERROR(_xll.BDP($A388&amp;" Corp","MIN_PIECE")/1000,""))</f>
        <v/>
      </c>
      <c r="J388" s="31">
        <f>IF($A388="","",_xll.BDP($A388&amp;" Corp","PX_LAST"))</f>
        <v/>
      </c>
      <c r="K388" s="31">
        <f>IF($A388="","",_xll.BDP($A388&amp;" Corp","YAS_BOND_YLD","YAS_YLD_FLAG=15"))</f>
        <v/>
      </c>
      <c r="L388" s="31">
        <f>IF($A388="","",K388-_xll.BDP($A388&amp;" Corp","YAS_BOND_YLD","YAS_YLD_FLAG=15","SETTLE_DT",Company_desc!$A$1))</f>
        <v/>
      </c>
      <c r="M388" s="31">
        <f>IF($A388="","",K388-_xll.BDP($A388&amp;" Corp","YAS_BOND_YLD","YAS_YLD_FLAG=15","SETTLE_DT",Company_desc!$A$2))</f>
        <v/>
      </c>
      <c r="N388" s="79">
        <f>IF($A388="","",_xll.BDP($A388&amp;" Corp","YAS_OAS_SPRD"))</f>
        <v/>
      </c>
      <c r="O388" s="67">
        <f>IF($A388="","",_xll.BDP($A388&amp;" Corp","YAS_MOD_DUR"))</f>
        <v/>
      </c>
      <c r="P388" s="80">
        <f>IF($A388="","",IFERROR(INDEX(Sheet1!$P:$P,MATCH($A388,Sheet1!$A:$A,0)),""))</f>
        <v/>
      </c>
      <c r="Q388" s="75">
        <f>IF($A388="","",IFERROR(INDEX(Company_desc!$C:$C,MATCH($A388,Company_desc!$A:$A,0)),IFERROR(INDEX(Sheet1!$Q:$Q,MATCH($A388,Sheet1!$A:$A,0)),"")))</f>
        <v/>
      </c>
      <c r="R388" s="75">
        <f>IF($A388="","",_xll.BDP($A388&amp;" Corp","CRNCY"))</f>
        <v/>
      </c>
      <c r="S388" s="75">
        <f>IF($A388="","",IFERROR(INDEX(Sheet1!$S:$S,MATCH($A388,Sheet1!$A:$A,0)),""))</f>
        <v/>
      </c>
      <c r="T388" s="75">
        <f>IF($A388="","",IFERROR(INDEX(Sheet1!$T:$T,MATCH($A388,Sheet1!$A:$A,0)),_xll.BDP($A388&amp;" Corp","RTG_SP")))</f>
        <v/>
      </c>
      <c r="U388" s="75">
        <f>IF($A388="","",IFERROR(INDEX(Sheet1!$U:$U,MATCH($A388,Sheet1!$A:$A,0)),""))</f>
        <v/>
      </c>
      <c r="W388" s="81">
        <f>IF($A388="","",N388-_xll.BDP($A388&amp;" Corp","YAS_OAS_SPRD","SETTLE_DT",Company_desc!$A$1))</f>
        <v/>
      </c>
      <c r="X388" s="81">
        <f>IF($A388="","",N388-_xll.BDP($A388&amp;" Corp","YAS_OAS_SPRD","SETTLE_DT",Company_desc!$A$2))</f>
        <v/>
      </c>
      <c r="Y388" s="80">
        <f>IF($A388="","",N388-_xll.BDP($A388&amp;" Corp","YAS_OAS_SPRD","SETTLE_DT",Company_desc!$D$1))</f>
        <v/>
      </c>
      <c r="Z388" s="82">
        <f>IF($A388="","",K388-_xll.BDP($A388&amp;" Corp","YAS_BOND_YLD","YAS_YLD_FLAG=15","SETTLE_DT",Company_desc!$D$1))</f>
        <v/>
      </c>
      <c r="AA388" s="80">
        <f>IF($A388="","",_xll.BDP($A388&amp;" Corp","YAS_OAS_SPRD","SETTLE_DT",Company_desc!$D$1))</f>
        <v/>
      </c>
    </row>
    <row r="389">
      <c r="B389" s="75">
        <f>IF($A389="","",IFERROR(INDEX(Sheet1!$B:$B,MATCH($A389,Sheet1!$A:$A,0)),""))</f>
        <v/>
      </c>
      <c r="C389" s="75">
        <f>IF($A389="","",PROPER(_xll.BDP($A389&amp;" Corp","NAME")))</f>
        <v/>
      </c>
      <c r="D389" s="76">
        <f>IF($A389="","",_xll.BDP($A389&amp;" Corp","CPN"))</f>
        <v/>
      </c>
      <c r="E389" s="75">
        <f>IF($A389="","",_xll.BDP($A389&amp;" Corp","PAYMENT_RANK"))</f>
        <v/>
      </c>
      <c r="F389" s="100">
        <f>IF($A389="","",_xll.BDP($A389&amp;" Corp","MATURITY"))</f>
        <v/>
      </c>
      <c r="G389" s="75">
        <f>IF($A389="","",PROPER(_xll.BDP($A389&amp;" Corp","COUNTRY_FULL_NAME")))</f>
        <v/>
      </c>
      <c r="H389" s="75">
        <f>IF($A389="","",_xll.BDP($A389&amp;" Corp","INDUSTRY_SECTOR"))</f>
        <v/>
      </c>
      <c r="I389" s="101">
        <f>IF($A389="","",IFERROR(_xll.BDP($A389&amp;" Corp","MIN_PIECE")/1000,""))</f>
        <v/>
      </c>
      <c r="J389" s="31">
        <f>IF($A389="","",_xll.BDP($A389&amp;" Corp","PX_LAST"))</f>
        <v/>
      </c>
      <c r="K389" s="31">
        <f>IF($A389="","",_xll.BDP($A389&amp;" Corp","YAS_BOND_YLD","YAS_YLD_FLAG=15"))</f>
        <v/>
      </c>
      <c r="L389" s="31">
        <f>IF($A389="","",K389-_xll.BDP($A389&amp;" Corp","YAS_BOND_YLD","YAS_YLD_FLAG=15","SETTLE_DT",Company_desc!$A$1))</f>
        <v/>
      </c>
      <c r="M389" s="31">
        <f>IF($A389="","",K389-_xll.BDP($A389&amp;" Corp","YAS_BOND_YLD","YAS_YLD_FLAG=15","SETTLE_DT",Company_desc!$A$2))</f>
        <v/>
      </c>
      <c r="N389" s="79">
        <f>IF($A389="","",_xll.BDP($A389&amp;" Corp","YAS_OAS_SPRD"))</f>
        <v/>
      </c>
      <c r="O389" s="67">
        <f>IF($A389="","",_xll.BDP($A389&amp;" Corp","YAS_MOD_DUR"))</f>
        <v/>
      </c>
      <c r="P389" s="80">
        <f>IF($A389="","",IFERROR(INDEX(Sheet1!$P:$P,MATCH($A389,Sheet1!$A:$A,0)),""))</f>
        <v/>
      </c>
      <c r="Q389" s="75">
        <f>IF($A389="","",IFERROR(INDEX(Company_desc!$C:$C,MATCH($A389,Company_desc!$A:$A,0)),IFERROR(INDEX(Sheet1!$Q:$Q,MATCH($A389,Sheet1!$A:$A,0)),"")))</f>
        <v/>
      </c>
      <c r="R389" s="75">
        <f>IF($A389="","",_xll.BDP($A389&amp;" Corp","CRNCY"))</f>
        <v/>
      </c>
      <c r="S389" s="75">
        <f>IF($A389="","",IFERROR(INDEX(Sheet1!$S:$S,MATCH($A389,Sheet1!$A:$A,0)),""))</f>
        <v/>
      </c>
      <c r="T389" s="75">
        <f>IF($A389="","",IFERROR(INDEX(Sheet1!$T:$T,MATCH($A389,Sheet1!$A:$A,0)),_xll.BDP($A389&amp;" Corp","RTG_SP")))</f>
        <v/>
      </c>
      <c r="U389" s="75">
        <f>IF($A389="","",IFERROR(INDEX(Sheet1!$U:$U,MATCH($A389,Sheet1!$A:$A,0)),""))</f>
        <v/>
      </c>
      <c r="W389" s="81">
        <f>IF($A389="","",N389-_xll.BDP($A389&amp;" Corp","YAS_OAS_SPRD","SETTLE_DT",Company_desc!$A$1))</f>
        <v/>
      </c>
      <c r="X389" s="81">
        <f>IF($A389="","",N389-_xll.BDP($A389&amp;" Corp","YAS_OAS_SPRD","SETTLE_DT",Company_desc!$A$2))</f>
        <v/>
      </c>
      <c r="Y389" s="80">
        <f>IF($A389="","",N389-_xll.BDP($A389&amp;" Corp","YAS_OAS_SPRD","SETTLE_DT",Company_desc!$D$1))</f>
        <v/>
      </c>
      <c r="Z389" s="82">
        <f>IF($A389="","",K389-_xll.BDP($A389&amp;" Corp","YAS_BOND_YLD","YAS_YLD_FLAG=15","SETTLE_DT",Company_desc!$D$1))</f>
        <v/>
      </c>
      <c r="AA389" s="80">
        <f>IF($A389="","",_xll.BDP($A389&amp;" Corp","YAS_OAS_SPRD","SETTLE_DT",Company_desc!$D$1))</f>
        <v/>
      </c>
    </row>
    <row r="390">
      <c r="B390" s="75">
        <f>IF($A390="","",IFERROR(INDEX(Sheet1!$B:$B,MATCH($A390,Sheet1!$A:$A,0)),""))</f>
        <v/>
      </c>
      <c r="C390" s="75">
        <f>IF($A390="","",PROPER(_xll.BDP($A390&amp;" Corp","NAME")))</f>
        <v/>
      </c>
      <c r="D390" s="76">
        <f>IF($A390="","",_xll.BDP($A390&amp;" Corp","CPN"))</f>
        <v/>
      </c>
      <c r="E390" s="75">
        <f>IF($A390="","",_xll.BDP($A390&amp;" Corp","PAYMENT_RANK"))</f>
        <v/>
      </c>
      <c r="F390" s="100">
        <f>IF($A390="","",_xll.BDP($A390&amp;" Corp","MATURITY"))</f>
        <v/>
      </c>
      <c r="G390" s="75">
        <f>IF($A390="","",PROPER(_xll.BDP($A390&amp;" Corp","COUNTRY_FULL_NAME")))</f>
        <v/>
      </c>
      <c r="H390" s="75">
        <f>IF($A390="","",_xll.BDP($A390&amp;" Corp","INDUSTRY_SECTOR"))</f>
        <v/>
      </c>
      <c r="I390" s="101">
        <f>IF($A390="","",IFERROR(_xll.BDP($A390&amp;" Corp","MIN_PIECE")/1000,""))</f>
        <v/>
      </c>
      <c r="J390" s="31">
        <f>IF($A390="","",_xll.BDP($A390&amp;" Corp","PX_LAST"))</f>
        <v/>
      </c>
      <c r="K390" s="31">
        <f>IF($A390="","",_xll.BDP($A390&amp;" Corp","YAS_BOND_YLD","YAS_YLD_FLAG=15"))</f>
        <v/>
      </c>
      <c r="L390" s="31">
        <f>IF($A390="","",K390-_xll.BDP($A390&amp;" Corp","YAS_BOND_YLD","YAS_YLD_FLAG=15","SETTLE_DT",Company_desc!$A$1))</f>
        <v/>
      </c>
      <c r="M390" s="31">
        <f>IF($A390="","",K390-_xll.BDP($A390&amp;" Corp","YAS_BOND_YLD","YAS_YLD_FLAG=15","SETTLE_DT",Company_desc!$A$2))</f>
        <v/>
      </c>
      <c r="N390" s="79">
        <f>IF($A390="","",_xll.BDP($A390&amp;" Corp","YAS_OAS_SPRD"))</f>
        <v/>
      </c>
      <c r="O390" s="67">
        <f>IF($A390="","",_xll.BDP($A390&amp;" Corp","YAS_MOD_DUR"))</f>
        <v/>
      </c>
      <c r="P390" s="80">
        <f>IF($A390="","",IFERROR(INDEX(Sheet1!$P:$P,MATCH($A390,Sheet1!$A:$A,0)),""))</f>
        <v/>
      </c>
      <c r="Q390" s="75">
        <f>IF($A390="","",IFERROR(INDEX(Company_desc!$C:$C,MATCH($A390,Company_desc!$A:$A,0)),IFERROR(INDEX(Sheet1!$Q:$Q,MATCH($A390,Sheet1!$A:$A,0)),"")))</f>
        <v/>
      </c>
      <c r="R390" s="75">
        <f>IF($A390="","",_xll.BDP($A390&amp;" Corp","CRNCY"))</f>
        <v/>
      </c>
      <c r="S390" s="75">
        <f>IF($A390="","",IFERROR(INDEX(Sheet1!$S:$S,MATCH($A390,Sheet1!$A:$A,0)),""))</f>
        <v/>
      </c>
      <c r="T390" s="75">
        <f>IF($A390="","",IFERROR(INDEX(Sheet1!$T:$T,MATCH($A390,Sheet1!$A:$A,0)),_xll.BDP($A390&amp;" Corp","RTG_SP")))</f>
        <v/>
      </c>
      <c r="U390" s="75">
        <f>IF($A390="","",IFERROR(INDEX(Sheet1!$U:$U,MATCH($A390,Sheet1!$A:$A,0)),""))</f>
        <v/>
      </c>
      <c r="W390" s="81">
        <f>IF($A390="","",N390-_xll.BDP($A390&amp;" Corp","YAS_OAS_SPRD","SETTLE_DT",Company_desc!$A$1))</f>
        <v/>
      </c>
      <c r="X390" s="81">
        <f>IF($A390="","",N390-_xll.BDP($A390&amp;" Corp","YAS_OAS_SPRD","SETTLE_DT",Company_desc!$A$2))</f>
        <v/>
      </c>
      <c r="Y390" s="80">
        <f>IF($A390="","",N390-_xll.BDP($A390&amp;" Corp","YAS_OAS_SPRD","SETTLE_DT",Company_desc!$D$1))</f>
        <v/>
      </c>
      <c r="Z390" s="82">
        <f>IF($A390="","",K390-_xll.BDP($A390&amp;" Corp","YAS_BOND_YLD","YAS_YLD_FLAG=15","SETTLE_DT",Company_desc!$D$1))</f>
        <v/>
      </c>
      <c r="AA390" s="80">
        <f>IF($A390="","",_xll.BDP($A390&amp;" Corp","YAS_OAS_SPRD","SETTLE_DT",Company_desc!$D$1))</f>
        <v/>
      </c>
    </row>
    <row r="391">
      <c r="B391" s="75">
        <f>IF($A391="","",IFERROR(INDEX(Sheet1!$B:$B,MATCH($A391,Sheet1!$A:$A,0)),""))</f>
        <v/>
      </c>
      <c r="C391" s="75">
        <f>IF($A391="","",PROPER(_xll.BDP($A391&amp;" Corp","NAME")))</f>
        <v/>
      </c>
      <c r="D391" s="76">
        <f>IF($A391="","",_xll.BDP($A391&amp;" Corp","CPN"))</f>
        <v/>
      </c>
      <c r="E391" s="75">
        <f>IF($A391="","",_xll.BDP($A391&amp;" Corp","PAYMENT_RANK"))</f>
        <v/>
      </c>
      <c r="F391" s="100">
        <f>IF($A391="","",_xll.BDP($A391&amp;" Corp","MATURITY"))</f>
        <v/>
      </c>
      <c r="G391" s="75">
        <f>IF($A391="","",PROPER(_xll.BDP($A391&amp;" Corp","COUNTRY_FULL_NAME")))</f>
        <v/>
      </c>
      <c r="H391" s="75">
        <f>IF($A391="","",_xll.BDP($A391&amp;" Corp","INDUSTRY_SECTOR"))</f>
        <v/>
      </c>
      <c r="I391" s="101">
        <f>IF($A391="","",IFERROR(_xll.BDP($A391&amp;" Corp","MIN_PIECE")/1000,""))</f>
        <v/>
      </c>
      <c r="J391" s="31">
        <f>IF($A391="","",_xll.BDP($A391&amp;" Corp","PX_LAST"))</f>
        <v/>
      </c>
      <c r="K391" s="31">
        <f>IF($A391="","",_xll.BDP($A391&amp;" Corp","YAS_BOND_YLD","YAS_YLD_FLAG=15"))</f>
        <v/>
      </c>
      <c r="L391" s="31">
        <f>IF($A391="","",K391-_xll.BDP($A391&amp;" Corp","YAS_BOND_YLD","YAS_YLD_FLAG=15","SETTLE_DT",Company_desc!$A$1))</f>
        <v/>
      </c>
      <c r="M391" s="31">
        <f>IF($A391="","",K391-_xll.BDP($A391&amp;" Corp","YAS_BOND_YLD","YAS_YLD_FLAG=15","SETTLE_DT",Company_desc!$A$2))</f>
        <v/>
      </c>
      <c r="N391" s="79">
        <f>IF($A391="","",_xll.BDP($A391&amp;" Corp","YAS_OAS_SPRD"))</f>
        <v/>
      </c>
      <c r="O391" s="67">
        <f>IF($A391="","",_xll.BDP($A391&amp;" Corp","YAS_MOD_DUR"))</f>
        <v/>
      </c>
      <c r="P391" s="80">
        <f>IF($A391="","",IFERROR(INDEX(Sheet1!$P:$P,MATCH($A391,Sheet1!$A:$A,0)),""))</f>
        <v/>
      </c>
      <c r="Q391" s="75">
        <f>IF($A391="","",IFERROR(INDEX(Company_desc!$C:$C,MATCH($A391,Company_desc!$A:$A,0)),IFERROR(INDEX(Sheet1!$Q:$Q,MATCH($A391,Sheet1!$A:$A,0)),"")))</f>
        <v/>
      </c>
      <c r="R391" s="75">
        <f>IF($A391="","",_xll.BDP($A391&amp;" Corp","CRNCY"))</f>
        <v/>
      </c>
      <c r="S391" s="75">
        <f>IF($A391="","",IFERROR(INDEX(Sheet1!$S:$S,MATCH($A391,Sheet1!$A:$A,0)),""))</f>
        <v/>
      </c>
      <c r="T391" s="75">
        <f>IF($A391="","",IFERROR(INDEX(Sheet1!$T:$T,MATCH($A391,Sheet1!$A:$A,0)),_xll.BDP($A391&amp;" Corp","RTG_SP")))</f>
        <v/>
      </c>
      <c r="U391" s="75">
        <f>IF($A391="","",IFERROR(INDEX(Sheet1!$U:$U,MATCH($A391,Sheet1!$A:$A,0)),""))</f>
        <v/>
      </c>
      <c r="W391" s="81">
        <f>IF($A391="","",N391-_xll.BDP($A391&amp;" Corp","YAS_OAS_SPRD","SETTLE_DT",Company_desc!$A$1))</f>
        <v/>
      </c>
      <c r="X391" s="81">
        <f>IF($A391="","",N391-_xll.BDP($A391&amp;" Corp","YAS_OAS_SPRD","SETTLE_DT",Company_desc!$A$2))</f>
        <v/>
      </c>
      <c r="Y391" s="80">
        <f>IF($A391="","",N391-_xll.BDP($A391&amp;" Corp","YAS_OAS_SPRD","SETTLE_DT",Company_desc!$D$1))</f>
        <v/>
      </c>
      <c r="Z391" s="82">
        <f>IF($A391="","",K391-_xll.BDP($A391&amp;" Corp","YAS_BOND_YLD","YAS_YLD_FLAG=15","SETTLE_DT",Company_desc!$D$1))</f>
        <v/>
      </c>
      <c r="AA391" s="80">
        <f>IF($A391="","",_xll.BDP($A391&amp;" Corp","YAS_OAS_SPRD","SETTLE_DT",Company_desc!$D$1))</f>
        <v/>
      </c>
    </row>
    <row r="392">
      <c r="B392" s="75">
        <f>IF($A392="","",IFERROR(INDEX(Sheet1!$B:$B,MATCH($A392,Sheet1!$A:$A,0)),""))</f>
        <v/>
      </c>
      <c r="C392" s="75">
        <f>IF($A392="","",PROPER(_xll.BDP($A392&amp;" Corp","NAME")))</f>
        <v/>
      </c>
      <c r="D392" s="76">
        <f>IF($A392="","",_xll.BDP($A392&amp;" Corp","CPN"))</f>
        <v/>
      </c>
      <c r="E392" s="75">
        <f>IF($A392="","",_xll.BDP($A392&amp;" Corp","PAYMENT_RANK"))</f>
        <v/>
      </c>
      <c r="F392" s="100">
        <f>IF($A392="","",_xll.BDP($A392&amp;" Corp","MATURITY"))</f>
        <v/>
      </c>
      <c r="G392" s="75">
        <f>IF($A392="","",PROPER(_xll.BDP($A392&amp;" Corp","COUNTRY_FULL_NAME")))</f>
        <v/>
      </c>
      <c r="H392" s="75">
        <f>IF($A392="","",_xll.BDP($A392&amp;" Corp","INDUSTRY_SECTOR"))</f>
        <v/>
      </c>
      <c r="I392" s="101">
        <f>IF($A392="","",IFERROR(_xll.BDP($A392&amp;" Corp","MIN_PIECE")/1000,""))</f>
        <v/>
      </c>
      <c r="J392" s="31">
        <f>IF($A392="","",_xll.BDP($A392&amp;" Corp","PX_LAST"))</f>
        <v/>
      </c>
      <c r="K392" s="31">
        <f>IF($A392="","",_xll.BDP($A392&amp;" Corp","YAS_BOND_YLD","YAS_YLD_FLAG=15"))</f>
        <v/>
      </c>
      <c r="L392" s="31">
        <f>IF($A392="","",K392-_xll.BDP($A392&amp;" Corp","YAS_BOND_YLD","YAS_YLD_FLAG=15","SETTLE_DT",Company_desc!$A$1))</f>
        <v/>
      </c>
      <c r="M392" s="31">
        <f>IF($A392="","",K392-_xll.BDP($A392&amp;" Corp","YAS_BOND_YLD","YAS_YLD_FLAG=15","SETTLE_DT",Company_desc!$A$2))</f>
        <v/>
      </c>
      <c r="N392" s="79">
        <f>IF($A392="","",_xll.BDP($A392&amp;" Corp","YAS_OAS_SPRD"))</f>
        <v/>
      </c>
      <c r="O392" s="67">
        <f>IF($A392="","",_xll.BDP($A392&amp;" Corp","YAS_MOD_DUR"))</f>
        <v/>
      </c>
      <c r="P392" s="80">
        <f>IF($A392="","",IFERROR(INDEX(Sheet1!$P:$P,MATCH($A392,Sheet1!$A:$A,0)),""))</f>
        <v/>
      </c>
      <c r="Q392" s="75">
        <f>IF($A392="","",IFERROR(INDEX(Company_desc!$C:$C,MATCH($A392,Company_desc!$A:$A,0)),IFERROR(INDEX(Sheet1!$Q:$Q,MATCH($A392,Sheet1!$A:$A,0)),"")))</f>
        <v/>
      </c>
      <c r="R392" s="75">
        <f>IF($A392="","",_xll.BDP($A392&amp;" Corp","CRNCY"))</f>
        <v/>
      </c>
      <c r="S392" s="75">
        <f>IF($A392="","",IFERROR(INDEX(Sheet1!$S:$S,MATCH($A392,Sheet1!$A:$A,0)),""))</f>
        <v/>
      </c>
      <c r="T392" s="75">
        <f>IF($A392="","",IFERROR(INDEX(Sheet1!$T:$T,MATCH($A392,Sheet1!$A:$A,0)),_xll.BDP($A392&amp;" Corp","RTG_SP")))</f>
        <v/>
      </c>
      <c r="U392" s="75">
        <f>IF($A392="","",IFERROR(INDEX(Sheet1!$U:$U,MATCH($A392,Sheet1!$A:$A,0)),""))</f>
        <v/>
      </c>
      <c r="W392" s="81">
        <f>IF($A392="","",N392-_xll.BDP($A392&amp;" Corp","YAS_OAS_SPRD","SETTLE_DT",Company_desc!$A$1))</f>
        <v/>
      </c>
      <c r="X392" s="81">
        <f>IF($A392="","",N392-_xll.BDP($A392&amp;" Corp","YAS_OAS_SPRD","SETTLE_DT",Company_desc!$A$2))</f>
        <v/>
      </c>
      <c r="Y392" s="80">
        <f>IF($A392="","",N392-_xll.BDP($A392&amp;" Corp","YAS_OAS_SPRD","SETTLE_DT",Company_desc!$D$1))</f>
        <v/>
      </c>
      <c r="Z392" s="82">
        <f>IF($A392="","",K392-_xll.BDP($A392&amp;" Corp","YAS_BOND_YLD","YAS_YLD_FLAG=15","SETTLE_DT",Company_desc!$D$1))</f>
        <v/>
      </c>
      <c r="AA392" s="80">
        <f>IF($A392="","",_xll.BDP($A392&amp;" Corp","YAS_OAS_SPRD","SETTLE_DT",Company_desc!$D$1))</f>
        <v/>
      </c>
    </row>
    <row r="393">
      <c r="B393" s="75">
        <f>IF($A393="","",IFERROR(INDEX(Sheet1!$B:$B,MATCH($A393,Sheet1!$A:$A,0)),""))</f>
        <v/>
      </c>
      <c r="C393" s="75">
        <f>IF($A393="","",PROPER(_xll.BDP($A393&amp;" Corp","NAME")))</f>
        <v/>
      </c>
      <c r="D393" s="76">
        <f>IF($A393="","",_xll.BDP($A393&amp;" Corp","CPN"))</f>
        <v/>
      </c>
      <c r="E393" s="75">
        <f>IF($A393="","",_xll.BDP($A393&amp;" Corp","PAYMENT_RANK"))</f>
        <v/>
      </c>
      <c r="F393" s="100">
        <f>IF($A393="","",_xll.BDP($A393&amp;" Corp","MATURITY"))</f>
        <v/>
      </c>
      <c r="G393" s="75">
        <f>IF($A393="","",PROPER(_xll.BDP($A393&amp;" Corp","COUNTRY_FULL_NAME")))</f>
        <v/>
      </c>
      <c r="H393" s="75">
        <f>IF($A393="","",_xll.BDP($A393&amp;" Corp","INDUSTRY_SECTOR"))</f>
        <v/>
      </c>
      <c r="I393" s="101">
        <f>IF($A393="","",IFERROR(_xll.BDP($A393&amp;" Corp","MIN_PIECE")/1000,""))</f>
        <v/>
      </c>
      <c r="J393" s="31">
        <f>IF($A393="","",_xll.BDP($A393&amp;" Corp","PX_LAST"))</f>
        <v/>
      </c>
      <c r="K393" s="31">
        <f>IF($A393="","",_xll.BDP($A393&amp;" Corp","YAS_BOND_YLD","YAS_YLD_FLAG=15"))</f>
        <v/>
      </c>
      <c r="L393" s="31">
        <f>IF($A393="","",K393-_xll.BDP($A393&amp;" Corp","YAS_BOND_YLD","YAS_YLD_FLAG=15","SETTLE_DT",Company_desc!$A$1))</f>
        <v/>
      </c>
      <c r="M393" s="31">
        <f>IF($A393="","",K393-_xll.BDP($A393&amp;" Corp","YAS_BOND_YLD","YAS_YLD_FLAG=15","SETTLE_DT",Company_desc!$A$2))</f>
        <v/>
      </c>
      <c r="N393" s="79">
        <f>IF($A393="","",_xll.BDP($A393&amp;" Corp","YAS_OAS_SPRD"))</f>
        <v/>
      </c>
      <c r="O393" s="67">
        <f>IF($A393="","",_xll.BDP($A393&amp;" Corp","YAS_MOD_DUR"))</f>
        <v/>
      </c>
      <c r="P393" s="80">
        <f>IF($A393="","",IFERROR(INDEX(Sheet1!$P:$P,MATCH($A393,Sheet1!$A:$A,0)),""))</f>
        <v/>
      </c>
      <c r="Q393" s="75">
        <f>IF($A393="","",IFERROR(INDEX(Company_desc!$C:$C,MATCH($A393,Company_desc!$A:$A,0)),IFERROR(INDEX(Sheet1!$Q:$Q,MATCH($A393,Sheet1!$A:$A,0)),"")))</f>
        <v/>
      </c>
      <c r="R393" s="75">
        <f>IF($A393="","",_xll.BDP($A393&amp;" Corp","CRNCY"))</f>
        <v/>
      </c>
      <c r="S393" s="75">
        <f>IF($A393="","",IFERROR(INDEX(Sheet1!$S:$S,MATCH($A393,Sheet1!$A:$A,0)),""))</f>
        <v/>
      </c>
      <c r="T393" s="75">
        <f>IF($A393="","",IFERROR(INDEX(Sheet1!$T:$T,MATCH($A393,Sheet1!$A:$A,0)),_xll.BDP($A393&amp;" Corp","RTG_SP")))</f>
        <v/>
      </c>
      <c r="U393" s="75">
        <f>IF($A393="","",IFERROR(INDEX(Sheet1!$U:$U,MATCH($A393,Sheet1!$A:$A,0)),""))</f>
        <v/>
      </c>
      <c r="W393" s="81">
        <f>IF($A393="","",N393-_xll.BDP($A393&amp;" Corp","YAS_OAS_SPRD","SETTLE_DT",Company_desc!$A$1))</f>
        <v/>
      </c>
      <c r="X393" s="81">
        <f>IF($A393="","",N393-_xll.BDP($A393&amp;" Corp","YAS_OAS_SPRD","SETTLE_DT",Company_desc!$A$2))</f>
        <v/>
      </c>
      <c r="Y393" s="80">
        <f>IF($A393="","",N393-_xll.BDP($A393&amp;" Corp","YAS_OAS_SPRD","SETTLE_DT",Company_desc!$D$1))</f>
        <v/>
      </c>
      <c r="Z393" s="82">
        <f>IF($A393="","",K393-_xll.BDP($A393&amp;" Corp","YAS_BOND_YLD","YAS_YLD_FLAG=15","SETTLE_DT",Company_desc!$D$1))</f>
        <v/>
      </c>
      <c r="AA393" s="80">
        <f>IF($A393="","",_xll.BDP($A393&amp;" Corp","YAS_OAS_SPRD","SETTLE_DT",Company_desc!$D$1))</f>
        <v/>
      </c>
    </row>
    <row r="394">
      <c r="B394" s="75">
        <f>IF($A394="","",IFERROR(INDEX(Sheet1!$B:$B,MATCH($A394,Sheet1!$A:$A,0)),""))</f>
        <v/>
      </c>
      <c r="C394" s="75">
        <f>IF($A394="","",PROPER(_xll.BDP($A394&amp;" Corp","NAME")))</f>
        <v/>
      </c>
      <c r="D394" s="76">
        <f>IF($A394="","",_xll.BDP($A394&amp;" Corp","CPN"))</f>
        <v/>
      </c>
      <c r="E394" s="75">
        <f>IF($A394="","",_xll.BDP($A394&amp;" Corp","PAYMENT_RANK"))</f>
        <v/>
      </c>
      <c r="F394" s="100">
        <f>IF($A394="","",_xll.BDP($A394&amp;" Corp","MATURITY"))</f>
        <v/>
      </c>
      <c r="G394" s="75">
        <f>IF($A394="","",PROPER(_xll.BDP($A394&amp;" Corp","COUNTRY_FULL_NAME")))</f>
        <v/>
      </c>
      <c r="H394" s="75">
        <f>IF($A394="","",_xll.BDP($A394&amp;" Corp","INDUSTRY_SECTOR"))</f>
        <v/>
      </c>
      <c r="I394" s="101">
        <f>IF($A394="","",IFERROR(_xll.BDP($A394&amp;" Corp","MIN_PIECE")/1000,""))</f>
        <v/>
      </c>
      <c r="J394" s="31">
        <f>IF($A394="","",_xll.BDP($A394&amp;" Corp","PX_LAST"))</f>
        <v/>
      </c>
      <c r="K394" s="31">
        <f>IF($A394="","",_xll.BDP($A394&amp;" Corp","YAS_BOND_YLD","YAS_YLD_FLAG=15"))</f>
        <v/>
      </c>
      <c r="L394" s="31">
        <f>IF($A394="","",K394-_xll.BDP($A394&amp;" Corp","YAS_BOND_YLD","YAS_YLD_FLAG=15","SETTLE_DT",Company_desc!$A$1))</f>
        <v/>
      </c>
      <c r="M394" s="31">
        <f>IF($A394="","",K394-_xll.BDP($A394&amp;" Corp","YAS_BOND_YLD","YAS_YLD_FLAG=15","SETTLE_DT",Company_desc!$A$2))</f>
        <v/>
      </c>
      <c r="N394" s="79">
        <f>IF($A394="","",_xll.BDP($A394&amp;" Corp","YAS_OAS_SPRD"))</f>
        <v/>
      </c>
      <c r="O394" s="67">
        <f>IF($A394="","",_xll.BDP($A394&amp;" Corp","YAS_MOD_DUR"))</f>
        <v/>
      </c>
      <c r="P394" s="80">
        <f>IF($A394="","",IFERROR(INDEX(Sheet1!$P:$P,MATCH($A394,Sheet1!$A:$A,0)),""))</f>
        <v/>
      </c>
      <c r="Q394" s="75">
        <f>IF($A394="","",IFERROR(INDEX(Company_desc!$C:$C,MATCH($A394,Company_desc!$A:$A,0)),IFERROR(INDEX(Sheet1!$Q:$Q,MATCH($A394,Sheet1!$A:$A,0)),"")))</f>
        <v/>
      </c>
      <c r="R394" s="75">
        <f>IF($A394="","",_xll.BDP($A394&amp;" Corp","CRNCY"))</f>
        <v/>
      </c>
      <c r="S394" s="75">
        <f>IF($A394="","",IFERROR(INDEX(Sheet1!$S:$S,MATCH($A394,Sheet1!$A:$A,0)),""))</f>
        <v/>
      </c>
      <c r="T394" s="75">
        <f>IF($A394="","",IFERROR(INDEX(Sheet1!$T:$T,MATCH($A394,Sheet1!$A:$A,0)),_xll.BDP($A394&amp;" Corp","RTG_SP")))</f>
        <v/>
      </c>
      <c r="U394" s="75">
        <f>IF($A394="","",IFERROR(INDEX(Sheet1!$U:$U,MATCH($A394,Sheet1!$A:$A,0)),""))</f>
        <v/>
      </c>
      <c r="W394" s="81">
        <f>IF($A394="","",N394-_xll.BDP($A394&amp;" Corp","YAS_OAS_SPRD","SETTLE_DT",Company_desc!$A$1))</f>
        <v/>
      </c>
      <c r="X394" s="81">
        <f>IF($A394="","",N394-_xll.BDP($A394&amp;" Corp","YAS_OAS_SPRD","SETTLE_DT",Company_desc!$A$2))</f>
        <v/>
      </c>
      <c r="Y394" s="80">
        <f>IF($A394="","",N394-_xll.BDP($A394&amp;" Corp","YAS_OAS_SPRD","SETTLE_DT",Company_desc!$D$1))</f>
        <v/>
      </c>
      <c r="Z394" s="82">
        <f>IF($A394="","",K394-_xll.BDP($A394&amp;" Corp","YAS_BOND_YLD","YAS_YLD_FLAG=15","SETTLE_DT",Company_desc!$D$1))</f>
        <v/>
      </c>
      <c r="AA394" s="80">
        <f>IF($A394="","",_xll.BDP($A394&amp;" Corp","YAS_OAS_SPRD","SETTLE_DT",Company_desc!$D$1))</f>
        <v/>
      </c>
    </row>
    <row r="395">
      <c r="B395" s="75">
        <f>IF($A395="","",IFERROR(INDEX(Sheet1!$B:$B,MATCH($A395,Sheet1!$A:$A,0)),""))</f>
        <v/>
      </c>
      <c r="C395" s="75">
        <f>IF($A395="","",PROPER(_xll.BDP($A395&amp;" Corp","NAME")))</f>
        <v/>
      </c>
      <c r="D395" s="76">
        <f>IF($A395="","",_xll.BDP($A395&amp;" Corp","CPN"))</f>
        <v/>
      </c>
      <c r="E395" s="75">
        <f>IF($A395="","",_xll.BDP($A395&amp;" Corp","PAYMENT_RANK"))</f>
        <v/>
      </c>
      <c r="F395" s="100">
        <f>IF($A395="","",_xll.BDP($A395&amp;" Corp","MATURITY"))</f>
        <v/>
      </c>
      <c r="G395" s="75">
        <f>IF($A395="","",PROPER(_xll.BDP($A395&amp;" Corp","COUNTRY_FULL_NAME")))</f>
        <v/>
      </c>
      <c r="H395" s="75">
        <f>IF($A395="","",_xll.BDP($A395&amp;" Corp","INDUSTRY_SECTOR"))</f>
        <v/>
      </c>
      <c r="I395" s="101">
        <f>IF($A395="","",IFERROR(_xll.BDP($A395&amp;" Corp","MIN_PIECE")/1000,""))</f>
        <v/>
      </c>
      <c r="J395" s="31">
        <f>IF($A395="","",_xll.BDP($A395&amp;" Corp","PX_LAST"))</f>
        <v/>
      </c>
      <c r="K395" s="31">
        <f>IF($A395="","",_xll.BDP($A395&amp;" Corp","YAS_BOND_YLD","YAS_YLD_FLAG=15"))</f>
        <v/>
      </c>
      <c r="L395" s="31">
        <f>IF($A395="","",K395-_xll.BDP($A395&amp;" Corp","YAS_BOND_YLD","YAS_YLD_FLAG=15","SETTLE_DT",Company_desc!$A$1))</f>
        <v/>
      </c>
      <c r="M395" s="31">
        <f>IF($A395="","",K395-_xll.BDP($A395&amp;" Corp","YAS_BOND_YLD","YAS_YLD_FLAG=15","SETTLE_DT",Company_desc!$A$2))</f>
        <v/>
      </c>
      <c r="N395" s="79">
        <f>IF($A395="","",_xll.BDP($A395&amp;" Corp","YAS_OAS_SPRD"))</f>
        <v/>
      </c>
      <c r="O395" s="67">
        <f>IF($A395="","",_xll.BDP($A395&amp;" Corp","YAS_MOD_DUR"))</f>
        <v/>
      </c>
      <c r="P395" s="80">
        <f>IF($A395="","",IFERROR(INDEX(Sheet1!$P:$P,MATCH($A395,Sheet1!$A:$A,0)),""))</f>
        <v/>
      </c>
      <c r="Q395" s="75">
        <f>IF($A395="","",IFERROR(INDEX(Company_desc!$C:$C,MATCH($A395,Company_desc!$A:$A,0)),IFERROR(INDEX(Sheet1!$Q:$Q,MATCH($A395,Sheet1!$A:$A,0)),"")))</f>
        <v/>
      </c>
      <c r="R395" s="75">
        <f>IF($A395="","",_xll.BDP($A395&amp;" Corp","CRNCY"))</f>
        <v/>
      </c>
      <c r="S395" s="75">
        <f>IF($A395="","",IFERROR(INDEX(Sheet1!$S:$S,MATCH($A395,Sheet1!$A:$A,0)),""))</f>
        <v/>
      </c>
      <c r="T395" s="75">
        <f>IF($A395="","",IFERROR(INDEX(Sheet1!$T:$T,MATCH($A395,Sheet1!$A:$A,0)),_xll.BDP($A395&amp;" Corp","RTG_SP")))</f>
        <v/>
      </c>
      <c r="U395" s="75">
        <f>IF($A395="","",IFERROR(INDEX(Sheet1!$U:$U,MATCH($A395,Sheet1!$A:$A,0)),""))</f>
        <v/>
      </c>
      <c r="W395" s="81">
        <f>IF($A395="","",N395-_xll.BDP($A395&amp;" Corp","YAS_OAS_SPRD","SETTLE_DT",Company_desc!$A$1))</f>
        <v/>
      </c>
      <c r="X395" s="81">
        <f>IF($A395="","",N395-_xll.BDP($A395&amp;" Corp","YAS_OAS_SPRD","SETTLE_DT",Company_desc!$A$2))</f>
        <v/>
      </c>
      <c r="Y395" s="80">
        <f>IF($A395="","",N395-_xll.BDP($A395&amp;" Corp","YAS_OAS_SPRD","SETTLE_DT",Company_desc!$D$1))</f>
        <v/>
      </c>
      <c r="Z395" s="82">
        <f>IF($A395="","",K395-_xll.BDP($A395&amp;" Corp","YAS_BOND_YLD","YAS_YLD_FLAG=15","SETTLE_DT",Company_desc!$D$1))</f>
        <v/>
      </c>
      <c r="AA395" s="80">
        <f>IF($A395="","",_xll.BDP($A395&amp;" Corp","YAS_OAS_SPRD","SETTLE_DT",Company_desc!$D$1))</f>
        <v/>
      </c>
    </row>
    <row r="396">
      <c r="B396" s="75">
        <f>IF($A396="","",IFERROR(INDEX(Sheet1!$B:$B,MATCH($A396,Sheet1!$A:$A,0)),""))</f>
        <v/>
      </c>
      <c r="C396" s="75">
        <f>IF($A396="","",PROPER(_xll.BDP($A396&amp;" Corp","NAME")))</f>
        <v/>
      </c>
      <c r="D396" s="76">
        <f>IF($A396="","",_xll.BDP($A396&amp;" Corp","CPN"))</f>
        <v/>
      </c>
      <c r="E396" s="75">
        <f>IF($A396="","",_xll.BDP($A396&amp;" Corp","PAYMENT_RANK"))</f>
        <v/>
      </c>
      <c r="F396" s="100">
        <f>IF($A396="","",_xll.BDP($A396&amp;" Corp","MATURITY"))</f>
        <v/>
      </c>
      <c r="G396" s="75">
        <f>IF($A396="","",PROPER(_xll.BDP($A396&amp;" Corp","COUNTRY_FULL_NAME")))</f>
        <v/>
      </c>
      <c r="H396" s="75">
        <f>IF($A396="","",_xll.BDP($A396&amp;" Corp","INDUSTRY_SECTOR"))</f>
        <v/>
      </c>
      <c r="I396" s="101">
        <f>IF($A396="","",IFERROR(_xll.BDP($A396&amp;" Corp","MIN_PIECE")/1000,""))</f>
        <v/>
      </c>
      <c r="J396" s="31">
        <f>IF($A396="","",_xll.BDP($A396&amp;" Corp","PX_LAST"))</f>
        <v/>
      </c>
      <c r="K396" s="31">
        <f>IF($A396="","",_xll.BDP($A396&amp;" Corp","YAS_BOND_YLD","YAS_YLD_FLAG=15"))</f>
        <v/>
      </c>
      <c r="L396" s="31">
        <f>IF($A396="","",K396-_xll.BDP($A396&amp;" Corp","YAS_BOND_YLD","YAS_YLD_FLAG=15","SETTLE_DT",Company_desc!$A$1))</f>
        <v/>
      </c>
      <c r="M396" s="31">
        <f>IF($A396="","",K396-_xll.BDP($A396&amp;" Corp","YAS_BOND_YLD","YAS_YLD_FLAG=15","SETTLE_DT",Company_desc!$A$2))</f>
        <v/>
      </c>
      <c r="N396" s="79">
        <f>IF($A396="","",_xll.BDP($A396&amp;" Corp","YAS_OAS_SPRD"))</f>
        <v/>
      </c>
      <c r="O396" s="67">
        <f>IF($A396="","",_xll.BDP($A396&amp;" Corp","YAS_MOD_DUR"))</f>
        <v/>
      </c>
      <c r="P396" s="80">
        <f>IF($A396="","",IFERROR(INDEX(Sheet1!$P:$P,MATCH($A396,Sheet1!$A:$A,0)),""))</f>
        <v/>
      </c>
      <c r="Q396" s="75">
        <f>IF($A396="","",IFERROR(INDEX(Company_desc!$C:$C,MATCH($A396,Company_desc!$A:$A,0)),IFERROR(INDEX(Sheet1!$Q:$Q,MATCH($A396,Sheet1!$A:$A,0)),"")))</f>
        <v/>
      </c>
      <c r="R396" s="75">
        <f>IF($A396="","",_xll.BDP($A396&amp;" Corp","CRNCY"))</f>
        <v/>
      </c>
      <c r="S396" s="75">
        <f>IF($A396="","",IFERROR(INDEX(Sheet1!$S:$S,MATCH($A396,Sheet1!$A:$A,0)),""))</f>
        <v/>
      </c>
      <c r="T396" s="75">
        <f>IF($A396="","",IFERROR(INDEX(Sheet1!$T:$T,MATCH($A396,Sheet1!$A:$A,0)),_xll.BDP($A396&amp;" Corp","RTG_SP")))</f>
        <v/>
      </c>
      <c r="U396" s="75">
        <f>IF($A396="","",IFERROR(INDEX(Sheet1!$U:$U,MATCH($A396,Sheet1!$A:$A,0)),""))</f>
        <v/>
      </c>
      <c r="W396" s="81">
        <f>IF($A396="","",N396-_xll.BDP($A396&amp;" Corp","YAS_OAS_SPRD","SETTLE_DT",Company_desc!$A$1))</f>
        <v/>
      </c>
      <c r="X396" s="81">
        <f>IF($A396="","",N396-_xll.BDP($A396&amp;" Corp","YAS_OAS_SPRD","SETTLE_DT",Company_desc!$A$2))</f>
        <v/>
      </c>
      <c r="Y396" s="80">
        <f>IF($A396="","",N396-_xll.BDP($A396&amp;" Corp","YAS_OAS_SPRD","SETTLE_DT",Company_desc!$D$1))</f>
        <v/>
      </c>
      <c r="Z396" s="82">
        <f>IF($A396="","",K396-_xll.BDP($A396&amp;" Corp","YAS_BOND_YLD","YAS_YLD_FLAG=15","SETTLE_DT",Company_desc!$D$1))</f>
        <v/>
      </c>
      <c r="AA396" s="80">
        <f>IF($A396="","",_xll.BDP($A396&amp;" Corp","YAS_OAS_SPRD","SETTLE_DT",Company_desc!$D$1))</f>
        <v/>
      </c>
    </row>
    <row r="397">
      <c r="B397" s="75">
        <f>IF($A397="","",IFERROR(INDEX(Sheet1!$B:$B,MATCH($A397,Sheet1!$A:$A,0)),""))</f>
        <v/>
      </c>
      <c r="C397" s="75">
        <f>IF($A397="","",PROPER(_xll.BDP($A397&amp;" Corp","NAME")))</f>
        <v/>
      </c>
      <c r="D397" s="76">
        <f>IF($A397="","",_xll.BDP($A397&amp;" Corp","CPN"))</f>
        <v/>
      </c>
      <c r="E397" s="75">
        <f>IF($A397="","",_xll.BDP($A397&amp;" Corp","PAYMENT_RANK"))</f>
        <v/>
      </c>
      <c r="F397" s="100">
        <f>IF($A397="","",_xll.BDP($A397&amp;" Corp","MATURITY"))</f>
        <v/>
      </c>
      <c r="G397" s="75">
        <f>IF($A397="","",PROPER(_xll.BDP($A397&amp;" Corp","COUNTRY_FULL_NAME")))</f>
        <v/>
      </c>
      <c r="H397" s="75">
        <f>IF($A397="","",_xll.BDP($A397&amp;" Corp","INDUSTRY_SECTOR"))</f>
        <v/>
      </c>
      <c r="I397" s="101">
        <f>IF($A397="","",IFERROR(_xll.BDP($A397&amp;" Corp","MIN_PIECE")/1000,""))</f>
        <v/>
      </c>
      <c r="J397" s="31">
        <f>IF($A397="","",_xll.BDP($A397&amp;" Corp","PX_LAST"))</f>
        <v/>
      </c>
      <c r="K397" s="31">
        <f>IF($A397="","",_xll.BDP($A397&amp;" Corp","YAS_BOND_YLD","YAS_YLD_FLAG=15"))</f>
        <v/>
      </c>
      <c r="L397" s="31">
        <f>IF($A397="","",K397-_xll.BDP($A397&amp;" Corp","YAS_BOND_YLD","YAS_YLD_FLAG=15","SETTLE_DT",Company_desc!$A$1))</f>
        <v/>
      </c>
      <c r="M397" s="31">
        <f>IF($A397="","",K397-_xll.BDP($A397&amp;" Corp","YAS_BOND_YLD","YAS_YLD_FLAG=15","SETTLE_DT",Company_desc!$A$2))</f>
        <v/>
      </c>
      <c r="N397" s="79">
        <f>IF($A397="","",_xll.BDP($A397&amp;" Corp","YAS_OAS_SPRD"))</f>
        <v/>
      </c>
      <c r="O397" s="67">
        <f>IF($A397="","",_xll.BDP($A397&amp;" Corp","YAS_MOD_DUR"))</f>
        <v/>
      </c>
      <c r="P397" s="80">
        <f>IF($A397="","",IFERROR(INDEX(Sheet1!$P:$P,MATCH($A397,Sheet1!$A:$A,0)),""))</f>
        <v/>
      </c>
      <c r="Q397" s="75">
        <f>IF($A397="","",IFERROR(INDEX(Company_desc!$C:$C,MATCH($A397,Company_desc!$A:$A,0)),IFERROR(INDEX(Sheet1!$Q:$Q,MATCH($A397,Sheet1!$A:$A,0)),"")))</f>
        <v/>
      </c>
      <c r="R397" s="75">
        <f>IF($A397="","",_xll.BDP($A397&amp;" Corp","CRNCY"))</f>
        <v/>
      </c>
      <c r="S397" s="75">
        <f>IF($A397="","",IFERROR(INDEX(Sheet1!$S:$S,MATCH($A397,Sheet1!$A:$A,0)),""))</f>
        <v/>
      </c>
      <c r="T397" s="75">
        <f>IF($A397="","",IFERROR(INDEX(Sheet1!$T:$T,MATCH($A397,Sheet1!$A:$A,0)),_xll.BDP($A397&amp;" Corp","RTG_SP")))</f>
        <v/>
      </c>
      <c r="U397" s="75">
        <f>IF($A397="","",IFERROR(INDEX(Sheet1!$U:$U,MATCH($A397,Sheet1!$A:$A,0)),""))</f>
        <v/>
      </c>
      <c r="W397" s="81">
        <f>IF($A397="","",N397-_xll.BDP($A397&amp;" Corp","YAS_OAS_SPRD","SETTLE_DT",Company_desc!$A$1))</f>
        <v/>
      </c>
      <c r="X397" s="81">
        <f>IF($A397="","",N397-_xll.BDP($A397&amp;" Corp","YAS_OAS_SPRD","SETTLE_DT",Company_desc!$A$2))</f>
        <v/>
      </c>
      <c r="Y397" s="80">
        <f>IF($A397="","",N397-_xll.BDP($A397&amp;" Corp","YAS_OAS_SPRD","SETTLE_DT",Company_desc!$D$1))</f>
        <v/>
      </c>
      <c r="Z397" s="82">
        <f>IF($A397="","",K397-_xll.BDP($A397&amp;" Corp","YAS_BOND_YLD","YAS_YLD_FLAG=15","SETTLE_DT",Company_desc!$D$1))</f>
        <v/>
      </c>
      <c r="AA397" s="80">
        <f>IF($A397="","",_xll.BDP($A397&amp;" Corp","YAS_OAS_SPRD","SETTLE_DT",Company_desc!$D$1))</f>
        <v/>
      </c>
    </row>
    <row r="398">
      <c r="B398" s="75">
        <f>IF($A398="","",IFERROR(INDEX(Sheet1!$B:$B,MATCH($A398,Sheet1!$A:$A,0)),""))</f>
        <v/>
      </c>
      <c r="C398" s="75">
        <f>IF($A398="","",PROPER(_xll.BDP($A398&amp;" Corp","NAME")))</f>
        <v/>
      </c>
      <c r="D398" s="76">
        <f>IF($A398="","",_xll.BDP($A398&amp;" Corp","CPN"))</f>
        <v/>
      </c>
      <c r="E398" s="75">
        <f>IF($A398="","",_xll.BDP($A398&amp;" Corp","PAYMENT_RANK"))</f>
        <v/>
      </c>
      <c r="F398" s="100">
        <f>IF($A398="","",_xll.BDP($A398&amp;" Corp","MATURITY"))</f>
        <v/>
      </c>
      <c r="G398" s="75">
        <f>IF($A398="","",PROPER(_xll.BDP($A398&amp;" Corp","COUNTRY_FULL_NAME")))</f>
        <v/>
      </c>
      <c r="H398" s="75">
        <f>IF($A398="","",_xll.BDP($A398&amp;" Corp","INDUSTRY_SECTOR"))</f>
        <v/>
      </c>
      <c r="I398" s="101">
        <f>IF($A398="","",IFERROR(_xll.BDP($A398&amp;" Corp","MIN_PIECE")/1000,""))</f>
        <v/>
      </c>
      <c r="J398" s="31">
        <f>IF($A398="","",_xll.BDP($A398&amp;" Corp","PX_LAST"))</f>
        <v/>
      </c>
      <c r="K398" s="31">
        <f>IF($A398="","",_xll.BDP($A398&amp;" Corp","YAS_BOND_YLD","YAS_YLD_FLAG=15"))</f>
        <v/>
      </c>
      <c r="L398" s="31">
        <f>IF($A398="","",K398-_xll.BDP($A398&amp;" Corp","YAS_BOND_YLD","YAS_YLD_FLAG=15","SETTLE_DT",Company_desc!$A$1))</f>
        <v/>
      </c>
      <c r="M398" s="31">
        <f>IF($A398="","",K398-_xll.BDP($A398&amp;" Corp","YAS_BOND_YLD","YAS_YLD_FLAG=15","SETTLE_DT",Company_desc!$A$2))</f>
        <v/>
      </c>
      <c r="N398" s="79">
        <f>IF($A398="","",_xll.BDP($A398&amp;" Corp","YAS_OAS_SPRD"))</f>
        <v/>
      </c>
      <c r="O398" s="67">
        <f>IF($A398="","",_xll.BDP($A398&amp;" Corp","YAS_MOD_DUR"))</f>
        <v/>
      </c>
      <c r="P398" s="80">
        <f>IF($A398="","",IFERROR(INDEX(Sheet1!$P:$P,MATCH($A398,Sheet1!$A:$A,0)),""))</f>
        <v/>
      </c>
      <c r="Q398" s="75">
        <f>IF($A398="","",IFERROR(INDEX(Company_desc!$C:$C,MATCH($A398,Company_desc!$A:$A,0)),IFERROR(INDEX(Sheet1!$Q:$Q,MATCH($A398,Sheet1!$A:$A,0)),"")))</f>
        <v/>
      </c>
      <c r="R398" s="75">
        <f>IF($A398="","",_xll.BDP($A398&amp;" Corp","CRNCY"))</f>
        <v/>
      </c>
      <c r="S398" s="75">
        <f>IF($A398="","",IFERROR(INDEX(Sheet1!$S:$S,MATCH($A398,Sheet1!$A:$A,0)),""))</f>
        <v/>
      </c>
      <c r="T398" s="75">
        <f>IF($A398="","",IFERROR(INDEX(Sheet1!$T:$T,MATCH($A398,Sheet1!$A:$A,0)),_xll.BDP($A398&amp;" Corp","RTG_SP")))</f>
        <v/>
      </c>
      <c r="U398" s="75">
        <f>IF($A398="","",IFERROR(INDEX(Sheet1!$U:$U,MATCH($A398,Sheet1!$A:$A,0)),""))</f>
        <v/>
      </c>
      <c r="W398" s="81">
        <f>IF($A398="","",N398-_xll.BDP($A398&amp;" Corp","YAS_OAS_SPRD","SETTLE_DT",Company_desc!$A$1))</f>
        <v/>
      </c>
      <c r="X398" s="81">
        <f>IF($A398="","",N398-_xll.BDP($A398&amp;" Corp","YAS_OAS_SPRD","SETTLE_DT",Company_desc!$A$2))</f>
        <v/>
      </c>
      <c r="Y398" s="80">
        <f>IF($A398="","",N398-_xll.BDP($A398&amp;" Corp","YAS_OAS_SPRD","SETTLE_DT",Company_desc!$D$1))</f>
        <v/>
      </c>
      <c r="Z398" s="82">
        <f>IF($A398="","",K398-_xll.BDP($A398&amp;" Corp","YAS_BOND_YLD","YAS_YLD_FLAG=15","SETTLE_DT",Company_desc!$D$1))</f>
        <v/>
      </c>
      <c r="AA398" s="80">
        <f>IF($A398="","",_xll.BDP($A398&amp;" Corp","YAS_OAS_SPRD","SETTLE_DT",Company_desc!$D$1))</f>
        <v/>
      </c>
    </row>
    <row r="399">
      <c r="B399" s="75">
        <f>IF($A399="","",IFERROR(INDEX(Sheet1!$B:$B,MATCH($A399,Sheet1!$A:$A,0)),""))</f>
        <v/>
      </c>
      <c r="C399" s="75">
        <f>IF($A399="","",PROPER(_xll.BDP($A399&amp;" Corp","NAME")))</f>
        <v/>
      </c>
      <c r="D399" s="76">
        <f>IF($A399="","",_xll.BDP($A399&amp;" Corp","CPN"))</f>
        <v/>
      </c>
      <c r="E399" s="75">
        <f>IF($A399="","",_xll.BDP($A399&amp;" Corp","PAYMENT_RANK"))</f>
        <v/>
      </c>
      <c r="F399" s="100">
        <f>IF($A399="","",_xll.BDP($A399&amp;" Corp","MATURITY"))</f>
        <v/>
      </c>
      <c r="G399" s="75">
        <f>IF($A399="","",PROPER(_xll.BDP($A399&amp;" Corp","COUNTRY_FULL_NAME")))</f>
        <v/>
      </c>
      <c r="H399" s="75">
        <f>IF($A399="","",_xll.BDP($A399&amp;" Corp","INDUSTRY_SECTOR"))</f>
        <v/>
      </c>
      <c r="I399" s="101">
        <f>IF($A399="","",IFERROR(_xll.BDP($A399&amp;" Corp","MIN_PIECE")/1000,""))</f>
        <v/>
      </c>
      <c r="J399" s="31">
        <f>IF($A399="","",_xll.BDP($A399&amp;" Corp","PX_LAST"))</f>
        <v/>
      </c>
      <c r="K399" s="31">
        <f>IF($A399="","",_xll.BDP($A399&amp;" Corp","YAS_BOND_YLD","YAS_YLD_FLAG=15"))</f>
        <v/>
      </c>
      <c r="L399" s="31">
        <f>IF($A399="","",K399-_xll.BDP($A399&amp;" Corp","YAS_BOND_YLD","YAS_YLD_FLAG=15","SETTLE_DT",Company_desc!$A$1))</f>
        <v/>
      </c>
      <c r="M399" s="31">
        <f>IF($A399="","",K399-_xll.BDP($A399&amp;" Corp","YAS_BOND_YLD","YAS_YLD_FLAG=15","SETTLE_DT",Company_desc!$A$2))</f>
        <v/>
      </c>
      <c r="N399" s="79">
        <f>IF($A399="","",_xll.BDP($A399&amp;" Corp","YAS_OAS_SPRD"))</f>
        <v/>
      </c>
      <c r="O399" s="67">
        <f>IF($A399="","",_xll.BDP($A399&amp;" Corp","YAS_MOD_DUR"))</f>
        <v/>
      </c>
      <c r="P399" s="80">
        <f>IF($A399="","",IFERROR(INDEX(Sheet1!$P:$P,MATCH($A399,Sheet1!$A:$A,0)),""))</f>
        <v/>
      </c>
      <c r="Q399" s="75">
        <f>IF($A399="","",IFERROR(INDEX(Company_desc!$C:$C,MATCH($A399,Company_desc!$A:$A,0)),IFERROR(INDEX(Sheet1!$Q:$Q,MATCH($A399,Sheet1!$A:$A,0)),"")))</f>
        <v/>
      </c>
      <c r="R399" s="75">
        <f>IF($A399="","",_xll.BDP($A399&amp;" Corp","CRNCY"))</f>
        <v/>
      </c>
      <c r="S399" s="75">
        <f>IF($A399="","",IFERROR(INDEX(Sheet1!$S:$S,MATCH($A399,Sheet1!$A:$A,0)),""))</f>
        <v/>
      </c>
      <c r="T399" s="75">
        <f>IF($A399="","",IFERROR(INDEX(Sheet1!$T:$T,MATCH($A399,Sheet1!$A:$A,0)),_xll.BDP($A399&amp;" Corp","RTG_SP")))</f>
        <v/>
      </c>
      <c r="U399" s="75">
        <f>IF($A399="","",IFERROR(INDEX(Sheet1!$U:$U,MATCH($A399,Sheet1!$A:$A,0)),""))</f>
        <v/>
      </c>
      <c r="W399" s="81">
        <f>IF($A399="","",N399-_xll.BDP($A399&amp;" Corp","YAS_OAS_SPRD","SETTLE_DT",Company_desc!$A$1))</f>
        <v/>
      </c>
      <c r="X399" s="81">
        <f>IF($A399="","",N399-_xll.BDP($A399&amp;" Corp","YAS_OAS_SPRD","SETTLE_DT",Company_desc!$A$2))</f>
        <v/>
      </c>
      <c r="Y399" s="80">
        <f>IF($A399="","",N399-_xll.BDP($A399&amp;" Corp","YAS_OAS_SPRD","SETTLE_DT",Company_desc!$D$1))</f>
        <v/>
      </c>
      <c r="Z399" s="82">
        <f>IF($A399="","",K399-_xll.BDP($A399&amp;" Corp","YAS_BOND_YLD","YAS_YLD_FLAG=15","SETTLE_DT",Company_desc!$D$1))</f>
        <v/>
      </c>
      <c r="AA399" s="80">
        <f>IF($A399="","",_xll.BDP($A399&amp;" Corp","YAS_OAS_SPRD","SETTLE_DT",Company_desc!$D$1))</f>
        <v/>
      </c>
    </row>
    <row r="400">
      <c r="B400" s="75">
        <f>IF($A400="","",IFERROR(INDEX(Sheet1!$B:$B,MATCH($A400,Sheet1!$A:$A,0)),""))</f>
        <v/>
      </c>
      <c r="C400" s="75">
        <f>IF($A400="","",PROPER(_xll.BDP($A400&amp;" Corp","NAME")))</f>
        <v/>
      </c>
      <c r="D400" s="76">
        <f>IF($A400="","",_xll.BDP($A400&amp;" Corp","CPN"))</f>
        <v/>
      </c>
      <c r="E400" s="75">
        <f>IF($A400="","",_xll.BDP($A400&amp;" Corp","PAYMENT_RANK"))</f>
        <v/>
      </c>
      <c r="F400" s="100">
        <f>IF($A400="","",_xll.BDP($A400&amp;" Corp","MATURITY"))</f>
        <v/>
      </c>
      <c r="G400" s="75">
        <f>IF($A400="","",PROPER(_xll.BDP($A400&amp;" Corp","COUNTRY_FULL_NAME")))</f>
        <v/>
      </c>
      <c r="H400" s="75">
        <f>IF($A400="","",_xll.BDP($A400&amp;" Corp","INDUSTRY_SECTOR"))</f>
        <v/>
      </c>
      <c r="I400" s="101">
        <f>IF($A400="","",IFERROR(_xll.BDP($A400&amp;" Corp","MIN_PIECE")/1000,""))</f>
        <v/>
      </c>
      <c r="J400" s="31">
        <f>IF($A400="","",_xll.BDP($A400&amp;" Corp","PX_LAST"))</f>
        <v/>
      </c>
      <c r="K400" s="31">
        <f>IF($A400="","",_xll.BDP($A400&amp;" Corp","YAS_BOND_YLD","YAS_YLD_FLAG=15"))</f>
        <v/>
      </c>
      <c r="L400" s="31">
        <f>IF($A400="","",K400-_xll.BDP($A400&amp;" Corp","YAS_BOND_YLD","YAS_YLD_FLAG=15","SETTLE_DT",Company_desc!$A$1))</f>
        <v/>
      </c>
      <c r="M400" s="31">
        <f>IF($A400="","",K400-_xll.BDP($A400&amp;" Corp","YAS_BOND_YLD","YAS_YLD_FLAG=15","SETTLE_DT",Company_desc!$A$2))</f>
        <v/>
      </c>
      <c r="N400" s="79">
        <f>IF($A400="","",_xll.BDP($A400&amp;" Corp","YAS_OAS_SPRD"))</f>
        <v/>
      </c>
      <c r="O400" s="67">
        <f>IF($A400="","",_xll.BDP($A400&amp;" Corp","YAS_MOD_DUR"))</f>
        <v/>
      </c>
      <c r="P400" s="80">
        <f>IF($A400="","",IFERROR(INDEX(Sheet1!$P:$P,MATCH($A400,Sheet1!$A:$A,0)),""))</f>
        <v/>
      </c>
      <c r="Q400" s="75">
        <f>IF($A400="","",IFERROR(INDEX(Company_desc!$C:$C,MATCH($A400,Company_desc!$A:$A,0)),IFERROR(INDEX(Sheet1!$Q:$Q,MATCH($A400,Sheet1!$A:$A,0)),"")))</f>
        <v/>
      </c>
      <c r="R400" s="75">
        <f>IF($A400="","",_xll.BDP($A400&amp;" Corp","CRNCY"))</f>
        <v/>
      </c>
      <c r="S400" s="75">
        <f>IF($A400="","",IFERROR(INDEX(Sheet1!$S:$S,MATCH($A400,Sheet1!$A:$A,0)),""))</f>
        <v/>
      </c>
      <c r="T400" s="75">
        <f>IF($A400="","",IFERROR(INDEX(Sheet1!$T:$T,MATCH($A400,Sheet1!$A:$A,0)),_xll.BDP($A400&amp;" Corp","RTG_SP")))</f>
        <v/>
      </c>
      <c r="U400" s="75">
        <f>IF($A400="","",IFERROR(INDEX(Sheet1!$U:$U,MATCH($A400,Sheet1!$A:$A,0)),""))</f>
        <v/>
      </c>
      <c r="W400" s="81">
        <f>IF($A400="","",N400-_xll.BDP($A400&amp;" Corp","YAS_OAS_SPRD","SETTLE_DT",Company_desc!$A$1))</f>
        <v/>
      </c>
      <c r="X400" s="81">
        <f>IF($A400="","",N400-_xll.BDP($A400&amp;" Corp","YAS_OAS_SPRD","SETTLE_DT",Company_desc!$A$2))</f>
        <v/>
      </c>
      <c r="Y400" s="80">
        <f>IF($A400="","",N400-_xll.BDP($A400&amp;" Corp","YAS_OAS_SPRD","SETTLE_DT",Company_desc!$D$1))</f>
        <v/>
      </c>
      <c r="Z400" s="82">
        <f>IF($A400="","",K400-_xll.BDP($A400&amp;" Corp","YAS_BOND_YLD","YAS_YLD_FLAG=15","SETTLE_DT",Company_desc!$D$1))</f>
        <v/>
      </c>
      <c r="AA400" s="80">
        <f>IF($A400="","",_xll.BDP($A400&amp;" Corp","YAS_OAS_SPRD","SETTLE_DT",Company_desc!$D$1))</f>
        <v/>
      </c>
    </row>
    <row r="401">
      <c r="B401" s="75">
        <f>IF($A401="","",IFERROR(INDEX(Sheet1!$B:$B,MATCH($A401,Sheet1!$A:$A,0)),""))</f>
        <v/>
      </c>
      <c r="C401" s="75">
        <f>IF($A401="","",PROPER(_xll.BDP($A401&amp;" Corp","NAME")))</f>
        <v/>
      </c>
      <c r="D401" s="76">
        <f>IF($A401="","",_xll.BDP($A401&amp;" Corp","CPN"))</f>
        <v/>
      </c>
      <c r="E401" s="75">
        <f>IF($A401="","",_xll.BDP($A401&amp;" Corp","PAYMENT_RANK"))</f>
        <v/>
      </c>
      <c r="F401" s="100">
        <f>IF($A401="","",_xll.BDP($A401&amp;" Corp","MATURITY"))</f>
        <v/>
      </c>
      <c r="G401" s="75">
        <f>IF($A401="","",PROPER(_xll.BDP($A401&amp;" Corp","COUNTRY_FULL_NAME")))</f>
        <v/>
      </c>
      <c r="H401" s="75">
        <f>IF($A401="","",_xll.BDP($A401&amp;" Corp","INDUSTRY_SECTOR"))</f>
        <v/>
      </c>
      <c r="I401" s="101">
        <f>IF($A401="","",IFERROR(_xll.BDP($A401&amp;" Corp","MIN_PIECE")/1000,""))</f>
        <v/>
      </c>
      <c r="J401" s="31">
        <f>IF($A401="","",_xll.BDP($A401&amp;" Corp","PX_LAST"))</f>
        <v/>
      </c>
      <c r="K401" s="31">
        <f>IF($A401="","",_xll.BDP($A401&amp;" Corp","YAS_BOND_YLD","YAS_YLD_FLAG=15"))</f>
        <v/>
      </c>
      <c r="L401" s="31">
        <f>IF($A401="","",K401-_xll.BDP($A401&amp;" Corp","YAS_BOND_YLD","YAS_YLD_FLAG=15","SETTLE_DT",Company_desc!$A$1))</f>
        <v/>
      </c>
      <c r="M401" s="31">
        <f>IF($A401="","",K401-_xll.BDP($A401&amp;" Corp","YAS_BOND_YLD","YAS_YLD_FLAG=15","SETTLE_DT",Company_desc!$A$2))</f>
        <v/>
      </c>
      <c r="N401" s="79">
        <f>IF($A401="","",_xll.BDP($A401&amp;" Corp","YAS_OAS_SPRD"))</f>
        <v/>
      </c>
      <c r="O401" s="67">
        <f>IF($A401="","",_xll.BDP($A401&amp;" Corp","YAS_MOD_DUR"))</f>
        <v/>
      </c>
      <c r="P401" s="80">
        <f>IF($A401="","",IFERROR(INDEX(Sheet1!$P:$P,MATCH($A401,Sheet1!$A:$A,0)),""))</f>
        <v/>
      </c>
      <c r="Q401" s="75">
        <f>IF($A401="","",IFERROR(INDEX(Company_desc!$C:$C,MATCH($A401,Company_desc!$A:$A,0)),IFERROR(INDEX(Sheet1!$Q:$Q,MATCH($A401,Sheet1!$A:$A,0)),"")))</f>
        <v/>
      </c>
      <c r="R401" s="75">
        <f>IF($A401="","",_xll.BDP($A401&amp;" Corp","CRNCY"))</f>
        <v/>
      </c>
      <c r="S401" s="75">
        <f>IF($A401="","",IFERROR(INDEX(Sheet1!$S:$S,MATCH($A401,Sheet1!$A:$A,0)),""))</f>
        <v/>
      </c>
      <c r="T401" s="75">
        <f>IF($A401="","",IFERROR(INDEX(Sheet1!$T:$T,MATCH($A401,Sheet1!$A:$A,0)),_xll.BDP($A401&amp;" Corp","RTG_SP")))</f>
        <v/>
      </c>
      <c r="U401" s="75">
        <f>IF($A401="","",IFERROR(INDEX(Sheet1!$U:$U,MATCH($A401,Sheet1!$A:$A,0)),""))</f>
        <v/>
      </c>
      <c r="W401" s="81">
        <f>IF($A401="","",N401-_xll.BDP($A401&amp;" Corp","YAS_OAS_SPRD","SETTLE_DT",Company_desc!$A$1))</f>
        <v/>
      </c>
      <c r="X401" s="81">
        <f>IF($A401="","",N401-_xll.BDP($A401&amp;" Corp","YAS_OAS_SPRD","SETTLE_DT",Company_desc!$A$2))</f>
        <v/>
      </c>
      <c r="Y401" s="80">
        <f>IF($A401="","",N401-_xll.BDP($A401&amp;" Corp","YAS_OAS_SPRD","SETTLE_DT",Company_desc!$D$1))</f>
        <v/>
      </c>
      <c r="Z401" s="82">
        <f>IF($A401="","",K401-_xll.BDP($A401&amp;" Corp","YAS_BOND_YLD","YAS_YLD_FLAG=15","SETTLE_DT",Company_desc!$D$1))</f>
        <v/>
      </c>
      <c r="AA401" s="80">
        <f>IF($A401="","",_xll.BDP($A401&amp;" Corp","YAS_OAS_SPRD","SETTLE_DT",Company_desc!$D$1))</f>
        <v/>
      </c>
    </row>
    <row r="402">
      <c r="B402" s="75">
        <f>IF($A402="","",IFERROR(INDEX(Sheet1!$B:$B,MATCH($A402,Sheet1!$A:$A,0)),""))</f>
        <v/>
      </c>
      <c r="C402" s="75">
        <f>IF($A402="","",PROPER(_xll.BDP($A402&amp;" Corp","NAME")))</f>
        <v/>
      </c>
      <c r="D402" s="76">
        <f>IF($A402="","",_xll.BDP($A402&amp;" Corp","CPN"))</f>
        <v/>
      </c>
      <c r="E402" s="75">
        <f>IF($A402="","",_xll.BDP($A402&amp;" Corp","PAYMENT_RANK"))</f>
        <v/>
      </c>
      <c r="F402" s="100">
        <f>IF($A402="","",_xll.BDP($A402&amp;" Corp","MATURITY"))</f>
        <v/>
      </c>
      <c r="G402" s="75">
        <f>IF($A402="","",PROPER(_xll.BDP($A402&amp;" Corp","COUNTRY_FULL_NAME")))</f>
        <v/>
      </c>
      <c r="H402" s="75">
        <f>IF($A402="","",_xll.BDP($A402&amp;" Corp","INDUSTRY_SECTOR"))</f>
        <v/>
      </c>
      <c r="I402" s="101">
        <f>IF($A402="","",IFERROR(_xll.BDP($A402&amp;" Corp","MIN_PIECE")/1000,""))</f>
        <v/>
      </c>
      <c r="J402" s="31">
        <f>IF($A402="","",_xll.BDP($A402&amp;" Corp","PX_LAST"))</f>
        <v/>
      </c>
      <c r="K402" s="31">
        <f>IF($A402="","",_xll.BDP($A402&amp;" Corp","YAS_BOND_YLD","YAS_YLD_FLAG=15"))</f>
        <v/>
      </c>
      <c r="L402" s="31">
        <f>IF($A402="","",K402-_xll.BDP($A402&amp;" Corp","YAS_BOND_YLD","YAS_YLD_FLAG=15","SETTLE_DT",Company_desc!$A$1))</f>
        <v/>
      </c>
      <c r="M402" s="31">
        <f>IF($A402="","",K402-_xll.BDP($A402&amp;" Corp","YAS_BOND_YLD","YAS_YLD_FLAG=15","SETTLE_DT",Company_desc!$A$2))</f>
        <v/>
      </c>
      <c r="N402" s="79">
        <f>IF($A402="","",_xll.BDP($A402&amp;" Corp","YAS_OAS_SPRD"))</f>
        <v/>
      </c>
      <c r="O402" s="67">
        <f>IF($A402="","",_xll.BDP($A402&amp;" Corp","YAS_MOD_DUR"))</f>
        <v/>
      </c>
      <c r="P402" s="80">
        <f>IF($A402="","",IFERROR(INDEX(Sheet1!$P:$P,MATCH($A402,Sheet1!$A:$A,0)),""))</f>
        <v/>
      </c>
      <c r="Q402" s="75">
        <f>IF($A402="","",IFERROR(INDEX(Company_desc!$C:$C,MATCH($A402,Company_desc!$A:$A,0)),IFERROR(INDEX(Sheet1!$Q:$Q,MATCH($A402,Sheet1!$A:$A,0)),"")))</f>
        <v/>
      </c>
      <c r="R402" s="75">
        <f>IF($A402="","",_xll.BDP($A402&amp;" Corp","CRNCY"))</f>
        <v/>
      </c>
      <c r="S402" s="75">
        <f>IF($A402="","",IFERROR(INDEX(Sheet1!$S:$S,MATCH($A402,Sheet1!$A:$A,0)),""))</f>
        <v/>
      </c>
      <c r="T402" s="75">
        <f>IF($A402="","",IFERROR(INDEX(Sheet1!$T:$T,MATCH($A402,Sheet1!$A:$A,0)),_xll.BDP($A402&amp;" Corp","RTG_SP")))</f>
        <v/>
      </c>
      <c r="U402" s="75">
        <f>IF($A402="","",IFERROR(INDEX(Sheet1!$U:$U,MATCH($A402,Sheet1!$A:$A,0)),""))</f>
        <v/>
      </c>
      <c r="W402" s="81">
        <f>IF($A402="","",N402-_xll.BDP($A402&amp;" Corp","YAS_OAS_SPRD","SETTLE_DT",Company_desc!$A$1))</f>
        <v/>
      </c>
      <c r="X402" s="81">
        <f>IF($A402="","",N402-_xll.BDP($A402&amp;" Corp","YAS_OAS_SPRD","SETTLE_DT",Company_desc!$A$2))</f>
        <v/>
      </c>
      <c r="Y402" s="80">
        <f>IF($A402="","",N402-_xll.BDP($A402&amp;" Corp","YAS_OAS_SPRD","SETTLE_DT",Company_desc!$D$1))</f>
        <v/>
      </c>
      <c r="Z402" s="82">
        <f>IF($A402="","",K402-_xll.BDP($A402&amp;" Corp","YAS_BOND_YLD","YAS_YLD_FLAG=15","SETTLE_DT",Company_desc!$D$1))</f>
        <v/>
      </c>
      <c r="AA402" s="80">
        <f>IF($A402="","",_xll.BDP($A402&amp;" Corp","YAS_OAS_SPRD","SETTLE_DT",Company_desc!$D$1))</f>
        <v/>
      </c>
    </row>
    <row r="403">
      <c r="B403" s="75">
        <f>IF($A403="","",IFERROR(INDEX(Sheet1!$B:$B,MATCH($A403,Sheet1!$A:$A,0)),""))</f>
        <v/>
      </c>
      <c r="C403" s="75">
        <f>IF($A403="","",PROPER(_xll.BDP($A403&amp;" Corp","NAME")))</f>
        <v/>
      </c>
      <c r="D403" s="76">
        <f>IF($A403="","",_xll.BDP($A403&amp;" Corp","CPN"))</f>
        <v/>
      </c>
      <c r="E403" s="75">
        <f>IF($A403="","",_xll.BDP($A403&amp;" Corp","PAYMENT_RANK"))</f>
        <v/>
      </c>
      <c r="F403" s="100">
        <f>IF($A403="","",_xll.BDP($A403&amp;" Corp","MATURITY"))</f>
        <v/>
      </c>
      <c r="G403" s="75">
        <f>IF($A403="","",PROPER(_xll.BDP($A403&amp;" Corp","COUNTRY_FULL_NAME")))</f>
        <v/>
      </c>
      <c r="H403" s="75">
        <f>IF($A403="","",_xll.BDP($A403&amp;" Corp","INDUSTRY_SECTOR"))</f>
        <v/>
      </c>
      <c r="I403" s="101">
        <f>IF($A403="","",IFERROR(_xll.BDP($A403&amp;" Corp","MIN_PIECE")/1000,""))</f>
        <v/>
      </c>
      <c r="J403" s="31">
        <f>IF($A403="","",_xll.BDP($A403&amp;" Corp","PX_LAST"))</f>
        <v/>
      </c>
      <c r="K403" s="31">
        <f>IF($A403="","",_xll.BDP($A403&amp;" Corp","YAS_BOND_YLD","YAS_YLD_FLAG=15"))</f>
        <v/>
      </c>
      <c r="L403" s="31">
        <f>IF($A403="","",K403-_xll.BDP($A403&amp;" Corp","YAS_BOND_YLD","YAS_YLD_FLAG=15","SETTLE_DT",Company_desc!$A$1))</f>
        <v/>
      </c>
      <c r="M403" s="31">
        <f>IF($A403="","",K403-_xll.BDP($A403&amp;" Corp","YAS_BOND_YLD","YAS_YLD_FLAG=15","SETTLE_DT",Company_desc!$A$2))</f>
        <v/>
      </c>
      <c r="N403" s="79">
        <f>IF($A403="","",_xll.BDP($A403&amp;" Corp","YAS_OAS_SPRD"))</f>
        <v/>
      </c>
      <c r="O403" s="67">
        <f>IF($A403="","",_xll.BDP($A403&amp;" Corp","YAS_MOD_DUR"))</f>
        <v/>
      </c>
      <c r="P403" s="80">
        <f>IF($A403="","",IFERROR(INDEX(Sheet1!$P:$P,MATCH($A403,Sheet1!$A:$A,0)),""))</f>
        <v/>
      </c>
      <c r="Q403" s="75">
        <f>IF($A403="","",IFERROR(INDEX(Company_desc!$C:$C,MATCH($A403,Company_desc!$A:$A,0)),IFERROR(INDEX(Sheet1!$Q:$Q,MATCH($A403,Sheet1!$A:$A,0)),"")))</f>
        <v/>
      </c>
      <c r="R403" s="75">
        <f>IF($A403="","",_xll.BDP($A403&amp;" Corp","CRNCY"))</f>
        <v/>
      </c>
      <c r="S403" s="75">
        <f>IF($A403="","",IFERROR(INDEX(Sheet1!$S:$S,MATCH($A403,Sheet1!$A:$A,0)),""))</f>
        <v/>
      </c>
      <c r="T403" s="75">
        <f>IF($A403="","",IFERROR(INDEX(Sheet1!$T:$T,MATCH($A403,Sheet1!$A:$A,0)),_xll.BDP($A403&amp;" Corp","RTG_SP")))</f>
        <v/>
      </c>
      <c r="U403" s="75">
        <f>IF($A403="","",IFERROR(INDEX(Sheet1!$U:$U,MATCH($A403,Sheet1!$A:$A,0)),""))</f>
        <v/>
      </c>
      <c r="W403" s="81">
        <f>IF($A403="","",N403-_xll.BDP($A403&amp;" Corp","YAS_OAS_SPRD","SETTLE_DT",Company_desc!$A$1))</f>
        <v/>
      </c>
      <c r="X403" s="81">
        <f>IF($A403="","",N403-_xll.BDP($A403&amp;" Corp","YAS_OAS_SPRD","SETTLE_DT",Company_desc!$A$2))</f>
        <v/>
      </c>
      <c r="Y403" s="80">
        <f>IF($A403="","",N403-_xll.BDP($A403&amp;" Corp","YAS_OAS_SPRD","SETTLE_DT",Company_desc!$D$1))</f>
        <v/>
      </c>
      <c r="Z403" s="82">
        <f>IF($A403="","",K403-_xll.BDP($A403&amp;" Corp","YAS_BOND_YLD","YAS_YLD_FLAG=15","SETTLE_DT",Company_desc!$D$1))</f>
        <v/>
      </c>
      <c r="AA403" s="80">
        <f>IF($A403="","",_xll.BDP($A403&amp;" Corp","YAS_OAS_SPRD","SETTLE_DT",Company_desc!$D$1))</f>
        <v/>
      </c>
    </row>
    <row r="404">
      <c r="B404" s="75">
        <f>IF($A404="","",IFERROR(INDEX(Sheet1!$B:$B,MATCH($A404,Sheet1!$A:$A,0)),""))</f>
        <v/>
      </c>
      <c r="C404" s="75">
        <f>IF($A404="","",PROPER(_xll.BDP($A404&amp;" Corp","NAME")))</f>
        <v/>
      </c>
      <c r="D404" s="76">
        <f>IF($A404="","",_xll.BDP($A404&amp;" Corp","CPN"))</f>
        <v/>
      </c>
      <c r="E404" s="75">
        <f>IF($A404="","",_xll.BDP($A404&amp;" Corp","PAYMENT_RANK"))</f>
        <v/>
      </c>
      <c r="F404" s="100">
        <f>IF($A404="","",_xll.BDP($A404&amp;" Corp","MATURITY"))</f>
        <v/>
      </c>
      <c r="G404" s="75">
        <f>IF($A404="","",PROPER(_xll.BDP($A404&amp;" Corp","COUNTRY_FULL_NAME")))</f>
        <v/>
      </c>
      <c r="H404" s="75">
        <f>IF($A404="","",_xll.BDP($A404&amp;" Corp","INDUSTRY_SECTOR"))</f>
        <v/>
      </c>
      <c r="I404" s="101">
        <f>IF($A404="","",IFERROR(_xll.BDP($A404&amp;" Corp","MIN_PIECE")/1000,""))</f>
        <v/>
      </c>
      <c r="J404" s="31">
        <f>IF($A404="","",_xll.BDP($A404&amp;" Corp","PX_LAST"))</f>
        <v/>
      </c>
      <c r="K404" s="31">
        <f>IF($A404="","",_xll.BDP($A404&amp;" Corp","YAS_BOND_YLD","YAS_YLD_FLAG=15"))</f>
        <v/>
      </c>
      <c r="L404" s="31">
        <f>IF($A404="","",K404-_xll.BDP($A404&amp;" Corp","YAS_BOND_YLD","YAS_YLD_FLAG=15","SETTLE_DT",Company_desc!$A$1))</f>
        <v/>
      </c>
      <c r="M404" s="31">
        <f>IF($A404="","",K404-_xll.BDP($A404&amp;" Corp","YAS_BOND_YLD","YAS_YLD_FLAG=15","SETTLE_DT",Company_desc!$A$2))</f>
        <v/>
      </c>
      <c r="N404" s="79">
        <f>IF($A404="","",_xll.BDP($A404&amp;" Corp","YAS_OAS_SPRD"))</f>
        <v/>
      </c>
      <c r="O404" s="67">
        <f>IF($A404="","",_xll.BDP($A404&amp;" Corp","YAS_MOD_DUR"))</f>
        <v/>
      </c>
      <c r="P404" s="80">
        <f>IF($A404="","",IFERROR(INDEX(Sheet1!$P:$P,MATCH($A404,Sheet1!$A:$A,0)),""))</f>
        <v/>
      </c>
      <c r="Q404" s="75">
        <f>IF($A404="","",IFERROR(INDEX(Company_desc!$C:$C,MATCH($A404,Company_desc!$A:$A,0)),IFERROR(INDEX(Sheet1!$Q:$Q,MATCH($A404,Sheet1!$A:$A,0)),"")))</f>
        <v/>
      </c>
      <c r="R404" s="75">
        <f>IF($A404="","",_xll.BDP($A404&amp;" Corp","CRNCY"))</f>
        <v/>
      </c>
      <c r="S404" s="75">
        <f>IF($A404="","",IFERROR(INDEX(Sheet1!$S:$S,MATCH($A404,Sheet1!$A:$A,0)),""))</f>
        <v/>
      </c>
      <c r="T404" s="75">
        <f>IF($A404="","",IFERROR(INDEX(Sheet1!$T:$T,MATCH($A404,Sheet1!$A:$A,0)),_xll.BDP($A404&amp;" Corp","RTG_SP")))</f>
        <v/>
      </c>
      <c r="U404" s="75">
        <f>IF($A404="","",IFERROR(INDEX(Sheet1!$U:$U,MATCH($A404,Sheet1!$A:$A,0)),""))</f>
        <v/>
      </c>
      <c r="W404" s="81">
        <f>IF($A404="","",N404-_xll.BDP($A404&amp;" Corp","YAS_OAS_SPRD","SETTLE_DT",Company_desc!$A$1))</f>
        <v/>
      </c>
      <c r="X404" s="81">
        <f>IF($A404="","",N404-_xll.BDP($A404&amp;" Corp","YAS_OAS_SPRD","SETTLE_DT",Company_desc!$A$2))</f>
        <v/>
      </c>
      <c r="Y404" s="80">
        <f>IF($A404="","",N404-_xll.BDP($A404&amp;" Corp","YAS_OAS_SPRD","SETTLE_DT",Company_desc!$D$1))</f>
        <v/>
      </c>
      <c r="Z404" s="82">
        <f>IF($A404="","",K404-_xll.BDP($A404&amp;" Corp","YAS_BOND_YLD","YAS_YLD_FLAG=15","SETTLE_DT",Company_desc!$D$1))</f>
        <v/>
      </c>
      <c r="AA404" s="80">
        <f>IF($A404="","",_xll.BDP($A404&amp;" Corp","YAS_OAS_SPRD","SETTLE_DT",Company_desc!$D$1))</f>
        <v/>
      </c>
    </row>
    <row r="405">
      <c r="B405" s="75">
        <f>IF($A405="","",IFERROR(INDEX(Sheet1!$B:$B,MATCH($A405,Sheet1!$A:$A,0)),""))</f>
        <v/>
      </c>
      <c r="C405" s="75">
        <f>IF($A405="","",PROPER(_xll.BDP($A405&amp;" Corp","NAME")))</f>
        <v/>
      </c>
      <c r="D405" s="76">
        <f>IF($A405="","",_xll.BDP($A405&amp;" Corp","CPN"))</f>
        <v/>
      </c>
      <c r="E405" s="75">
        <f>IF($A405="","",_xll.BDP($A405&amp;" Corp","PAYMENT_RANK"))</f>
        <v/>
      </c>
      <c r="F405" s="100">
        <f>IF($A405="","",_xll.BDP($A405&amp;" Corp","MATURITY"))</f>
        <v/>
      </c>
      <c r="G405" s="75">
        <f>IF($A405="","",PROPER(_xll.BDP($A405&amp;" Corp","COUNTRY_FULL_NAME")))</f>
        <v/>
      </c>
      <c r="H405" s="75">
        <f>IF($A405="","",_xll.BDP($A405&amp;" Corp","INDUSTRY_SECTOR"))</f>
        <v/>
      </c>
      <c r="I405" s="101">
        <f>IF($A405="","",IFERROR(_xll.BDP($A405&amp;" Corp","MIN_PIECE")/1000,""))</f>
        <v/>
      </c>
      <c r="J405" s="31">
        <f>IF($A405="","",_xll.BDP($A405&amp;" Corp","PX_LAST"))</f>
        <v/>
      </c>
      <c r="K405" s="31">
        <f>IF($A405="","",_xll.BDP($A405&amp;" Corp","YAS_BOND_YLD","YAS_YLD_FLAG=15"))</f>
        <v/>
      </c>
      <c r="L405" s="31">
        <f>IF($A405="","",K405-_xll.BDP($A405&amp;" Corp","YAS_BOND_YLD","YAS_YLD_FLAG=15","SETTLE_DT",Company_desc!$A$1))</f>
        <v/>
      </c>
      <c r="M405" s="31">
        <f>IF($A405="","",K405-_xll.BDP($A405&amp;" Corp","YAS_BOND_YLD","YAS_YLD_FLAG=15","SETTLE_DT",Company_desc!$A$2))</f>
        <v/>
      </c>
      <c r="N405" s="79">
        <f>IF($A405="","",_xll.BDP($A405&amp;" Corp","YAS_OAS_SPRD"))</f>
        <v/>
      </c>
      <c r="O405" s="67">
        <f>IF($A405="","",_xll.BDP($A405&amp;" Corp","YAS_MOD_DUR"))</f>
        <v/>
      </c>
      <c r="P405" s="80">
        <f>IF($A405="","",IFERROR(INDEX(Sheet1!$P:$P,MATCH($A405,Sheet1!$A:$A,0)),""))</f>
        <v/>
      </c>
      <c r="Q405" s="75">
        <f>IF($A405="","",IFERROR(INDEX(Company_desc!$C:$C,MATCH($A405,Company_desc!$A:$A,0)),IFERROR(INDEX(Sheet1!$Q:$Q,MATCH($A405,Sheet1!$A:$A,0)),"")))</f>
        <v/>
      </c>
      <c r="R405" s="75">
        <f>IF($A405="","",_xll.BDP($A405&amp;" Corp","CRNCY"))</f>
        <v/>
      </c>
      <c r="S405" s="75">
        <f>IF($A405="","",IFERROR(INDEX(Sheet1!$S:$S,MATCH($A405,Sheet1!$A:$A,0)),""))</f>
        <v/>
      </c>
      <c r="T405" s="75">
        <f>IF($A405="","",IFERROR(INDEX(Sheet1!$T:$T,MATCH($A405,Sheet1!$A:$A,0)),_xll.BDP($A405&amp;" Corp","RTG_SP")))</f>
        <v/>
      </c>
      <c r="U405" s="75">
        <f>IF($A405="","",IFERROR(INDEX(Sheet1!$U:$U,MATCH($A405,Sheet1!$A:$A,0)),""))</f>
        <v/>
      </c>
      <c r="W405" s="81">
        <f>IF($A405="","",N405-_xll.BDP($A405&amp;" Corp","YAS_OAS_SPRD","SETTLE_DT",Company_desc!$A$1))</f>
        <v/>
      </c>
      <c r="X405" s="81">
        <f>IF($A405="","",N405-_xll.BDP($A405&amp;" Corp","YAS_OAS_SPRD","SETTLE_DT",Company_desc!$A$2))</f>
        <v/>
      </c>
      <c r="Y405" s="80">
        <f>IF($A405="","",N405-_xll.BDP($A405&amp;" Corp","YAS_OAS_SPRD","SETTLE_DT",Company_desc!$D$1))</f>
        <v/>
      </c>
      <c r="Z405" s="82">
        <f>IF($A405="","",K405-_xll.BDP($A405&amp;" Corp","YAS_BOND_YLD","YAS_YLD_FLAG=15","SETTLE_DT",Company_desc!$D$1))</f>
        <v/>
      </c>
      <c r="AA405" s="80">
        <f>IF($A405="","",_xll.BDP($A405&amp;" Corp","YAS_OAS_SPRD","SETTLE_DT",Company_desc!$D$1))</f>
        <v/>
      </c>
    </row>
    <row r="406">
      <c r="B406" s="75">
        <f>IF($A406="","",IFERROR(INDEX(Sheet1!$B:$B,MATCH($A406,Sheet1!$A:$A,0)),""))</f>
        <v/>
      </c>
      <c r="C406" s="75">
        <f>IF($A406="","",PROPER(_xll.BDP($A406&amp;" Corp","NAME")))</f>
        <v/>
      </c>
      <c r="D406" s="76">
        <f>IF($A406="","",_xll.BDP($A406&amp;" Corp","CPN"))</f>
        <v/>
      </c>
      <c r="E406" s="75">
        <f>IF($A406="","",_xll.BDP($A406&amp;" Corp","PAYMENT_RANK"))</f>
        <v/>
      </c>
      <c r="F406" s="100">
        <f>IF($A406="","",_xll.BDP($A406&amp;" Corp","MATURITY"))</f>
        <v/>
      </c>
      <c r="G406" s="75">
        <f>IF($A406="","",PROPER(_xll.BDP($A406&amp;" Corp","COUNTRY_FULL_NAME")))</f>
        <v/>
      </c>
      <c r="H406" s="75">
        <f>IF($A406="","",_xll.BDP($A406&amp;" Corp","INDUSTRY_SECTOR"))</f>
        <v/>
      </c>
      <c r="I406" s="101">
        <f>IF($A406="","",IFERROR(_xll.BDP($A406&amp;" Corp","MIN_PIECE")/1000,""))</f>
        <v/>
      </c>
      <c r="J406" s="31">
        <f>IF($A406="","",_xll.BDP($A406&amp;" Corp","PX_LAST"))</f>
        <v/>
      </c>
      <c r="K406" s="31">
        <f>IF($A406="","",_xll.BDP($A406&amp;" Corp","YAS_BOND_YLD","YAS_YLD_FLAG=15"))</f>
        <v/>
      </c>
      <c r="L406" s="31">
        <f>IF($A406="","",K406-_xll.BDP($A406&amp;" Corp","YAS_BOND_YLD","YAS_YLD_FLAG=15","SETTLE_DT",Company_desc!$A$1))</f>
        <v/>
      </c>
      <c r="M406" s="31">
        <f>IF($A406="","",K406-_xll.BDP($A406&amp;" Corp","YAS_BOND_YLD","YAS_YLD_FLAG=15","SETTLE_DT",Company_desc!$A$2))</f>
        <v/>
      </c>
      <c r="N406" s="79">
        <f>IF($A406="","",_xll.BDP($A406&amp;" Corp","YAS_OAS_SPRD"))</f>
        <v/>
      </c>
      <c r="O406" s="67">
        <f>IF($A406="","",_xll.BDP($A406&amp;" Corp","YAS_MOD_DUR"))</f>
        <v/>
      </c>
      <c r="P406" s="80">
        <f>IF($A406="","",IFERROR(INDEX(Sheet1!$P:$P,MATCH($A406,Sheet1!$A:$A,0)),""))</f>
        <v/>
      </c>
      <c r="Q406" s="75">
        <f>IF($A406="","",IFERROR(INDEX(Company_desc!$C:$C,MATCH($A406,Company_desc!$A:$A,0)),IFERROR(INDEX(Sheet1!$Q:$Q,MATCH($A406,Sheet1!$A:$A,0)),"")))</f>
        <v/>
      </c>
      <c r="R406" s="75">
        <f>IF($A406="","",_xll.BDP($A406&amp;" Corp","CRNCY"))</f>
        <v/>
      </c>
      <c r="S406" s="75">
        <f>IF($A406="","",IFERROR(INDEX(Sheet1!$S:$S,MATCH($A406,Sheet1!$A:$A,0)),""))</f>
        <v/>
      </c>
      <c r="T406" s="75">
        <f>IF($A406="","",IFERROR(INDEX(Sheet1!$T:$T,MATCH($A406,Sheet1!$A:$A,0)),_xll.BDP($A406&amp;" Corp","RTG_SP")))</f>
        <v/>
      </c>
      <c r="U406" s="75">
        <f>IF($A406="","",IFERROR(INDEX(Sheet1!$U:$U,MATCH($A406,Sheet1!$A:$A,0)),""))</f>
        <v/>
      </c>
      <c r="W406" s="81">
        <f>IF($A406="","",N406-_xll.BDP($A406&amp;" Corp","YAS_OAS_SPRD","SETTLE_DT",Company_desc!$A$1))</f>
        <v/>
      </c>
      <c r="X406" s="81">
        <f>IF($A406="","",N406-_xll.BDP($A406&amp;" Corp","YAS_OAS_SPRD","SETTLE_DT",Company_desc!$A$2))</f>
        <v/>
      </c>
      <c r="Y406" s="80">
        <f>IF($A406="","",N406-_xll.BDP($A406&amp;" Corp","YAS_OAS_SPRD","SETTLE_DT",Company_desc!$D$1))</f>
        <v/>
      </c>
      <c r="Z406" s="82">
        <f>IF($A406="","",K406-_xll.BDP($A406&amp;" Corp","YAS_BOND_YLD","YAS_YLD_FLAG=15","SETTLE_DT",Company_desc!$D$1))</f>
        <v/>
      </c>
      <c r="AA406" s="80">
        <f>IF($A406="","",_xll.BDP($A406&amp;" Corp","YAS_OAS_SPRD","SETTLE_DT",Company_desc!$D$1))</f>
        <v/>
      </c>
    </row>
    <row r="407">
      <c r="B407" s="75">
        <f>IF($A407="","",IFERROR(INDEX(Sheet1!$B:$B,MATCH($A407,Sheet1!$A:$A,0)),""))</f>
        <v/>
      </c>
      <c r="C407" s="75">
        <f>IF($A407="","",PROPER(_xll.BDP($A407&amp;" Corp","NAME")))</f>
        <v/>
      </c>
      <c r="D407" s="76">
        <f>IF($A407="","",_xll.BDP($A407&amp;" Corp","CPN"))</f>
        <v/>
      </c>
      <c r="E407" s="75">
        <f>IF($A407="","",_xll.BDP($A407&amp;" Corp","PAYMENT_RANK"))</f>
        <v/>
      </c>
      <c r="F407" s="100">
        <f>IF($A407="","",_xll.BDP($A407&amp;" Corp","MATURITY"))</f>
        <v/>
      </c>
      <c r="G407" s="75">
        <f>IF($A407="","",PROPER(_xll.BDP($A407&amp;" Corp","COUNTRY_FULL_NAME")))</f>
        <v/>
      </c>
      <c r="H407" s="75">
        <f>IF($A407="","",_xll.BDP($A407&amp;" Corp","INDUSTRY_SECTOR"))</f>
        <v/>
      </c>
      <c r="I407" s="101">
        <f>IF($A407="","",IFERROR(_xll.BDP($A407&amp;" Corp","MIN_PIECE")/1000,""))</f>
        <v/>
      </c>
      <c r="J407" s="31">
        <f>IF($A407="","",_xll.BDP($A407&amp;" Corp","PX_LAST"))</f>
        <v/>
      </c>
      <c r="K407" s="31">
        <f>IF($A407="","",_xll.BDP($A407&amp;" Corp","YAS_BOND_YLD","YAS_YLD_FLAG=15"))</f>
        <v/>
      </c>
      <c r="L407" s="31">
        <f>IF($A407="","",K407-_xll.BDP($A407&amp;" Corp","YAS_BOND_YLD","YAS_YLD_FLAG=15","SETTLE_DT",Company_desc!$A$1))</f>
        <v/>
      </c>
      <c r="M407" s="31">
        <f>IF($A407="","",K407-_xll.BDP($A407&amp;" Corp","YAS_BOND_YLD","YAS_YLD_FLAG=15","SETTLE_DT",Company_desc!$A$2))</f>
        <v/>
      </c>
      <c r="N407" s="79">
        <f>IF($A407="","",_xll.BDP($A407&amp;" Corp","YAS_OAS_SPRD"))</f>
        <v/>
      </c>
      <c r="O407" s="67">
        <f>IF($A407="","",_xll.BDP($A407&amp;" Corp","YAS_MOD_DUR"))</f>
        <v/>
      </c>
      <c r="P407" s="80">
        <f>IF($A407="","",IFERROR(INDEX(Sheet1!$P:$P,MATCH($A407,Sheet1!$A:$A,0)),""))</f>
        <v/>
      </c>
      <c r="Q407" s="75">
        <f>IF($A407="","",IFERROR(INDEX(Company_desc!$C:$C,MATCH($A407,Company_desc!$A:$A,0)),IFERROR(INDEX(Sheet1!$Q:$Q,MATCH($A407,Sheet1!$A:$A,0)),"")))</f>
        <v/>
      </c>
      <c r="R407" s="75">
        <f>IF($A407="","",_xll.BDP($A407&amp;" Corp","CRNCY"))</f>
        <v/>
      </c>
      <c r="S407" s="75">
        <f>IF($A407="","",IFERROR(INDEX(Sheet1!$S:$S,MATCH($A407,Sheet1!$A:$A,0)),""))</f>
        <v/>
      </c>
      <c r="T407" s="75">
        <f>IF($A407="","",IFERROR(INDEX(Sheet1!$T:$T,MATCH($A407,Sheet1!$A:$A,0)),_xll.BDP($A407&amp;" Corp","RTG_SP")))</f>
        <v/>
      </c>
      <c r="U407" s="75">
        <f>IF($A407="","",IFERROR(INDEX(Sheet1!$U:$U,MATCH($A407,Sheet1!$A:$A,0)),""))</f>
        <v/>
      </c>
      <c r="W407" s="81">
        <f>IF($A407="","",N407-_xll.BDP($A407&amp;" Corp","YAS_OAS_SPRD","SETTLE_DT",Company_desc!$A$1))</f>
        <v/>
      </c>
      <c r="X407" s="81">
        <f>IF($A407="","",N407-_xll.BDP($A407&amp;" Corp","YAS_OAS_SPRD","SETTLE_DT",Company_desc!$A$2))</f>
        <v/>
      </c>
      <c r="Y407" s="80">
        <f>IF($A407="","",N407-_xll.BDP($A407&amp;" Corp","YAS_OAS_SPRD","SETTLE_DT",Company_desc!$D$1))</f>
        <v/>
      </c>
      <c r="Z407" s="82">
        <f>IF($A407="","",K407-_xll.BDP($A407&amp;" Corp","YAS_BOND_YLD","YAS_YLD_FLAG=15","SETTLE_DT",Company_desc!$D$1))</f>
        <v/>
      </c>
      <c r="AA407" s="80">
        <f>IF($A407="","",_xll.BDP($A407&amp;" Corp","YAS_OAS_SPRD","SETTLE_DT",Company_desc!$D$1))</f>
        <v/>
      </c>
    </row>
    <row r="408">
      <c r="B408" s="75">
        <f>IF($A408="","",IFERROR(INDEX(Sheet1!$B:$B,MATCH($A408,Sheet1!$A:$A,0)),""))</f>
        <v/>
      </c>
      <c r="C408" s="75">
        <f>IF($A408="","",PROPER(_xll.BDP($A408&amp;" Corp","NAME")))</f>
        <v/>
      </c>
      <c r="D408" s="76">
        <f>IF($A408="","",_xll.BDP($A408&amp;" Corp","CPN"))</f>
        <v/>
      </c>
      <c r="E408" s="75">
        <f>IF($A408="","",_xll.BDP($A408&amp;" Corp","PAYMENT_RANK"))</f>
        <v/>
      </c>
      <c r="F408" s="100">
        <f>IF($A408="","",_xll.BDP($A408&amp;" Corp","MATURITY"))</f>
        <v/>
      </c>
      <c r="G408" s="75">
        <f>IF($A408="","",PROPER(_xll.BDP($A408&amp;" Corp","COUNTRY_FULL_NAME")))</f>
        <v/>
      </c>
      <c r="H408" s="75">
        <f>IF($A408="","",_xll.BDP($A408&amp;" Corp","INDUSTRY_SECTOR"))</f>
        <v/>
      </c>
      <c r="I408" s="101">
        <f>IF($A408="","",IFERROR(_xll.BDP($A408&amp;" Corp","MIN_PIECE")/1000,""))</f>
        <v/>
      </c>
      <c r="J408" s="31">
        <f>IF($A408="","",_xll.BDP($A408&amp;" Corp","PX_LAST"))</f>
        <v/>
      </c>
      <c r="K408" s="31">
        <f>IF($A408="","",_xll.BDP($A408&amp;" Corp","YAS_BOND_YLD","YAS_YLD_FLAG=15"))</f>
        <v/>
      </c>
      <c r="L408" s="31">
        <f>IF($A408="","",K408-_xll.BDP($A408&amp;" Corp","YAS_BOND_YLD","YAS_YLD_FLAG=15","SETTLE_DT",Company_desc!$A$1))</f>
        <v/>
      </c>
      <c r="M408" s="31">
        <f>IF($A408="","",K408-_xll.BDP($A408&amp;" Corp","YAS_BOND_YLD","YAS_YLD_FLAG=15","SETTLE_DT",Company_desc!$A$2))</f>
        <v/>
      </c>
      <c r="N408" s="79">
        <f>IF($A408="","",_xll.BDP($A408&amp;" Corp","YAS_OAS_SPRD"))</f>
        <v/>
      </c>
      <c r="O408" s="67">
        <f>IF($A408="","",_xll.BDP($A408&amp;" Corp","YAS_MOD_DUR"))</f>
        <v/>
      </c>
      <c r="P408" s="80">
        <f>IF($A408="","",IFERROR(INDEX(Sheet1!$P:$P,MATCH($A408,Sheet1!$A:$A,0)),""))</f>
        <v/>
      </c>
      <c r="Q408" s="75">
        <f>IF($A408="","",IFERROR(INDEX(Company_desc!$C:$C,MATCH($A408,Company_desc!$A:$A,0)),IFERROR(INDEX(Sheet1!$Q:$Q,MATCH($A408,Sheet1!$A:$A,0)),"")))</f>
        <v/>
      </c>
      <c r="R408" s="75">
        <f>IF($A408="","",_xll.BDP($A408&amp;" Corp","CRNCY"))</f>
        <v/>
      </c>
      <c r="S408" s="75">
        <f>IF($A408="","",IFERROR(INDEX(Sheet1!$S:$S,MATCH($A408,Sheet1!$A:$A,0)),""))</f>
        <v/>
      </c>
      <c r="T408" s="75">
        <f>IF($A408="","",IFERROR(INDEX(Sheet1!$T:$T,MATCH($A408,Sheet1!$A:$A,0)),_xll.BDP($A408&amp;" Corp","RTG_SP")))</f>
        <v/>
      </c>
      <c r="U408" s="83">
        <f>IF($A408="","",IFERROR(INDEX(Sheet1!$U:$U,MATCH($A408,Sheet1!$A:$A,0)),""))</f>
        <v/>
      </c>
      <c r="W408" s="81">
        <f>IF($A408="","",N408-_xll.BDP($A408&amp;" Corp","YAS_OAS_SPRD","SETTLE_DT",Company_desc!$A$1))</f>
        <v/>
      </c>
      <c r="X408" s="81">
        <f>IF($A408="","",N408-_xll.BDP($A408&amp;" Corp","YAS_OAS_SPRD","SETTLE_DT",Company_desc!$A$2))</f>
        <v/>
      </c>
      <c r="Y408" s="80">
        <f>IF($A408="","",N408-_xll.BDP($A408&amp;" Corp","YAS_OAS_SPRD","SETTLE_DT",Company_desc!$D$1))</f>
        <v/>
      </c>
      <c r="Z408" s="82">
        <f>IF($A408="","",K408-_xll.BDP($A408&amp;" Corp","YAS_BOND_YLD","YAS_YLD_FLAG=15","SETTLE_DT",Company_desc!$D$1))</f>
        <v/>
      </c>
      <c r="AA408" s="80">
        <f>IF($A408="","",_xll.BDP($A408&amp;" Corp","YAS_OAS_SPRD","SETTLE_DT",Company_desc!$D$1))</f>
        <v/>
      </c>
    </row>
    <row r="409">
      <c r="B409" s="75">
        <f>IF($A409="","",IFERROR(INDEX(Sheet1!$B:$B,MATCH($A409,Sheet1!$A:$A,0)),""))</f>
        <v/>
      </c>
      <c r="C409" s="75">
        <f>IF($A409="","",PROPER(_xll.BDP($A409&amp;" Corp","NAME")))</f>
        <v/>
      </c>
      <c r="D409" s="76">
        <f>IF($A409="","",_xll.BDP($A409&amp;" Corp","CPN"))</f>
        <v/>
      </c>
      <c r="E409" s="75">
        <f>IF($A409="","",_xll.BDP($A409&amp;" Corp","PAYMENT_RANK"))</f>
        <v/>
      </c>
      <c r="F409" s="100">
        <f>IF($A409="","",_xll.BDP($A409&amp;" Corp","MATURITY"))</f>
        <v/>
      </c>
      <c r="G409" s="75">
        <f>IF($A409="","",PROPER(_xll.BDP($A409&amp;" Corp","COUNTRY_FULL_NAME")))</f>
        <v/>
      </c>
      <c r="H409" s="75">
        <f>IF($A409="","",_xll.BDP($A409&amp;" Corp","INDUSTRY_SECTOR"))</f>
        <v/>
      </c>
      <c r="I409" s="101">
        <f>IF($A409="","",IFERROR(_xll.BDP($A409&amp;" Corp","MIN_PIECE")/1000,""))</f>
        <v/>
      </c>
      <c r="J409" s="31">
        <f>IF($A409="","",_xll.BDP($A409&amp;" Corp","PX_LAST"))</f>
        <v/>
      </c>
      <c r="K409" s="31">
        <f>IF($A409="","",_xll.BDP($A409&amp;" Corp","YAS_BOND_YLD","YAS_YLD_FLAG=15"))</f>
        <v/>
      </c>
      <c r="L409" s="31">
        <f>IF($A409="","",K409-_xll.BDP($A409&amp;" Corp","YAS_BOND_YLD","YAS_YLD_FLAG=15","SETTLE_DT",Company_desc!$A$1))</f>
        <v/>
      </c>
      <c r="M409" s="31">
        <f>IF($A409="","",K409-_xll.BDP($A409&amp;" Corp","YAS_BOND_YLD","YAS_YLD_FLAG=15","SETTLE_DT",Company_desc!$A$2))</f>
        <v/>
      </c>
      <c r="N409" s="79">
        <f>IF($A409="","",_xll.BDP($A409&amp;" Corp","YAS_OAS_SPRD"))</f>
        <v/>
      </c>
      <c r="O409" s="82">
        <f>IF($A409="","",_xll.BDP($A409&amp;" Corp","YAS_MOD_DUR"))</f>
        <v/>
      </c>
      <c r="P409" s="80">
        <f>IF($A409="","",IFERROR(INDEX(Sheet1!$P:$P,MATCH($A409,Sheet1!$A:$A,0)),""))</f>
        <v/>
      </c>
      <c r="Q409" s="75">
        <f>IF($A409="","",IFERROR(INDEX(Company_desc!$C:$C,MATCH($A409,Company_desc!$A:$A,0)),IFERROR(INDEX(Sheet1!$Q:$Q,MATCH($A409,Sheet1!$A:$A,0)),"")))</f>
        <v/>
      </c>
      <c r="R409" s="75">
        <f>IF($A409="","",_xll.BDP($A409&amp;" Corp","CRNCY"))</f>
        <v/>
      </c>
      <c r="S409" s="75">
        <f>IF($A409="","",IFERROR(INDEX(Sheet1!$S:$S,MATCH($A409,Sheet1!$A:$A,0)),""))</f>
        <v/>
      </c>
      <c r="T409" s="75">
        <f>IF($A409="","",IFERROR(INDEX(Sheet1!$T:$T,MATCH($A409,Sheet1!$A:$A,0)),_xll.BDP($A409&amp;" Corp","RTG_SP")))</f>
        <v/>
      </c>
      <c r="U409" s="75">
        <f>IF($A409="","",IFERROR(INDEX(Sheet1!$U:$U,MATCH($A409,Sheet1!$A:$A,0)),""))</f>
        <v/>
      </c>
      <c r="W409" s="81">
        <f>IF($A409="","",N409-_xll.BDP($A409&amp;" Corp","YAS_OAS_SPRD","SETTLE_DT",Company_desc!$A$1))</f>
        <v/>
      </c>
      <c r="X409" s="81">
        <f>IF($A409="","",N409-_xll.BDP($A409&amp;" Corp","YAS_OAS_SPRD","SETTLE_DT",Company_desc!$A$2))</f>
        <v/>
      </c>
      <c r="Y409" s="80">
        <f>IF($A409="","",N409-_xll.BDP($A409&amp;" Corp","YAS_OAS_SPRD","SETTLE_DT",Company_desc!$D$1))</f>
        <v/>
      </c>
      <c r="Z409" s="82">
        <f>IF($A409="","",K409-_xll.BDP($A409&amp;" Corp","YAS_BOND_YLD","YAS_YLD_FLAG=15","SETTLE_DT",Company_desc!$D$1))</f>
        <v/>
      </c>
      <c r="AA409" s="80">
        <f>IF($A409="","",_xll.BDP($A409&amp;" Corp","YAS_OAS_SPRD","SETTLE_DT",Company_desc!$D$1))</f>
        <v/>
      </c>
    </row>
    <row r="410">
      <c r="B410" s="75">
        <f>IF($A410="","",IFERROR(INDEX(Sheet1!$B:$B,MATCH($A410,Sheet1!$A:$A,0)),""))</f>
        <v/>
      </c>
      <c r="C410" s="75">
        <f>IF($A410="","",PROPER(_xll.BDP($A410&amp;" Corp","NAME")))</f>
        <v/>
      </c>
      <c r="D410" s="76">
        <f>IF($A410="","",_xll.BDP($A410&amp;" Corp","CPN"))</f>
        <v/>
      </c>
      <c r="E410" s="75">
        <f>IF($A410="","",_xll.BDP($A410&amp;" Corp","PAYMENT_RANK"))</f>
        <v/>
      </c>
      <c r="F410" s="100">
        <f>IF($A410="","",_xll.BDP($A410&amp;" Corp","MATURITY"))</f>
        <v/>
      </c>
      <c r="G410" s="75">
        <f>IF($A410="","",PROPER(_xll.BDP($A410&amp;" Corp","COUNTRY_FULL_NAME")))</f>
        <v/>
      </c>
      <c r="H410" s="75">
        <f>IF($A410="","",_xll.BDP($A410&amp;" Corp","INDUSTRY_SECTOR"))</f>
        <v/>
      </c>
      <c r="I410" s="101">
        <f>IF($A410="","",IFERROR(_xll.BDP($A410&amp;" Corp","MIN_PIECE")/1000,""))</f>
        <v/>
      </c>
      <c r="J410" s="31">
        <f>IF($A410="","",_xll.BDP($A410&amp;" Corp","PX_LAST"))</f>
        <v/>
      </c>
      <c r="K410" s="31">
        <f>IF($A410="","",_xll.BDP($A410&amp;" Corp","YAS_BOND_YLD","YAS_YLD_FLAG=15"))</f>
        <v/>
      </c>
      <c r="L410" s="31">
        <f>IF($A410="","",K410-_xll.BDP($A410&amp;" Corp","YAS_BOND_YLD","YAS_YLD_FLAG=15","SETTLE_DT",Company_desc!$A$1))</f>
        <v/>
      </c>
      <c r="M410" s="31">
        <f>IF($A410="","",K410-_xll.BDP($A410&amp;" Corp","YAS_BOND_YLD","YAS_YLD_FLAG=15","SETTLE_DT",Company_desc!$A$2))</f>
        <v/>
      </c>
      <c r="N410" s="79">
        <f>IF($A410="","",_xll.BDP($A410&amp;" Corp","YAS_OAS_SPRD"))</f>
        <v/>
      </c>
      <c r="O410" s="67">
        <f>IF($A410="","",_xll.BDP($A410&amp;" Corp","YAS_MOD_DUR"))</f>
        <v/>
      </c>
      <c r="P410" s="80">
        <f>IF($A410="","",IFERROR(INDEX(Sheet1!$P:$P,MATCH($A410,Sheet1!$A:$A,0)),""))</f>
        <v/>
      </c>
      <c r="Q410" s="75">
        <f>IF($A410="","",IFERROR(INDEX(Company_desc!$C:$C,MATCH($A410,Company_desc!$A:$A,0)),IFERROR(INDEX(Sheet1!$Q:$Q,MATCH($A410,Sheet1!$A:$A,0)),"")))</f>
        <v/>
      </c>
      <c r="R410" s="75">
        <f>IF($A410="","",_xll.BDP($A410&amp;" Corp","CRNCY"))</f>
        <v/>
      </c>
      <c r="S410" s="75">
        <f>IF($A410="","",IFERROR(INDEX(Sheet1!$S:$S,MATCH($A410,Sheet1!$A:$A,0)),""))</f>
        <v/>
      </c>
      <c r="T410" s="75">
        <f>IF($A410="","",IFERROR(INDEX(Sheet1!$T:$T,MATCH($A410,Sheet1!$A:$A,0)),_xll.BDP($A410&amp;" Corp","RTG_SP")))</f>
        <v/>
      </c>
      <c r="U410" s="75">
        <f>IF($A410="","",IFERROR(INDEX(Sheet1!$U:$U,MATCH($A410,Sheet1!$A:$A,0)),""))</f>
        <v/>
      </c>
      <c r="W410" s="81">
        <f>IF($A410="","",N410-_xll.BDP($A410&amp;" Corp","YAS_OAS_SPRD","SETTLE_DT",Company_desc!$A$1))</f>
        <v/>
      </c>
      <c r="X410" s="81">
        <f>IF($A410="","",N410-_xll.BDP($A410&amp;" Corp","YAS_OAS_SPRD","SETTLE_DT",Company_desc!$A$2))</f>
        <v/>
      </c>
      <c r="Y410" s="80">
        <f>IF($A410="","",N410-_xll.BDP($A410&amp;" Corp","YAS_OAS_SPRD","SETTLE_DT",Company_desc!$D$1))</f>
        <v/>
      </c>
      <c r="Z410" s="82">
        <f>IF($A410="","",K410-_xll.BDP($A410&amp;" Corp","YAS_BOND_YLD","YAS_YLD_FLAG=15","SETTLE_DT",Company_desc!$D$1))</f>
        <v/>
      </c>
      <c r="AA410" s="80">
        <f>IF($A410="","",_xll.BDP($A410&amp;" Corp","YAS_OAS_SPRD","SETTLE_DT",Company_desc!$D$1))</f>
        <v/>
      </c>
    </row>
    <row r="411">
      <c r="B411" s="75">
        <f>IF($A411="","",IFERROR(INDEX(Sheet1!$B:$B,MATCH($A411,Sheet1!$A:$A,0)),""))</f>
        <v/>
      </c>
      <c r="C411" s="75">
        <f>IF($A411="","",PROPER(_xll.BDP($A411&amp;" Corp","NAME")))</f>
        <v/>
      </c>
      <c r="D411" s="76">
        <f>IF($A411="","",_xll.BDP($A411&amp;" Corp","CPN"))</f>
        <v/>
      </c>
      <c r="E411" s="75">
        <f>IF($A411="","",_xll.BDP($A411&amp;" Corp","PAYMENT_RANK"))</f>
        <v/>
      </c>
      <c r="F411" s="100">
        <f>IF($A411="","",_xll.BDP($A411&amp;" Corp","MATURITY"))</f>
        <v/>
      </c>
      <c r="G411" s="75">
        <f>IF($A411="","",PROPER(_xll.BDP($A411&amp;" Corp","COUNTRY_FULL_NAME")))</f>
        <v/>
      </c>
      <c r="H411" s="75">
        <f>IF($A411="","",_xll.BDP($A411&amp;" Corp","INDUSTRY_SECTOR"))</f>
        <v/>
      </c>
      <c r="I411" s="101">
        <f>IF($A411="","",IFERROR(_xll.BDP($A411&amp;" Corp","MIN_PIECE")/1000,""))</f>
        <v/>
      </c>
      <c r="J411" s="31">
        <f>IF($A411="","",_xll.BDP($A411&amp;" Corp","PX_LAST"))</f>
        <v/>
      </c>
      <c r="K411" s="31">
        <f>IF($A411="","",_xll.BDP($A411&amp;" Corp","YAS_BOND_YLD","YAS_YLD_FLAG=15"))</f>
        <v/>
      </c>
      <c r="L411" s="31">
        <f>IF($A411="","",K411-_xll.BDP($A411&amp;" Corp","YAS_BOND_YLD","YAS_YLD_FLAG=15","SETTLE_DT",Company_desc!$A$1))</f>
        <v/>
      </c>
      <c r="M411" s="31">
        <f>IF($A411="","",K411-_xll.BDP($A411&amp;" Corp","YAS_BOND_YLD","YAS_YLD_FLAG=15","SETTLE_DT",Company_desc!$A$2))</f>
        <v/>
      </c>
      <c r="N411" s="79">
        <f>IF($A411="","",_xll.BDP($A411&amp;" Corp","YAS_OAS_SPRD"))</f>
        <v/>
      </c>
      <c r="O411" s="67">
        <f>IF($A411="","",_xll.BDP($A411&amp;" Corp","YAS_MOD_DUR"))</f>
        <v/>
      </c>
      <c r="P411" s="80">
        <f>IF($A411="","",IFERROR(INDEX(Sheet1!$P:$P,MATCH($A411,Sheet1!$A:$A,0)),""))</f>
        <v/>
      </c>
      <c r="Q411" s="75">
        <f>IF($A411="","",IFERROR(INDEX(Company_desc!$C:$C,MATCH($A411,Company_desc!$A:$A,0)),IFERROR(INDEX(Sheet1!$Q:$Q,MATCH($A411,Sheet1!$A:$A,0)),"")))</f>
        <v/>
      </c>
      <c r="R411" s="75">
        <f>IF($A411="","",_xll.BDP($A411&amp;" Corp","CRNCY"))</f>
        <v/>
      </c>
      <c r="S411" s="75">
        <f>IF($A411="","",IFERROR(INDEX(Sheet1!$S:$S,MATCH($A411,Sheet1!$A:$A,0)),""))</f>
        <v/>
      </c>
      <c r="T411" s="75">
        <f>IF($A411="","",IFERROR(INDEX(Sheet1!$T:$T,MATCH($A411,Sheet1!$A:$A,0)),_xll.BDP($A411&amp;" Corp","RTG_SP")))</f>
        <v/>
      </c>
      <c r="U411" s="75">
        <f>IF($A411="","",IFERROR(INDEX(Sheet1!$U:$U,MATCH($A411,Sheet1!$A:$A,0)),""))</f>
        <v/>
      </c>
      <c r="W411" s="81">
        <f>IF($A411="","",N411-_xll.BDP($A411&amp;" Corp","YAS_OAS_SPRD","SETTLE_DT",Company_desc!$A$1))</f>
        <v/>
      </c>
      <c r="X411" s="81">
        <f>IF($A411="","",N411-_xll.BDP($A411&amp;" Corp","YAS_OAS_SPRD","SETTLE_DT",Company_desc!$A$2))</f>
        <v/>
      </c>
      <c r="Y411" s="80">
        <f>IF($A411="","",N411-_xll.BDP($A411&amp;" Corp","YAS_OAS_SPRD","SETTLE_DT",Company_desc!$D$1))</f>
        <v/>
      </c>
      <c r="Z411" s="82">
        <f>IF($A411="","",K411-_xll.BDP($A411&amp;" Corp","YAS_BOND_YLD","YAS_YLD_FLAG=15","SETTLE_DT",Company_desc!$D$1))</f>
        <v/>
      </c>
      <c r="AA411" s="80">
        <f>IF($A411="","",_xll.BDP($A411&amp;" Corp","YAS_OAS_SPRD","SETTLE_DT",Company_desc!$D$1))</f>
        <v/>
      </c>
    </row>
    <row r="412">
      <c r="B412" s="75">
        <f>IF($A412="","",IFERROR(INDEX(Sheet1!$B:$B,MATCH($A412,Sheet1!$A:$A,0)),""))</f>
        <v/>
      </c>
      <c r="C412" s="75">
        <f>IF($A412="","",PROPER(_xll.BDP($A412&amp;" Corp","NAME")))</f>
        <v/>
      </c>
      <c r="D412" s="76">
        <f>IF($A412="","",_xll.BDP($A412&amp;" Corp","CPN"))</f>
        <v/>
      </c>
      <c r="E412" s="75">
        <f>IF($A412="","",_xll.BDP($A412&amp;" Corp","PAYMENT_RANK"))</f>
        <v/>
      </c>
      <c r="F412" s="100">
        <f>IF($A412="","",_xll.BDP($A412&amp;" Corp","MATURITY"))</f>
        <v/>
      </c>
      <c r="G412" s="75">
        <f>IF($A412="","",PROPER(_xll.BDP($A412&amp;" Corp","COUNTRY_FULL_NAME")))</f>
        <v/>
      </c>
      <c r="H412" s="75">
        <f>IF($A412="","",_xll.BDP($A412&amp;" Corp","INDUSTRY_SECTOR"))</f>
        <v/>
      </c>
      <c r="I412" s="101">
        <f>IF($A412="","",IFERROR(_xll.BDP($A412&amp;" Corp","MIN_PIECE")/1000,""))</f>
        <v/>
      </c>
      <c r="J412" s="31">
        <f>IF($A412="","",_xll.BDP($A412&amp;" Corp","PX_LAST"))</f>
        <v/>
      </c>
      <c r="K412" s="31">
        <f>IF($A412="","",_xll.BDP($A412&amp;" Corp","YAS_BOND_YLD","YAS_YLD_FLAG=15"))</f>
        <v/>
      </c>
      <c r="L412" s="31">
        <f>IF($A412="","",K412-_xll.BDP($A412&amp;" Corp","YAS_BOND_YLD","YAS_YLD_FLAG=15","SETTLE_DT",Company_desc!$A$1))</f>
        <v/>
      </c>
      <c r="M412" s="31">
        <f>IF($A412="","",K412-_xll.BDP($A412&amp;" Corp","YAS_BOND_YLD","YAS_YLD_FLAG=15","SETTLE_DT",Company_desc!$A$2))</f>
        <v/>
      </c>
      <c r="N412" s="79">
        <f>IF($A412="","",_xll.BDP($A412&amp;" Corp","YAS_OAS_SPRD"))</f>
        <v/>
      </c>
      <c r="O412" s="67">
        <f>IF($A412="","",_xll.BDP($A412&amp;" Corp","YAS_MOD_DUR"))</f>
        <v/>
      </c>
      <c r="P412" s="80">
        <f>IF($A412="","",IFERROR(INDEX(Sheet1!$P:$P,MATCH($A412,Sheet1!$A:$A,0)),""))</f>
        <v/>
      </c>
      <c r="Q412" s="75">
        <f>IF($A412="","",IFERROR(INDEX(Company_desc!$C:$C,MATCH($A412,Company_desc!$A:$A,0)),IFERROR(INDEX(Sheet1!$Q:$Q,MATCH($A412,Sheet1!$A:$A,0)),"")))</f>
        <v/>
      </c>
      <c r="R412" s="75">
        <f>IF($A412="","",_xll.BDP($A412&amp;" Corp","CRNCY"))</f>
        <v/>
      </c>
      <c r="S412" s="75">
        <f>IF($A412="","",IFERROR(INDEX(Sheet1!$S:$S,MATCH($A412,Sheet1!$A:$A,0)),""))</f>
        <v/>
      </c>
      <c r="T412" s="75">
        <f>IF($A412="","",IFERROR(INDEX(Sheet1!$T:$T,MATCH($A412,Sheet1!$A:$A,0)),_xll.BDP($A412&amp;" Corp","RTG_SP")))</f>
        <v/>
      </c>
      <c r="U412" s="75">
        <f>IF($A412="","",IFERROR(INDEX(Sheet1!$U:$U,MATCH($A412,Sheet1!$A:$A,0)),""))</f>
        <v/>
      </c>
      <c r="W412" s="81">
        <f>IF($A412="","",N412-_xll.BDP($A412&amp;" Corp","YAS_OAS_SPRD","SETTLE_DT",Company_desc!$A$1))</f>
        <v/>
      </c>
      <c r="X412" s="81">
        <f>IF($A412="","",N412-_xll.BDP($A412&amp;" Corp","YAS_OAS_SPRD","SETTLE_DT",Company_desc!$A$2))</f>
        <v/>
      </c>
      <c r="Y412" s="80">
        <f>IF($A412="","",N412-_xll.BDP($A412&amp;" Corp","YAS_OAS_SPRD","SETTLE_DT",Company_desc!$D$1))</f>
        <v/>
      </c>
      <c r="Z412" s="82">
        <f>IF($A412="","",K412-_xll.BDP($A412&amp;" Corp","YAS_BOND_YLD","YAS_YLD_FLAG=15","SETTLE_DT",Company_desc!$D$1))</f>
        <v/>
      </c>
      <c r="AA412" s="80">
        <f>IF($A412="","",_xll.BDP($A412&amp;" Corp","YAS_OAS_SPRD","SETTLE_DT",Company_desc!$D$1))</f>
        <v/>
      </c>
    </row>
    <row r="413">
      <c r="B413" s="75">
        <f>IF($A413="","",IFERROR(INDEX(Sheet1!$B:$B,MATCH($A413,Sheet1!$A:$A,0)),""))</f>
        <v/>
      </c>
      <c r="C413" s="75">
        <f>IF($A413="","",PROPER(_xll.BDP($A413&amp;" Corp","NAME")))</f>
        <v/>
      </c>
      <c r="D413" s="76">
        <f>IF($A413="","",_xll.BDP($A413&amp;" Corp","CPN"))</f>
        <v/>
      </c>
      <c r="E413" s="75">
        <f>IF($A413="","",_xll.BDP($A413&amp;" Corp","PAYMENT_RANK"))</f>
        <v/>
      </c>
      <c r="F413" s="100">
        <f>IF($A413="","",_xll.BDP($A413&amp;" Corp","MATURITY"))</f>
        <v/>
      </c>
      <c r="G413" s="75">
        <f>IF($A413="","",PROPER(_xll.BDP($A413&amp;" Corp","COUNTRY_FULL_NAME")))</f>
        <v/>
      </c>
      <c r="H413" s="75">
        <f>IF($A413="","",_xll.BDP($A413&amp;" Corp","INDUSTRY_SECTOR"))</f>
        <v/>
      </c>
      <c r="I413" s="101">
        <f>IF($A413="","",IFERROR(_xll.BDP($A413&amp;" Corp","MIN_PIECE")/1000,""))</f>
        <v/>
      </c>
      <c r="J413" s="31">
        <f>IF($A413="","",_xll.BDP($A413&amp;" Corp","PX_LAST"))</f>
        <v/>
      </c>
      <c r="K413" s="31">
        <f>IF($A413="","",_xll.BDP($A413&amp;" Corp","YAS_BOND_YLD","YAS_YLD_FLAG=15"))</f>
        <v/>
      </c>
      <c r="L413" s="31">
        <f>IF($A413="","",K413-_xll.BDP($A413&amp;" Corp","YAS_BOND_YLD","YAS_YLD_FLAG=15","SETTLE_DT",Company_desc!$A$1))</f>
        <v/>
      </c>
      <c r="M413" s="31">
        <f>IF($A413="","",K413-_xll.BDP($A413&amp;" Corp","YAS_BOND_YLD","YAS_YLD_FLAG=15","SETTLE_DT",Company_desc!$A$2))</f>
        <v/>
      </c>
      <c r="N413" s="79">
        <f>IF($A413="","",_xll.BDP($A413&amp;" Corp","YAS_OAS_SPRD"))</f>
        <v/>
      </c>
      <c r="O413" s="67">
        <f>IF($A413="","",_xll.BDP($A413&amp;" Corp","YAS_MOD_DUR"))</f>
        <v/>
      </c>
      <c r="P413" s="80">
        <f>IF($A413="","",IFERROR(INDEX(Sheet1!$P:$P,MATCH($A413,Sheet1!$A:$A,0)),""))</f>
        <v/>
      </c>
      <c r="Q413" s="75">
        <f>IF($A413="","",IFERROR(INDEX(Company_desc!$C:$C,MATCH($A413,Company_desc!$A:$A,0)),IFERROR(INDEX(Sheet1!$Q:$Q,MATCH($A413,Sheet1!$A:$A,0)),"")))</f>
        <v/>
      </c>
      <c r="R413" s="75">
        <f>IF($A413="","",_xll.BDP($A413&amp;" Corp","CRNCY"))</f>
        <v/>
      </c>
      <c r="S413" s="75">
        <f>IF($A413="","",IFERROR(INDEX(Sheet1!$S:$S,MATCH($A413,Sheet1!$A:$A,0)),""))</f>
        <v/>
      </c>
      <c r="T413" s="75">
        <f>IF($A413="","",IFERROR(INDEX(Sheet1!$T:$T,MATCH($A413,Sheet1!$A:$A,0)),_xll.BDP($A413&amp;" Corp","RTG_SP")))</f>
        <v/>
      </c>
      <c r="U413" s="75">
        <f>IF($A413="","",IFERROR(INDEX(Sheet1!$U:$U,MATCH($A413,Sheet1!$A:$A,0)),""))</f>
        <v/>
      </c>
      <c r="W413" s="81">
        <f>IF($A413="","",N413-_xll.BDP($A413&amp;" Corp","YAS_OAS_SPRD","SETTLE_DT",Company_desc!$A$1))</f>
        <v/>
      </c>
      <c r="X413" s="81">
        <f>IF($A413="","",N413-_xll.BDP($A413&amp;" Corp","YAS_OAS_SPRD","SETTLE_DT",Company_desc!$A$2))</f>
        <v/>
      </c>
      <c r="Y413" s="80">
        <f>IF($A413="","",N413-_xll.BDP($A413&amp;" Corp","YAS_OAS_SPRD","SETTLE_DT",Company_desc!$D$1))</f>
        <v/>
      </c>
      <c r="Z413" s="82">
        <f>IF($A413="","",K413-_xll.BDP($A413&amp;" Corp","YAS_BOND_YLD","YAS_YLD_FLAG=15","SETTLE_DT",Company_desc!$D$1))</f>
        <v/>
      </c>
      <c r="AA413" s="80">
        <f>IF($A413="","",_xll.BDP($A413&amp;" Corp","YAS_OAS_SPRD","SETTLE_DT",Company_desc!$D$1))</f>
        <v/>
      </c>
    </row>
    <row r="414">
      <c r="B414" s="28">
        <f>IF($A414="","",IFERROR(INDEX(Sheet1!$B:$B,MATCH($A414,Sheet1!$A:$A,0)),""))</f>
        <v/>
      </c>
      <c r="C414" s="29">
        <f>IF($A414="","",PROPER(_xll.BDP($A414&amp;" Corp","NAME")))</f>
        <v/>
      </c>
      <c r="D414" s="84">
        <f>IF($A414="","",_xll.BDP($A414&amp;" Corp","CPN"))</f>
        <v/>
      </c>
      <c r="E414" s="84">
        <f>IF($A414="","",_xll.BDP($A414&amp;" Corp","PAYMENT_RANK"))</f>
        <v/>
      </c>
      <c r="F414" s="102">
        <f>IF($A414="","",_xll.BDP($A414&amp;" Corp","MATURITY"))</f>
        <v/>
      </c>
      <c r="G414" s="43">
        <f>IF($A414="","",PROPER(_xll.BDP($A414&amp;" Corp","COUNTRY_FULL_NAME")))</f>
        <v/>
      </c>
      <c r="H414" s="29">
        <f>IF($A414="","",_xll.BDP($A414&amp;" Corp","INDUSTRY_SECTOR"))</f>
        <v/>
      </c>
      <c r="I414" s="103">
        <f>IF($A414="","",IFERROR(_xll.BDP($A414&amp;" Corp","MIN_PIECE")/1000,""))</f>
        <v/>
      </c>
      <c r="J414" s="31">
        <f>IF($A414="","",_xll.BDP($A414&amp;" Corp","PX_LAST"))</f>
        <v/>
      </c>
      <c r="K414" s="31">
        <f>IF($A414="","",_xll.BDP($A414&amp;" Corp","YAS_BOND_YLD","YAS_YLD_FLAG=15"))</f>
        <v/>
      </c>
      <c r="L414" s="31">
        <f>IF($A414="","",K414-_xll.BDP($A414&amp;" Corp","YAS_BOND_YLD","YAS_YLD_FLAG=15","SETTLE_DT",Company_desc!$A$1))</f>
        <v/>
      </c>
      <c r="M414" s="31">
        <f>IF($A414="","",K414-_xll.BDP($A414&amp;" Corp","YAS_BOND_YLD","YAS_YLD_FLAG=15","SETTLE_DT",Company_desc!$A$2))</f>
        <v/>
      </c>
      <c r="N414" s="79">
        <f>IF($A414="","",_xll.BDP($A414&amp;" Corp","YAS_OAS_SPRD"))</f>
        <v/>
      </c>
      <c r="O414" s="67">
        <f>IF($A414="","",_xll.BDP($A414&amp;" Corp","YAS_MOD_DUR"))</f>
        <v/>
      </c>
      <c r="P414" s="79">
        <f>IF($A414="","",IFERROR(INDEX(Sheet1!$P:$P,MATCH($A414,Sheet1!$A:$A,0)),""))</f>
        <v/>
      </c>
      <c r="Q414" s="27">
        <f>IF($A414="","",IFERROR(INDEX(Company_desc!$C:$C,MATCH($A414,Company_desc!$A:$A,0)),IFERROR(INDEX(Sheet1!$Q:$Q,MATCH($A414,Sheet1!$A:$A,0)),"")))</f>
        <v/>
      </c>
      <c r="R414" s="27">
        <f>IF($A414="","",_xll.BDP($A414&amp;" Corp","CRNCY"))</f>
        <v/>
      </c>
      <c r="S414" s="27">
        <f>IF($A414="","",IFERROR(INDEX(Sheet1!$S:$S,MATCH($A414,Sheet1!$A:$A,0)),""))</f>
        <v/>
      </c>
      <c r="T414" s="47">
        <f>IF($A414="","",IFERROR(INDEX(Sheet1!$T:$T,MATCH($A414,Sheet1!$A:$A,0)),_xll.BDP($A414&amp;" Corp","RTG_SP")))</f>
        <v/>
      </c>
      <c r="U414" s="75">
        <f>IF($A414="","",IFERROR(INDEX(Sheet1!$U:$U,MATCH($A414,Sheet1!$A:$A,0)),""))</f>
        <v/>
      </c>
      <c r="W414" s="81">
        <f>IF($A414="","",N414-_xll.BDP($A414&amp;" Corp","YAS_OAS_SPRD","SETTLE_DT",Company_desc!$A$1))</f>
        <v/>
      </c>
      <c r="X414" s="81">
        <f>IF($A414="","",N414-_xll.BDP($A414&amp;" Corp","YAS_OAS_SPRD","SETTLE_DT",Company_desc!$A$2))</f>
        <v/>
      </c>
      <c r="Y414" s="80">
        <f>IF($A414="","",N414-_xll.BDP($A414&amp;" Corp","YAS_OAS_SPRD","SETTLE_DT",Company_desc!$D$1))</f>
        <v/>
      </c>
      <c r="Z414" s="82">
        <f>IF($A414="","",K414-_xll.BDP($A414&amp;" Corp","YAS_BOND_YLD","YAS_YLD_FLAG=15","SETTLE_DT",Company_desc!$D$1))</f>
        <v/>
      </c>
      <c r="AA414" s="80">
        <f>IF($A414="","",_xll.BDP($A414&amp;" Corp","YAS_OAS_SPRD","SETTLE_DT",Company_desc!$D$1))</f>
        <v/>
      </c>
    </row>
    <row r="415">
      <c r="B415" s="75">
        <f>IF($A415="","",IFERROR(INDEX(Sheet1!$B:$B,MATCH($A415,Sheet1!$A:$A,0)),""))</f>
        <v/>
      </c>
      <c r="C415" s="75">
        <f>IF($A415="","",PROPER(_xll.BDP($A415&amp;" Corp","NAME")))</f>
        <v/>
      </c>
      <c r="D415" s="76">
        <f>IF($A415="","",_xll.BDP($A415&amp;" Corp","CPN"))</f>
        <v/>
      </c>
      <c r="E415" s="75">
        <f>IF($A415="","",_xll.BDP($A415&amp;" Corp","PAYMENT_RANK"))</f>
        <v/>
      </c>
      <c r="F415" s="100">
        <f>IF($A415="","",_xll.BDP($A415&amp;" Corp","MATURITY"))</f>
        <v/>
      </c>
      <c r="G415" s="75">
        <f>IF($A415="","",PROPER(_xll.BDP($A415&amp;" Corp","COUNTRY_FULL_NAME")))</f>
        <v/>
      </c>
      <c r="H415" s="75">
        <f>IF($A415="","",_xll.BDP($A415&amp;" Corp","INDUSTRY_SECTOR"))</f>
        <v/>
      </c>
      <c r="I415" s="101">
        <f>IF($A415="","",IFERROR(_xll.BDP($A415&amp;" Corp","MIN_PIECE")/1000,""))</f>
        <v/>
      </c>
      <c r="J415" s="31">
        <f>IF($A415="","",_xll.BDP($A415&amp;" Corp","PX_LAST"))</f>
        <v/>
      </c>
      <c r="K415" s="31">
        <f>IF($A415="","",_xll.BDP($A415&amp;" Corp","YAS_BOND_YLD","YAS_YLD_FLAG=15"))</f>
        <v/>
      </c>
      <c r="L415" s="31">
        <f>IF($A415="","",K415-_xll.BDP($A415&amp;" Corp","YAS_BOND_YLD","YAS_YLD_FLAG=15","SETTLE_DT",Company_desc!$A$1))</f>
        <v/>
      </c>
      <c r="M415" s="31">
        <f>IF($A415="","",K415-_xll.BDP($A415&amp;" Corp","YAS_BOND_YLD","YAS_YLD_FLAG=15","SETTLE_DT",Company_desc!$A$2))</f>
        <v/>
      </c>
      <c r="N415" s="79">
        <f>IF($A415="","",_xll.BDP($A415&amp;" Corp","YAS_OAS_SPRD"))</f>
        <v/>
      </c>
      <c r="O415" s="67">
        <f>IF($A415="","",_xll.BDP($A415&amp;" Corp","YAS_MOD_DUR"))</f>
        <v/>
      </c>
      <c r="P415" s="80">
        <f>IF($A415="","",IFERROR(INDEX(Sheet1!$P:$P,MATCH($A415,Sheet1!$A:$A,0)),""))</f>
        <v/>
      </c>
      <c r="Q415" s="75">
        <f>IF($A415="","",IFERROR(INDEX(Company_desc!$C:$C,MATCH($A415,Company_desc!$A:$A,0)),IFERROR(INDEX(Sheet1!$Q:$Q,MATCH($A415,Sheet1!$A:$A,0)),"")))</f>
        <v/>
      </c>
      <c r="R415" s="75">
        <f>IF($A415="","",_xll.BDP($A415&amp;" Corp","CRNCY"))</f>
        <v/>
      </c>
      <c r="S415" s="75">
        <f>IF($A415="","",IFERROR(INDEX(Sheet1!$S:$S,MATCH($A415,Sheet1!$A:$A,0)),""))</f>
        <v/>
      </c>
      <c r="T415" s="75">
        <f>IF($A415="","",IFERROR(INDEX(Sheet1!$T:$T,MATCH($A415,Sheet1!$A:$A,0)),_xll.BDP($A415&amp;" Corp","RTG_SP")))</f>
        <v/>
      </c>
      <c r="U415" s="75">
        <f>IF($A415="","",IFERROR(INDEX(Sheet1!$U:$U,MATCH($A415,Sheet1!$A:$A,0)),""))</f>
        <v/>
      </c>
      <c r="W415" s="81">
        <f>IF($A415="","",N415-_xll.BDP($A415&amp;" Corp","YAS_OAS_SPRD","SETTLE_DT",Company_desc!$A$1))</f>
        <v/>
      </c>
      <c r="X415" s="81">
        <f>IF($A415="","",N415-_xll.BDP($A415&amp;" Corp","YAS_OAS_SPRD","SETTLE_DT",Company_desc!$A$2))</f>
        <v/>
      </c>
      <c r="Y415" s="80">
        <f>IF($A415="","",N415-_xll.BDP($A415&amp;" Corp","YAS_OAS_SPRD","SETTLE_DT",Company_desc!$D$1))</f>
        <v/>
      </c>
      <c r="Z415" s="82">
        <f>IF($A415="","",K415-_xll.BDP($A415&amp;" Corp","YAS_BOND_YLD","YAS_YLD_FLAG=15","SETTLE_DT",Company_desc!$D$1))</f>
        <v/>
      </c>
      <c r="AA415" s="80">
        <f>IF($A415="","",_xll.BDP($A415&amp;" Corp","YAS_OAS_SPRD","SETTLE_DT",Company_desc!$D$1))</f>
        <v/>
      </c>
    </row>
    <row r="416">
      <c r="B416" s="75">
        <f>IF($A416="","",IFERROR(INDEX(Sheet1!$B:$B,MATCH($A416,Sheet1!$A:$A,0)),""))</f>
        <v/>
      </c>
      <c r="C416" s="75">
        <f>IF($A416="","",PROPER(_xll.BDP($A416&amp;" Corp","NAME")))</f>
        <v/>
      </c>
      <c r="D416" s="76">
        <f>IF($A416="","",_xll.BDP($A416&amp;" Corp","CPN"))</f>
        <v/>
      </c>
      <c r="E416" s="75">
        <f>IF($A416="","",_xll.BDP($A416&amp;" Corp","PAYMENT_RANK"))</f>
        <v/>
      </c>
      <c r="F416" s="100">
        <f>IF($A416="","",_xll.BDP($A416&amp;" Corp","MATURITY"))</f>
        <v/>
      </c>
      <c r="G416" s="75">
        <f>IF($A416="","",PROPER(_xll.BDP($A416&amp;" Corp","COUNTRY_FULL_NAME")))</f>
        <v/>
      </c>
      <c r="H416" s="75">
        <f>IF($A416="","",_xll.BDP($A416&amp;" Corp","INDUSTRY_SECTOR"))</f>
        <v/>
      </c>
      <c r="I416" s="101">
        <f>IF($A416="","",IFERROR(_xll.BDP($A416&amp;" Corp","MIN_PIECE")/1000,""))</f>
        <v/>
      </c>
      <c r="J416" s="31">
        <f>IF($A416="","",_xll.BDP($A416&amp;" Corp","PX_LAST"))</f>
        <v/>
      </c>
      <c r="K416" s="31">
        <f>IF($A416="","",_xll.BDP($A416&amp;" Corp","YAS_BOND_YLD","YAS_YLD_FLAG=15"))</f>
        <v/>
      </c>
      <c r="L416" s="31">
        <f>IF($A416="","",K416-_xll.BDP($A416&amp;" Corp","YAS_BOND_YLD","YAS_YLD_FLAG=15","SETTLE_DT",Company_desc!$A$1))</f>
        <v/>
      </c>
      <c r="M416" s="31">
        <f>IF($A416="","",K416-_xll.BDP($A416&amp;" Corp","YAS_BOND_YLD","YAS_YLD_FLAG=15","SETTLE_DT",Company_desc!$A$2))</f>
        <v/>
      </c>
      <c r="N416" s="79">
        <f>IF($A416="","",_xll.BDP($A416&amp;" Corp","YAS_OAS_SPRD"))</f>
        <v/>
      </c>
      <c r="O416" s="67">
        <f>IF($A416="","",_xll.BDP($A416&amp;" Corp","YAS_MOD_DUR"))</f>
        <v/>
      </c>
      <c r="P416" s="80">
        <f>IF($A416="","",IFERROR(INDEX(Sheet1!$P:$P,MATCH($A416,Sheet1!$A:$A,0)),""))</f>
        <v/>
      </c>
      <c r="Q416" s="75">
        <f>IF($A416="","",IFERROR(INDEX(Company_desc!$C:$C,MATCH($A416,Company_desc!$A:$A,0)),IFERROR(INDEX(Sheet1!$Q:$Q,MATCH($A416,Sheet1!$A:$A,0)),"")))</f>
        <v/>
      </c>
      <c r="R416" s="75">
        <f>IF($A416="","",_xll.BDP($A416&amp;" Corp","CRNCY"))</f>
        <v/>
      </c>
      <c r="S416" s="75">
        <f>IF($A416="","",IFERROR(INDEX(Sheet1!$S:$S,MATCH($A416,Sheet1!$A:$A,0)),""))</f>
        <v/>
      </c>
      <c r="T416" s="75">
        <f>IF($A416="","",IFERROR(INDEX(Sheet1!$T:$T,MATCH($A416,Sheet1!$A:$A,0)),_xll.BDP($A416&amp;" Corp","RTG_SP")))</f>
        <v/>
      </c>
      <c r="U416" s="75">
        <f>IF($A416="","",IFERROR(INDEX(Sheet1!$U:$U,MATCH($A416,Sheet1!$A:$A,0)),""))</f>
        <v/>
      </c>
      <c r="W416" s="81">
        <f>IF($A416="","",N416-_xll.BDP($A416&amp;" Corp","YAS_OAS_SPRD","SETTLE_DT",Company_desc!$A$1))</f>
        <v/>
      </c>
      <c r="X416" s="81">
        <f>IF($A416="","",N416-_xll.BDP($A416&amp;" Corp","YAS_OAS_SPRD","SETTLE_DT",Company_desc!$A$2))</f>
        <v/>
      </c>
      <c r="Y416" s="80">
        <f>IF($A416="","",N416-_xll.BDP($A416&amp;" Corp","YAS_OAS_SPRD","SETTLE_DT",Company_desc!$D$1))</f>
        <v/>
      </c>
      <c r="Z416" s="82">
        <f>IF($A416="","",K416-_xll.BDP($A416&amp;" Corp","YAS_BOND_YLD","YAS_YLD_FLAG=15","SETTLE_DT",Company_desc!$D$1))</f>
        <v/>
      </c>
      <c r="AA416" s="80">
        <f>IF($A416="","",_xll.BDP($A416&amp;" Corp","YAS_OAS_SPRD","SETTLE_DT",Company_desc!$D$1))</f>
        <v/>
      </c>
    </row>
    <row r="417">
      <c r="B417" s="28">
        <f>IF($A417="","",IFERROR(INDEX(Sheet1!$B:$B,MATCH($A417,Sheet1!$A:$A,0)),""))</f>
        <v/>
      </c>
      <c r="C417" s="29">
        <f>IF($A417="","",PROPER(_xll.BDP($A417&amp;" Corp","NAME")))</f>
        <v/>
      </c>
      <c r="D417" s="84">
        <f>IF($A417="","",_xll.BDP($A417&amp;" Corp","CPN"))</f>
        <v/>
      </c>
      <c r="E417" s="84">
        <f>IF($A417="","",_xll.BDP($A417&amp;" Corp","PAYMENT_RANK"))</f>
        <v/>
      </c>
      <c r="F417" s="102">
        <f>IF($A417="","",_xll.BDP($A417&amp;" Corp","MATURITY"))</f>
        <v/>
      </c>
      <c r="G417" s="43">
        <f>IF($A417="","",PROPER(_xll.BDP($A417&amp;" Corp","COUNTRY_FULL_NAME")))</f>
        <v/>
      </c>
      <c r="H417" s="29">
        <f>IF($A417="","",_xll.BDP($A417&amp;" Corp","INDUSTRY_SECTOR"))</f>
        <v/>
      </c>
      <c r="I417" s="103">
        <f>IF($A417="","",IFERROR(_xll.BDP($A417&amp;" Corp","MIN_PIECE")/1000,""))</f>
        <v/>
      </c>
      <c r="J417" s="31">
        <f>IF($A417="","",_xll.BDP($A417&amp;" Corp","PX_LAST"))</f>
        <v/>
      </c>
      <c r="K417" s="31">
        <f>IF($A417="","",_xll.BDP($A417&amp;" Corp","YAS_BOND_YLD","YAS_YLD_FLAG=15"))</f>
        <v/>
      </c>
      <c r="L417" s="31">
        <f>IF($A417="","",K417-_xll.BDP($A417&amp;" Corp","YAS_BOND_YLD","YAS_YLD_FLAG=15","SETTLE_DT",Company_desc!$A$1))</f>
        <v/>
      </c>
      <c r="M417" s="31">
        <f>IF($A417="","",K417-_xll.BDP($A417&amp;" Corp","YAS_BOND_YLD","YAS_YLD_FLAG=15","SETTLE_DT",Company_desc!$A$2))</f>
        <v/>
      </c>
      <c r="N417" s="79">
        <f>IF($A417="","",_xll.BDP($A417&amp;" Corp","YAS_OAS_SPRD"))</f>
        <v/>
      </c>
      <c r="O417" s="67">
        <f>IF($A417="","",_xll.BDP($A417&amp;" Corp","YAS_MOD_DUR"))</f>
        <v/>
      </c>
      <c r="P417" s="79">
        <f>IF($A417="","",IFERROR(INDEX(Sheet1!$P:$P,MATCH($A417,Sheet1!$A:$A,0)),""))</f>
        <v/>
      </c>
      <c r="Q417" s="27">
        <f>IF($A417="","",IFERROR(INDEX(Company_desc!$C:$C,MATCH($A417,Company_desc!$A:$A,0)),IFERROR(INDEX(Sheet1!$Q:$Q,MATCH($A417,Sheet1!$A:$A,0)),"")))</f>
        <v/>
      </c>
      <c r="R417" s="27">
        <f>IF($A417="","",_xll.BDP($A417&amp;" Corp","CRNCY"))</f>
        <v/>
      </c>
      <c r="S417" s="27">
        <f>IF($A417="","",IFERROR(INDEX(Sheet1!$S:$S,MATCH($A417,Sheet1!$A:$A,0)),""))</f>
        <v/>
      </c>
      <c r="T417" s="47">
        <f>IF($A417="","",IFERROR(INDEX(Sheet1!$T:$T,MATCH($A417,Sheet1!$A:$A,0)),_xll.BDP($A417&amp;" Corp","RTG_SP")))</f>
        <v/>
      </c>
      <c r="U417" s="75">
        <f>IF($A417="","",IFERROR(INDEX(Sheet1!$U:$U,MATCH($A417,Sheet1!$A:$A,0)),""))</f>
        <v/>
      </c>
      <c r="W417" s="81">
        <f>IF($A417="","",N417-_xll.BDP($A417&amp;" Corp","YAS_OAS_SPRD","SETTLE_DT",Company_desc!$A$1))</f>
        <v/>
      </c>
      <c r="X417" s="81">
        <f>IF($A417="","",N417-_xll.BDP($A417&amp;" Corp","YAS_OAS_SPRD","SETTLE_DT",Company_desc!$A$2))</f>
        <v/>
      </c>
      <c r="Y417" s="80">
        <f>IF($A417="","",N417-_xll.BDP($A417&amp;" Corp","YAS_OAS_SPRD","SETTLE_DT",Company_desc!$D$1))</f>
        <v/>
      </c>
      <c r="Z417" s="82">
        <f>IF($A417="","",K417-_xll.BDP($A417&amp;" Corp","YAS_BOND_YLD","YAS_YLD_FLAG=15","SETTLE_DT",Company_desc!$D$1))</f>
        <v/>
      </c>
      <c r="AA417" s="80">
        <f>IF($A417="","",_xll.BDP($A417&amp;" Corp","YAS_OAS_SPRD","SETTLE_DT",Company_desc!$D$1))</f>
        <v/>
      </c>
    </row>
    <row r="418">
      <c r="B418" s="75">
        <f>IF($A418="","",IFERROR(INDEX(Sheet1!$B:$B,MATCH($A418,Sheet1!$A:$A,0)),""))</f>
        <v/>
      </c>
      <c r="C418" s="75">
        <f>IF($A418="","",PROPER(_xll.BDP($A418&amp;" Corp","NAME")))</f>
        <v/>
      </c>
      <c r="D418" s="76">
        <f>IF($A418="","",_xll.BDP($A418&amp;" Corp","CPN"))</f>
        <v/>
      </c>
      <c r="E418" s="75">
        <f>IF($A418="","",_xll.BDP($A418&amp;" Corp","PAYMENT_RANK"))</f>
        <v/>
      </c>
      <c r="F418" s="100">
        <f>IF($A418="","",_xll.BDP($A418&amp;" Corp","MATURITY"))</f>
        <v/>
      </c>
      <c r="G418" s="75">
        <f>IF($A418="","",PROPER(_xll.BDP($A418&amp;" Corp","COUNTRY_FULL_NAME")))</f>
        <v/>
      </c>
      <c r="H418" s="75">
        <f>IF($A418="","",_xll.BDP($A418&amp;" Corp","INDUSTRY_SECTOR"))</f>
        <v/>
      </c>
      <c r="I418" s="101">
        <f>IF($A418="","",IFERROR(_xll.BDP($A418&amp;" Corp","MIN_PIECE")/1000,""))</f>
        <v/>
      </c>
      <c r="J418" s="31">
        <f>IF($A418="","",_xll.BDP($A418&amp;" Corp","PX_LAST"))</f>
        <v/>
      </c>
      <c r="K418" s="31">
        <f>IF($A418="","",_xll.BDP($A418&amp;" Corp","YAS_BOND_YLD","YAS_YLD_FLAG=15"))</f>
        <v/>
      </c>
      <c r="L418" s="31">
        <f>IF($A418="","",K418-_xll.BDP($A418&amp;" Corp","YAS_BOND_YLD","YAS_YLD_FLAG=15","SETTLE_DT",Company_desc!$A$1))</f>
        <v/>
      </c>
      <c r="M418" s="31">
        <f>IF($A418="","",K418-_xll.BDP($A418&amp;" Corp","YAS_BOND_YLD","YAS_YLD_FLAG=15","SETTLE_DT",Company_desc!$A$2))</f>
        <v/>
      </c>
      <c r="N418" s="79">
        <f>IF($A418="","",_xll.BDP($A418&amp;" Corp","YAS_OAS_SPRD"))</f>
        <v/>
      </c>
      <c r="O418" s="67">
        <f>IF($A418="","",_xll.BDP($A418&amp;" Corp","YAS_MOD_DUR"))</f>
        <v/>
      </c>
      <c r="P418" s="80">
        <f>IF($A418="","",IFERROR(INDEX(Sheet1!$P:$P,MATCH($A418,Sheet1!$A:$A,0)),""))</f>
        <v/>
      </c>
      <c r="Q418" s="75">
        <f>IF($A418="","",IFERROR(INDEX(Company_desc!$C:$C,MATCH($A418,Company_desc!$A:$A,0)),IFERROR(INDEX(Sheet1!$Q:$Q,MATCH($A418,Sheet1!$A:$A,0)),"")))</f>
        <v/>
      </c>
      <c r="R418" s="75">
        <f>IF($A418="","",_xll.BDP($A418&amp;" Corp","CRNCY"))</f>
        <v/>
      </c>
      <c r="S418" s="75">
        <f>IF($A418="","",IFERROR(INDEX(Sheet1!$S:$S,MATCH($A418,Sheet1!$A:$A,0)),""))</f>
        <v/>
      </c>
      <c r="T418" s="75">
        <f>IF($A418="","",IFERROR(INDEX(Sheet1!$T:$T,MATCH($A418,Sheet1!$A:$A,0)),_xll.BDP($A418&amp;" Corp","RTG_SP")))</f>
        <v/>
      </c>
      <c r="U418" s="75">
        <f>IF($A418="","",IFERROR(INDEX(Sheet1!$U:$U,MATCH($A418,Sheet1!$A:$A,0)),""))</f>
        <v/>
      </c>
      <c r="W418" s="81">
        <f>IF($A418="","",N418-_xll.BDP($A418&amp;" Corp","YAS_OAS_SPRD","SETTLE_DT",Company_desc!$A$1))</f>
        <v/>
      </c>
      <c r="X418" s="81">
        <f>IF($A418="","",N418-_xll.BDP($A418&amp;" Corp","YAS_OAS_SPRD","SETTLE_DT",Company_desc!$A$2))</f>
        <v/>
      </c>
      <c r="Y418" s="80">
        <f>IF($A418="","",N418-_xll.BDP($A418&amp;" Corp","YAS_OAS_SPRD","SETTLE_DT",Company_desc!$D$1))</f>
        <v/>
      </c>
      <c r="Z418" s="82">
        <f>IF($A418="","",K418-_xll.BDP($A418&amp;" Corp","YAS_BOND_YLD","YAS_YLD_FLAG=15","SETTLE_DT",Company_desc!$D$1))</f>
        <v/>
      </c>
      <c r="AA418" s="80">
        <f>IF($A418="","",_xll.BDP($A418&amp;" Corp","YAS_OAS_SPRD","SETTLE_DT",Company_desc!$D$1))</f>
        <v/>
      </c>
    </row>
    <row r="419">
      <c r="B419" s="75">
        <f>IF($A419="","",IFERROR(INDEX(Sheet1!$B:$B,MATCH($A419,Sheet1!$A:$A,0)),""))</f>
        <v/>
      </c>
      <c r="C419" s="75">
        <f>IF($A419="","",PROPER(_xll.BDP($A419&amp;" Corp","NAME")))</f>
        <v/>
      </c>
      <c r="D419" s="76">
        <f>IF($A419="","",_xll.BDP($A419&amp;" Corp","CPN"))</f>
        <v/>
      </c>
      <c r="E419" s="75">
        <f>IF($A419="","",_xll.BDP($A419&amp;" Corp","PAYMENT_RANK"))</f>
        <v/>
      </c>
      <c r="F419" s="100">
        <f>IF($A419="","",_xll.BDP($A419&amp;" Corp","MATURITY"))</f>
        <v/>
      </c>
      <c r="G419" s="75">
        <f>IF($A419="","",PROPER(_xll.BDP($A419&amp;" Corp","COUNTRY_FULL_NAME")))</f>
        <v/>
      </c>
      <c r="H419" s="75">
        <f>IF($A419="","",_xll.BDP($A419&amp;" Corp","INDUSTRY_SECTOR"))</f>
        <v/>
      </c>
      <c r="I419" s="101">
        <f>IF($A419="","",IFERROR(_xll.BDP($A419&amp;" Corp","MIN_PIECE")/1000,""))</f>
        <v/>
      </c>
      <c r="J419" s="31">
        <f>IF($A419="","",_xll.BDP($A419&amp;" Corp","PX_LAST"))</f>
        <v/>
      </c>
      <c r="K419" s="31">
        <f>IF($A419="","",_xll.BDP($A419&amp;" Corp","YAS_BOND_YLD","YAS_YLD_FLAG=15"))</f>
        <v/>
      </c>
      <c r="L419" s="31">
        <f>IF($A419="","",K419-_xll.BDP($A419&amp;" Corp","YAS_BOND_YLD","YAS_YLD_FLAG=15","SETTLE_DT",Company_desc!$A$1))</f>
        <v/>
      </c>
      <c r="M419" s="31">
        <f>IF($A419="","",K419-_xll.BDP($A419&amp;" Corp","YAS_BOND_YLD","YAS_YLD_FLAG=15","SETTLE_DT",Company_desc!$A$2))</f>
        <v/>
      </c>
      <c r="N419" s="79">
        <f>IF($A419="","",_xll.BDP($A419&amp;" Corp","YAS_OAS_SPRD"))</f>
        <v/>
      </c>
      <c r="O419" s="67">
        <f>IF($A419="","",_xll.BDP($A419&amp;" Corp","YAS_MOD_DUR"))</f>
        <v/>
      </c>
      <c r="P419" s="80">
        <f>IF($A419="","",IFERROR(INDEX(Sheet1!$P:$P,MATCH($A419,Sheet1!$A:$A,0)),""))</f>
        <v/>
      </c>
      <c r="Q419" s="75">
        <f>IF($A419="","",IFERROR(INDEX(Company_desc!$C:$C,MATCH($A419,Company_desc!$A:$A,0)),IFERROR(INDEX(Sheet1!$Q:$Q,MATCH($A419,Sheet1!$A:$A,0)),"")))</f>
        <v/>
      </c>
      <c r="R419" s="75">
        <f>IF($A419="","",_xll.BDP($A419&amp;" Corp","CRNCY"))</f>
        <v/>
      </c>
      <c r="S419" s="75">
        <f>IF($A419="","",IFERROR(INDEX(Sheet1!$S:$S,MATCH($A419,Sheet1!$A:$A,0)),""))</f>
        <v/>
      </c>
      <c r="T419" s="75">
        <f>IF($A419="","",IFERROR(INDEX(Sheet1!$T:$T,MATCH($A419,Sheet1!$A:$A,0)),_xll.BDP($A419&amp;" Corp","RTG_SP")))</f>
        <v/>
      </c>
      <c r="U419" s="75">
        <f>IF($A419="","",IFERROR(INDEX(Sheet1!$U:$U,MATCH($A419,Sheet1!$A:$A,0)),""))</f>
        <v/>
      </c>
      <c r="W419" s="81">
        <f>IF($A419="","",N419-_xll.BDP($A419&amp;" Corp","YAS_OAS_SPRD","SETTLE_DT",Company_desc!$A$1))</f>
        <v/>
      </c>
      <c r="X419" s="81">
        <f>IF($A419="","",N419-_xll.BDP($A419&amp;" Corp","YAS_OAS_SPRD","SETTLE_DT",Company_desc!$A$2))</f>
        <v/>
      </c>
      <c r="Y419" s="80">
        <f>IF($A419="","",N419-_xll.BDP($A419&amp;" Corp","YAS_OAS_SPRD","SETTLE_DT",Company_desc!$D$1))</f>
        <v/>
      </c>
      <c r="Z419" s="82">
        <f>IF($A419="","",K419-_xll.BDP($A419&amp;" Corp","YAS_BOND_YLD","YAS_YLD_FLAG=15","SETTLE_DT",Company_desc!$D$1))</f>
        <v/>
      </c>
      <c r="AA419" s="80">
        <f>IF($A419="","",_xll.BDP($A419&amp;" Corp","YAS_OAS_SPRD","SETTLE_DT",Company_desc!$D$1))</f>
        <v/>
      </c>
    </row>
    <row r="420">
      <c r="B420" s="75">
        <f>IF($A420="","",IFERROR(INDEX(Sheet1!$B:$B,MATCH($A420,Sheet1!$A:$A,0)),""))</f>
        <v/>
      </c>
      <c r="C420" s="75">
        <f>IF($A420="","",PROPER(_xll.BDP($A420&amp;" Corp","NAME")))</f>
        <v/>
      </c>
      <c r="D420" s="76">
        <f>IF($A420="","",_xll.BDP($A420&amp;" Corp","CPN"))</f>
        <v/>
      </c>
      <c r="E420" s="75">
        <f>IF($A420="","",_xll.BDP($A420&amp;" Corp","PAYMENT_RANK"))</f>
        <v/>
      </c>
      <c r="F420" s="100">
        <f>IF($A420="","",_xll.BDP($A420&amp;" Corp","MATURITY"))</f>
        <v/>
      </c>
      <c r="G420" s="75">
        <f>IF($A420="","",PROPER(_xll.BDP($A420&amp;" Corp","COUNTRY_FULL_NAME")))</f>
        <v/>
      </c>
      <c r="H420" s="75">
        <f>IF($A420="","",_xll.BDP($A420&amp;" Corp","INDUSTRY_SECTOR"))</f>
        <v/>
      </c>
      <c r="I420" s="101">
        <f>IF($A420="","",IFERROR(_xll.BDP($A420&amp;" Corp","MIN_PIECE")/1000,""))</f>
        <v/>
      </c>
      <c r="J420" s="31">
        <f>IF($A420="","",_xll.BDP($A420&amp;" Corp","PX_LAST"))</f>
        <v/>
      </c>
      <c r="K420" s="31">
        <f>IF($A420="","",_xll.BDP($A420&amp;" Corp","YAS_BOND_YLD","YAS_YLD_FLAG=15"))</f>
        <v/>
      </c>
      <c r="L420" s="31">
        <f>IF($A420="","",K420-_xll.BDP($A420&amp;" Corp","YAS_BOND_YLD","YAS_YLD_FLAG=15","SETTLE_DT",Company_desc!$A$1))</f>
        <v/>
      </c>
      <c r="M420" s="31">
        <f>IF($A420="","",K420-_xll.BDP($A420&amp;" Corp","YAS_BOND_YLD","YAS_YLD_FLAG=15","SETTLE_DT",Company_desc!$A$2))</f>
        <v/>
      </c>
      <c r="N420" s="79">
        <f>IF($A420="","",_xll.BDP($A420&amp;" Corp","YAS_OAS_SPRD"))</f>
        <v/>
      </c>
      <c r="O420" s="67">
        <f>IF($A420="","",_xll.BDP($A420&amp;" Corp","YAS_MOD_DUR"))</f>
        <v/>
      </c>
      <c r="P420" s="80">
        <f>IF($A420="","",IFERROR(INDEX(Sheet1!$P:$P,MATCH($A420,Sheet1!$A:$A,0)),""))</f>
        <v/>
      </c>
      <c r="Q420" s="75">
        <f>IF($A420="","",IFERROR(INDEX(Company_desc!$C:$C,MATCH($A420,Company_desc!$A:$A,0)),IFERROR(INDEX(Sheet1!$Q:$Q,MATCH($A420,Sheet1!$A:$A,0)),"")))</f>
        <v/>
      </c>
      <c r="R420" s="75">
        <f>IF($A420="","",_xll.BDP($A420&amp;" Corp","CRNCY"))</f>
        <v/>
      </c>
      <c r="S420" s="75">
        <f>IF($A420="","",IFERROR(INDEX(Sheet1!$S:$S,MATCH($A420,Sheet1!$A:$A,0)),""))</f>
        <v/>
      </c>
      <c r="T420" s="75">
        <f>IF($A420="","",IFERROR(INDEX(Sheet1!$T:$T,MATCH($A420,Sheet1!$A:$A,0)),_xll.BDP($A420&amp;" Corp","RTG_SP")))</f>
        <v/>
      </c>
      <c r="U420" s="75">
        <f>IF($A420="","",IFERROR(INDEX(Sheet1!$U:$U,MATCH($A420,Sheet1!$A:$A,0)),""))</f>
        <v/>
      </c>
      <c r="W420" s="81">
        <f>IF($A420="","",N420-_xll.BDP($A420&amp;" Corp","YAS_OAS_SPRD","SETTLE_DT",Company_desc!$A$1))</f>
        <v/>
      </c>
      <c r="X420" s="81">
        <f>IF($A420="","",N420-_xll.BDP($A420&amp;" Corp","YAS_OAS_SPRD","SETTLE_DT",Company_desc!$A$2))</f>
        <v/>
      </c>
      <c r="Y420" s="80">
        <f>IF($A420="","",N420-_xll.BDP($A420&amp;" Corp","YAS_OAS_SPRD","SETTLE_DT",Company_desc!$D$1))</f>
        <v/>
      </c>
      <c r="Z420" s="82">
        <f>IF($A420="","",K420-_xll.BDP($A420&amp;" Corp","YAS_BOND_YLD","YAS_YLD_FLAG=15","SETTLE_DT",Company_desc!$D$1))</f>
        <v/>
      </c>
      <c r="AA420" s="80">
        <f>IF($A420="","",_xll.BDP($A420&amp;" Corp","YAS_OAS_SPRD","SETTLE_DT",Company_desc!$D$1))</f>
        <v/>
      </c>
    </row>
    <row r="421">
      <c r="B421" s="75">
        <f>IF($A421="","",IFERROR(INDEX(Sheet1!$B:$B,MATCH($A421,Sheet1!$A:$A,0)),""))</f>
        <v/>
      </c>
      <c r="C421" s="75">
        <f>IF($A421="","",PROPER(_xll.BDP($A421&amp;" Corp","NAME")))</f>
        <v/>
      </c>
      <c r="D421" s="76">
        <f>IF($A421="","",_xll.BDP($A421&amp;" Corp","CPN"))</f>
        <v/>
      </c>
      <c r="E421" s="75">
        <f>IF($A421="","",_xll.BDP($A421&amp;" Corp","PAYMENT_RANK"))</f>
        <v/>
      </c>
      <c r="F421" s="100">
        <f>IF($A421="","",_xll.BDP($A421&amp;" Corp","MATURITY"))</f>
        <v/>
      </c>
      <c r="G421" s="75">
        <f>IF($A421="","",PROPER(_xll.BDP($A421&amp;" Corp","COUNTRY_FULL_NAME")))</f>
        <v/>
      </c>
      <c r="H421" s="75">
        <f>IF($A421="","",_xll.BDP($A421&amp;" Corp","INDUSTRY_SECTOR"))</f>
        <v/>
      </c>
      <c r="I421" s="101">
        <f>IF($A421="","",IFERROR(_xll.BDP($A421&amp;" Corp","MIN_PIECE")/1000,""))</f>
        <v/>
      </c>
      <c r="J421" s="31">
        <f>IF($A421="","",_xll.BDP($A421&amp;" Corp","PX_LAST"))</f>
        <v/>
      </c>
      <c r="K421" s="31">
        <f>IF($A421="","",_xll.BDP($A421&amp;" Corp","YAS_BOND_YLD","YAS_YLD_FLAG=15"))</f>
        <v/>
      </c>
      <c r="L421" s="31">
        <f>IF($A421="","",K421-_xll.BDP($A421&amp;" Corp","YAS_BOND_YLD","YAS_YLD_FLAG=15","SETTLE_DT",Company_desc!$A$1))</f>
        <v/>
      </c>
      <c r="M421" s="31">
        <f>IF($A421="","",K421-_xll.BDP($A421&amp;" Corp","YAS_BOND_YLD","YAS_YLD_FLAG=15","SETTLE_DT",Company_desc!$A$2))</f>
        <v/>
      </c>
      <c r="N421" s="79">
        <f>IF($A421="","",_xll.BDP($A421&amp;" Corp","YAS_OAS_SPRD"))</f>
        <v/>
      </c>
      <c r="O421" s="67">
        <f>IF($A421="","",_xll.BDP($A421&amp;" Corp","YAS_MOD_DUR"))</f>
        <v/>
      </c>
      <c r="P421" s="80">
        <f>IF($A421="","",IFERROR(INDEX(Sheet1!$P:$P,MATCH($A421,Sheet1!$A:$A,0)),""))</f>
        <v/>
      </c>
      <c r="Q421" s="75">
        <f>IF($A421="","",IFERROR(INDEX(Company_desc!$C:$C,MATCH($A421,Company_desc!$A:$A,0)),IFERROR(INDEX(Sheet1!$Q:$Q,MATCH($A421,Sheet1!$A:$A,0)),"")))</f>
        <v/>
      </c>
      <c r="R421" s="75">
        <f>IF($A421="","",_xll.BDP($A421&amp;" Corp","CRNCY"))</f>
        <v/>
      </c>
      <c r="S421" s="75">
        <f>IF($A421="","",IFERROR(INDEX(Sheet1!$S:$S,MATCH($A421,Sheet1!$A:$A,0)),""))</f>
        <v/>
      </c>
      <c r="T421" s="75">
        <f>IF($A421="","",IFERROR(INDEX(Sheet1!$T:$T,MATCH($A421,Sheet1!$A:$A,0)),_xll.BDP($A421&amp;" Corp","RTG_SP")))</f>
        <v/>
      </c>
      <c r="U421" s="75">
        <f>IF($A421="","",IFERROR(INDEX(Sheet1!$U:$U,MATCH($A421,Sheet1!$A:$A,0)),""))</f>
        <v/>
      </c>
      <c r="W421" s="81">
        <f>IF($A421="","",N421-_xll.BDP($A421&amp;" Corp","YAS_OAS_SPRD","SETTLE_DT",Company_desc!$A$1))</f>
        <v/>
      </c>
      <c r="X421" s="81">
        <f>IF($A421="","",N421-_xll.BDP($A421&amp;" Corp","YAS_OAS_SPRD","SETTLE_DT",Company_desc!$A$2))</f>
        <v/>
      </c>
      <c r="Y421" s="80">
        <f>IF($A421="","",N421-_xll.BDP($A421&amp;" Corp","YAS_OAS_SPRD","SETTLE_DT",Company_desc!$D$1))</f>
        <v/>
      </c>
      <c r="Z421" s="82">
        <f>IF($A421="","",K421-_xll.BDP($A421&amp;" Corp","YAS_BOND_YLD","YAS_YLD_FLAG=15","SETTLE_DT",Company_desc!$D$1))</f>
        <v/>
      </c>
      <c r="AA421" s="80">
        <f>IF($A421="","",_xll.BDP($A421&amp;" Corp","YAS_OAS_SPRD","SETTLE_DT",Company_desc!$D$1))</f>
        <v/>
      </c>
    </row>
    <row r="422">
      <c r="B422" s="75">
        <f>IF($A422="","",IFERROR(INDEX(Sheet1!$B:$B,MATCH($A422,Sheet1!$A:$A,0)),""))</f>
        <v/>
      </c>
      <c r="C422" s="75">
        <f>IF($A422="","",PROPER(_xll.BDP($A422&amp;" Corp","NAME")))</f>
        <v/>
      </c>
      <c r="D422" s="76">
        <f>IF($A422="","",_xll.BDP($A422&amp;" Corp","CPN"))</f>
        <v/>
      </c>
      <c r="E422" s="75">
        <f>IF($A422="","",_xll.BDP($A422&amp;" Corp","PAYMENT_RANK"))</f>
        <v/>
      </c>
      <c r="F422" s="100">
        <f>IF($A422="","",_xll.BDP($A422&amp;" Corp","MATURITY"))</f>
        <v/>
      </c>
      <c r="G422" s="75">
        <f>IF($A422="","",PROPER(_xll.BDP($A422&amp;" Corp","COUNTRY_FULL_NAME")))</f>
        <v/>
      </c>
      <c r="H422" s="75">
        <f>IF($A422="","",_xll.BDP($A422&amp;" Corp","INDUSTRY_SECTOR"))</f>
        <v/>
      </c>
      <c r="I422" s="101">
        <f>IF($A422="","",IFERROR(_xll.BDP($A422&amp;" Corp","MIN_PIECE")/1000,""))</f>
        <v/>
      </c>
      <c r="J422" s="31">
        <f>IF($A422="","",_xll.BDP($A422&amp;" Corp","PX_LAST"))</f>
        <v/>
      </c>
      <c r="K422" s="31">
        <f>IF($A422="","",_xll.BDP($A422&amp;" Corp","YAS_BOND_YLD","YAS_YLD_FLAG=15"))</f>
        <v/>
      </c>
      <c r="L422" s="31">
        <f>IF($A422="","",K422-_xll.BDP($A422&amp;" Corp","YAS_BOND_YLD","YAS_YLD_FLAG=15","SETTLE_DT",Company_desc!$A$1))</f>
        <v/>
      </c>
      <c r="M422" s="31">
        <f>IF($A422="","",K422-_xll.BDP($A422&amp;" Corp","YAS_BOND_YLD","YAS_YLD_FLAG=15","SETTLE_DT",Company_desc!$A$2))</f>
        <v/>
      </c>
      <c r="N422" s="79">
        <f>IF($A422="","",_xll.BDP($A422&amp;" Corp","YAS_OAS_SPRD"))</f>
        <v/>
      </c>
      <c r="O422" s="67">
        <f>IF($A422="","",_xll.BDP($A422&amp;" Corp","YAS_MOD_DUR"))</f>
        <v/>
      </c>
      <c r="P422" s="80">
        <f>IF($A422="","",IFERROR(INDEX(Sheet1!$P:$P,MATCH($A422,Sheet1!$A:$A,0)),""))</f>
        <v/>
      </c>
      <c r="Q422" s="75">
        <f>IF($A422="","",IFERROR(INDEX(Company_desc!$C:$C,MATCH($A422,Company_desc!$A:$A,0)),IFERROR(INDEX(Sheet1!$Q:$Q,MATCH($A422,Sheet1!$A:$A,0)),"")))</f>
        <v/>
      </c>
      <c r="R422" s="75">
        <f>IF($A422="","",_xll.BDP($A422&amp;" Corp","CRNCY"))</f>
        <v/>
      </c>
      <c r="S422" s="75">
        <f>IF($A422="","",IFERROR(INDEX(Sheet1!$S:$S,MATCH($A422,Sheet1!$A:$A,0)),""))</f>
        <v/>
      </c>
      <c r="T422" s="75">
        <f>IF($A422="","",IFERROR(INDEX(Sheet1!$T:$T,MATCH($A422,Sheet1!$A:$A,0)),_xll.BDP($A422&amp;" Corp","RTG_SP")))</f>
        <v/>
      </c>
      <c r="U422" s="75">
        <f>IF($A422="","",IFERROR(INDEX(Sheet1!$U:$U,MATCH($A422,Sheet1!$A:$A,0)),""))</f>
        <v/>
      </c>
      <c r="W422" s="81">
        <f>IF($A422="","",N422-_xll.BDP($A422&amp;" Corp","YAS_OAS_SPRD","SETTLE_DT",Company_desc!$A$1))</f>
        <v/>
      </c>
      <c r="X422" s="81">
        <f>IF($A422="","",N422-_xll.BDP($A422&amp;" Corp","YAS_OAS_SPRD","SETTLE_DT",Company_desc!$A$2))</f>
        <v/>
      </c>
      <c r="Y422" s="80">
        <f>IF($A422="","",N422-_xll.BDP($A422&amp;" Corp","YAS_OAS_SPRD","SETTLE_DT",Company_desc!$D$1))</f>
        <v/>
      </c>
      <c r="Z422" s="82">
        <f>IF($A422="","",K422-_xll.BDP($A422&amp;" Corp","YAS_BOND_YLD","YAS_YLD_FLAG=15","SETTLE_DT",Company_desc!$D$1))</f>
        <v/>
      </c>
      <c r="AA422" s="80">
        <f>IF($A422="","",_xll.BDP($A422&amp;" Corp","YAS_OAS_SPRD","SETTLE_DT",Company_desc!$D$1))</f>
        <v/>
      </c>
    </row>
    <row r="423">
      <c r="B423" s="75">
        <f>IF($A423="","",IFERROR(INDEX(Sheet1!$B:$B,MATCH($A423,Sheet1!$A:$A,0)),""))</f>
        <v/>
      </c>
      <c r="C423" s="75">
        <f>IF($A423="","",PROPER(_xll.BDP($A423&amp;" Corp","NAME")))</f>
        <v/>
      </c>
      <c r="D423" s="76">
        <f>IF($A423="","",_xll.BDP($A423&amp;" Corp","CPN"))</f>
        <v/>
      </c>
      <c r="E423" s="75">
        <f>IF($A423="","",_xll.BDP($A423&amp;" Corp","PAYMENT_RANK"))</f>
        <v/>
      </c>
      <c r="F423" s="100">
        <f>IF($A423="","",_xll.BDP($A423&amp;" Corp","MATURITY"))</f>
        <v/>
      </c>
      <c r="G423" s="75">
        <f>IF($A423="","",PROPER(_xll.BDP($A423&amp;" Corp","COUNTRY_FULL_NAME")))</f>
        <v/>
      </c>
      <c r="H423" s="75">
        <f>IF($A423="","",_xll.BDP($A423&amp;" Corp","INDUSTRY_SECTOR"))</f>
        <v/>
      </c>
      <c r="I423" s="101">
        <f>IF($A423="","",IFERROR(_xll.BDP($A423&amp;" Corp","MIN_PIECE")/1000,""))</f>
        <v/>
      </c>
      <c r="J423" s="31">
        <f>IF($A423="","",_xll.BDP($A423&amp;" Corp","PX_LAST"))</f>
        <v/>
      </c>
      <c r="K423" s="31">
        <f>IF($A423="","",_xll.BDP($A423&amp;" Corp","YAS_BOND_YLD","YAS_YLD_FLAG=15"))</f>
        <v/>
      </c>
      <c r="L423" s="31">
        <f>IF($A423="","",K423-_xll.BDP($A423&amp;" Corp","YAS_BOND_YLD","YAS_YLD_FLAG=15","SETTLE_DT",Company_desc!$A$1))</f>
        <v/>
      </c>
      <c r="M423" s="31">
        <f>IF($A423="","",K423-_xll.BDP($A423&amp;" Corp","YAS_BOND_YLD","YAS_YLD_FLAG=15","SETTLE_DT",Company_desc!$A$2))</f>
        <v/>
      </c>
      <c r="N423" s="79">
        <f>IF($A423="","",_xll.BDP($A423&amp;" Corp","YAS_OAS_SPRD"))</f>
        <v/>
      </c>
      <c r="O423" s="67">
        <f>IF($A423="","",_xll.BDP($A423&amp;" Corp","YAS_MOD_DUR"))</f>
        <v/>
      </c>
      <c r="P423" s="80">
        <f>IF($A423="","",IFERROR(INDEX(Sheet1!$P:$P,MATCH($A423,Sheet1!$A:$A,0)),""))</f>
        <v/>
      </c>
      <c r="Q423" s="75">
        <f>IF($A423="","",IFERROR(INDEX(Company_desc!$C:$C,MATCH($A423,Company_desc!$A:$A,0)),IFERROR(INDEX(Sheet1!$Q:$Q,MATCH($A423,Sheet1!$A:$A,0)),"")))</f>
        <v/>
      </c>
      <c r="R423" s="75">
        <f>IF($A423="","",_xll.BDP($A423&amp;" Corp","CRNCY"))</f>
        <v/>
      </c>
      <c r="S423" s="75">
        <f>IF($A423="","",IFERROR(INDEX(Sheet1!$S:$S,MATCH($A423,Sheet1!$A:$A,0)),""))</f>
        <v/>
      </c>
      <c r="T423" s="75">
        <f>IF($A423="","",IFERROR(INDEX(Sheet1!$T:$T,MATCH($A423,Sheet1!$A:$A,0)),_xll.BDP($A423&amp;" Corp","RTG_SP")))</f>
        <v/>
      </c>
      <c r="U423" s="75">
        <f>IF($A423="","",IFERROR(INDEX(Sheet1!$U:$U,MATCH($A423,Sheet1!$A:$A,0)),""))</f>
        <v/>
      </c>
      <c r="W423" s="81">
        <f>IF($A423="","",N423-_xll.BDP($A423&amp;" Corp","YAS_OAS_SPRD","SETTLE_DT",Company_desc!$A$1))</f>
        <v/>
      </c>
      <c r="X423" s="81">
        <f>IF($A423="","",N423-_xll.BDP($A423&amp;" Corp","YAS_OAS_SPRD","SETTLE_DT",Company_desc!$A$2))</f>
        <v/>
      </c>
      <c r="Y423" s="80">
        <f>IF($A423="","",N423-_xll.BDP($A423&amp;" Corp","YAS_OAS_SPRD","SETTLE_DT",Company_desc!$D$1))</f>
        <v/>
      </c>
      <c r="Z423" s="82">
        <f>IF($A423="","",K423-_xll.BDP($A423&amp;" Corp","YAS_BOND_YLD","YAS_YLD_FLAG=15","SETTLE_DT",Company_desc!$D$1))</f>
        <v/>
      </c>
      <c r="AA423" s="80">
        <f>IF($A423="","",_xll.BDP($A423&amp;" Corp","YAS_OAS_SPRD","SETTLE_DT",Company_desc!$D$1))</f>
        <v/>
      </c>
    </row>
    <row r="424">
      <c r="B424" s="75">
        <f>IF($A424="","",IFERROR(INDEX(Sheet1!$B:$B,MATCH($A424,Sheet1!$A:$A,0)),""))</f>
        <v/>
      </c>
      <c r="C424" s="75">
        <f>IF($A424="","",PROPER(_xll.BDP($A424&amp;" Corp","NAME")))</f>
        <v/>
      </c>
      <c r="D424" s="76">
        <f>IF($A424="","",_xll.BDP($A424&amp;" Corp","CPN"))</f>
        <v/>
      </c>
      <c r="E424" s="75">
        <f>IF($A424="","",_xll.BDP($A424&amp;" Corp","PAYMENT_RANK"))</f>
        <v/>
      </c>
      <c r="F424" s="100">
        <f>IF($A424="","",_xll.BDP($A424&amp;" Corp","MATURITY"))</f>
        <v/>
      </c>
      <c r="G424" s="75">
        <f>IF($A424="","",PROPER(_xll.BDP($A424&amp;" Corp","COUNTRY_FULL_NAME")))</f>
        <v/>
      </c>
      <c r="H424" s="75">
        <f>IF($A424="","",_xll.BDP($A424&amp;" Corp","INDUSTRY_SECTOR"))</f>
        <v/>
      </c>
      <c r="I424" s="101">
        <f>IF($A424="","",IFERROR(_xll.BDP($A424&amp;" Corp","MIN_PIECE")/1000,""))</f>
        <v/>
      </c>
      <c r="J424" s="31">
        <f>IF($A424="","",_xll.BDP($A424&amp;" Corp","PX_LAST"))</f>
        <v/>
      </c>
      <c r="K424" s="31">
        <f>IF($A424="","",_xll.BDP($A424&amp;" Corp","YAS_BOND_YLD","YAS_YLD_FLAG=15"))</f>
        <v/>
      </c>
      <c r="L424" s="31">
        <f>IF($A424="","",K424-_xll.BDP($A424&amp;" Corp","YAS_BOND_YLD","YAS_YLD_FLAG=15","SETTLE_DT",Company_desc!$A$1))</f>
        <v/>
      </c>
      <c r="M424" s="31">
        <f>IF($A424="","",K424-_xll.BDP($A424&amp;" Corp","YAS_BOND_YLD","YAS_YLD_FLAG=15","SETTLE_DT",Company_desc!$A$2))</f>
        <v/>
      </c>
      <c r="N424" s="79">
        <f>IF($A424="","",_xll.BDP($A424&amp;" Corp","YAS_OAS_SPRD"))</f>
        <v/>
      </c>
      <c r="O424" s="67">
        <f>IF($A424="","",_xll.BDP($A424&amp;" Corp","YAS_MOD_DUR"))</f>
        <v/>
      </c>
      <c r="P424" s="80">
        <f>IF($A424="","",IFERROR(INDEX(Sheet1!$P:$P,MATCH($A424,Sheet1!$A:$A,0)),""))</f>
        <v/>
      </c>
      <c r="Q424" s="75">
        <f>IF($A424="","",IFERROR(INDEX(Company_desc!$C:$C,MATCH($A424,Company_desc!$A:$A,0)),IFERROR(INDEX(Sheet1!$Q:$Q,MATCH($A424,Sheet1!$A:$A,0)),"")))</f>
        <v/>
      </c>
      <c r="R424" s="75">
        <f>IF($A424="","",_xll.BDP($A424&amp;" Corp","CRNCY"))</f>
        <v/>
      </c>
      <c r="S424" s="75">
        <f>IF($A424="","",IFERROR(INDEX(Sheet1!$S:$S,MATCH($A424,Sheet1!$A:$A,0)),""))</f>
        <v/>
      </c>
      <c r="T424" s="75">
        <f>IF($A424="","",IFERROR(INDEX(Sheet1!$T:$T,MATCH($A424,Sheet1!$A:$A,0)),_xll.BDP($A424&amp;" Corp","RTG_SP")))</f>
        <v/>
      </c>
      <c r="U424" s="75">
        <f>IF($A424="","",IFERROR(INDEX(Sheet1!$U:$U,MATCH($A424,Sheet1!$A:$A,0)),""))</f>
        <v/>
      </c>
      <c r="W424" s="81">
        <f>IF($A424="","",N424-_xll.BDP($A424&amp;" Corp","YAS_OAS_SPRD","SETTLE_DT",Company_desc!$A$1))</f>
        <v/>
      </c>
      <c r="X424" s="81">
        <f>IF($A424="","",N424-_xll.BDP($A424&amp;" Corp","YAS_OAS_SPRD","SETTLE_DT",Company_desc!$A$2))</f>
        <v/>
      </c>
      <c r="Y424" s="80">
        <f>IF($A424="","",N424-_xll.BDP($A424&amp;" Corp","YAS_OAS_SPRD","SETTLE_DT",Company_desc!$D$1))</f>
        <v/>
      </c>
      <c r="Z424" s="82">
        <f>IF($A424="","",K424-_xll.BDP($A424&amp;" Corp","YAS_BOND_YLD","YAS_YLD_FLAG=15","SETTLE_DT",Company_desc!$D$1))</f>
        <v/>
      </c>
      <c r="AA424" s="80">
        <f>IF($A424="","",_xll.BDP($A424&amp;" Corp","YAS_OAS_SPRD","SETTLE_DT",Company_desc!$D$1))</f>
        <v/>
      </c>
    </row>
    <row r="425">
      <c r="B425" s="75">
        <f>IF($A425="","",IFERROR(INDEX(Sheet1!$B:$B,MATCH($A425,Sheet1!$A:$A,0)),""))</f>
        <v/>
      </c>
      <c r="C425" s="75">
        <f>IF($A425="","",PROPER(_xll.BDP($A425&amp;" Corp","NAME")))</f>
        <v/>
      </c>
      <c r="D425" s="76">
        <f>IF($A425="","",_xll.BDP($A425&amp;" Corp","CPN"))</f>
        <v/>
      </c>
      <c r="E425" s="75">
        <f>IF($A425="","",_xll.BDP($A425&amp;" Corp","PAYMENT_RANK"))</f>
        <v/>
      </c>
      <c r="F425" s="100">
        <f>IF($A425="","",_xll.BDP($A425&amp;" Corp","MATURITY"))</f>
        <v/>
      </c>
      <c r="G425" s="75">
        <f>IF($A425="","",PROPER(_xll.BDP($A425&amp;" Corp","COUNTRY_FULL_NAME")))</f>
        <v/>
      </c>
      <c r="H425" s="75">
        <f>IF($A425="","",_xll.BDP($A425&amp;" Corp","INDUSTRY_SECTOR"))</f>
        <v/>
      </c>
      <c r="I425" s="101">
        <f>IF($A425="","",IFERROR(_xll.BDP($A425&amp;" Corp","MIN_PIECE")/1000,""))</f>
        <v/>
      </c>
      <c r="J425" s="31">
        <f>IF($A425="","",_xll.BDP($A425&amp;" Corp","PX_LAST"))</f>
        <v/>
      </c>
      <c r="K425" s="31">
        <f>IF($A425="","",_xll.BDP($A425&amp;" Corp","YAS_BOND_YLD","YAS_YLD_FLAG=15"))</f>
        <v/>
      </c>
      <c r="L425" s="31">
        <f>IF($A425="","",K425-_xll.BDP($A425&amp;" Corp","YAS_BOND_YLD","YAS_YLD_FLAG=15","SETTLE_DT",Company_desc!$A$1))</f>
        <v/>
      </c>
      <c r="M425" s="31">
        <f>IF($A425="","",K425-_xll.BDP($A425&amp;" Corp","YAS_BOND_YLD","YAS_YLD_FLAG=15","SETTLE_DT",Company_desc!$A$2))</f>
        <v/>
      </c>
      <c r="N425" s="79">
        <f>IF($A425="","",_xll.BDP($A425&amp;" Corp","YAS_OAS_SPRD"))</f>
        <v/>
      </c>
      <c r="O425" s="67">
        <f>IF($A425="","",_xll.BDP($A425&amp;" Corp","YAS_MOD_DUR"))</f>
        <v/>
      </c>
      <c r="P425" s="80">
        <f>IF($A425="","",IFERROR(INDEX(Sheet1!$P:$P,MATCH($A425,Sheet1!$A:$A,0)),""))</f>
        <v/>
      </c>
      <c r="Q425" s="75">
        <f>IF($A425="","",IFERROR(INDEX(Company_desc!$C:$C,MATCH($A425,Company_desc!$A:$A,0)),IFERROR(INDEX(Sheet1!$Q:$Q,MATCH($A425,Sheet1!$A:$A,0)),"")))</f>
        <v/>
      </c>
      <c r="R425" s="75">
        <f>IF($A425="","",_xll.BDP($A425&amp;" Corp","CRNCY"))</f>
        <v/>
      </c>
      <c r="S425" s="75">
        <f>IF($A425="","",IFERROR(INDEX(Sheet1!$S:$S,MATCH($A425,Sheet1!$A:$A,0)),""))</f>
        <v/>
      </c>
      <c r="T425" s="75">
        <f>IF($A425="","",IFERROR(INDEX(Sheet1!$T:$T,MATCH($A425,Sheet1!$A:$A,0)),_xll.BDP($A425&amp;" Corp","RTG_SP")))</f>
        <v/>
      </c>
      <c r="U425" s="75">
        <f>IF($A425="","",IFERROR(INDEX(Sheet1!$U:$U,MATCH($A425,Sheet1!$A:$A,0)),""))</f>
        <v/>
      </c>
      <c r="W425" s="81">
        <f>IF($A425="","",N425-_xll.BDP($A425&amp;" Corp","YAS_OAS_SPRD","SETTLE_DT",Company_desc!$A$1))</f>
        <v/>
      </c>
      <c r="X425" s="81">
        <f>IF($A425="","",N425-_xll.BDP($A425&amp;" Corp","YAS_OAS_SPRD","SETTLE_DT",Company_desc!$A$2))</f>
        <v/>
      </c>
      <c r="Y425" s="80">
        <f>IF($A425="","",N425-_xll.BDP($A425&amp;" Corp","YAS_OAS_SPRD","SETTLE_DT",Company_desc!$D$1))</f>
        <v/>
      </c>
      <c r="Z425" s="82">
        <f>IF($A425="","",K425-_xll.BDP($A425&amp;" Corp","YAS_BOND_YLD","YAS_YLD_FLAG=15","SETTLE_DT",Company_desc!$D$1))</f>
        <v/>
      </c>
      <c r="AA425" s="80">
        <f>IF($A425="","",_xll.BDP($A425&amp;" Corp","YAS_OAS_SPRD","SETTLE_DT",Company_desc!$D$1))</f>
        <v/>
      </c>
    </row>
    <row r="426">
      <c r="B426" s="75">
        <f>IF($A426="","",IFERROR(INDEX(Sheet1!$B:$B,MATCH($A426,Sheet1!$A:$A,0)),""))</f>
        <v/>
      </c>
      <c r="C426" s="75">
        <f>IF($A426="","",PROPER(_xll.BDP($A426&amp;" Corp","NAME")))</f>
        <v/>
      </c>
      <c r="D426" s="76">
        <f>IF($A426="","",_xll.BDP($A426&amp;" Corp","CPN"))</f>
        <v/>
      </c>
      <c r="E426" s="75">
        <f>IF($A426="","",_xll.BDP($A426&amp;" Corp","PAYMENT_RANK"))</f>
        <v/>
      </c>
      <c r="F426" s="100">
        <f>IF($A426="","",_xll.BDP($A426&amp;" Corp","MATURITY"))</f>
        <v/>
      </c>
      <c r="G426" s="75">
        <f>IF($A426="","",PROPER(_xll.BDP($A426&amp;" Corp","COUNTRY_FULL_NAME")))</f>
        <v/>
      </c>
      <c r="H426" s="75">
        <f>IF($A426="","",_xll.BDP($A426&amp;" Corp","INDUSTRY_SECTOR"))</f>
        <v/>
      </c>
      <c r="I426" s="101">
        <f>IF($A426="","",IFERROR(_xll.BDP($A426&amp;" Corp","MIN_PIECE")/1000,""))</f>
        <v/>
      </c>
      <c r="J426" s="31">
        <f>IF($A426="","",_xll.BDP($A426&amp;" Corp","PX_LAST"))</f>
        <v/>
      </c>
      <c r="K426" s="31">
        <f>IF($A426="","",_xll.BDP($A426&amp;" Corp","YAS_BOND_YLD","YAS_YLD_FLAG=15"))</f>
        <v/>
      </c>
      <c r="L426" s="31">
        <f>IF($A426="","",K426-_xll.BDP($A426&amp;" Corp","YAS_BOND_YLD","YAS_YLD_FLAG=15","SETTLE_DT",Company_desc!$A$1))</f>
        <v/>
      </c>
      <c r="M426" s="31">
        <f>IF($A426="","",K426-_xll.BDP($A426&amp;" Corp","YAS_BOND_YLD","YAS_YLD_FLAG=15","SETTLE_DT",Company_desc!$A$2))</f>
        <v/>
      </c>
      <c r="N426" s="79">
        <f>IF($A426="","",_xll.BDP($A426&amp;" Corp","YAS_OAS_SPRD"))</f>
        <v/>
      </c>
      <c r="O426" s="67">
        <f>IF($A426="","",_xll.BDP($A426&amp;" Corp","YAS_MOD_DUR"))</f>
        <v/>
      </c>
      <c r="P426" s="80">
        <f>IF($A426="","",IFERROR(INDEX(Sheet1!$P:$P,MATCH($A426,Sheet1!$A:$A,0)),""))</f>
        <v/>
      </c>
      <c r="Q426" s="75">
        <f>IF($A426="","",IFERROR(INDEX(Company_desc!$C:$C,MATCH($A426,Company_desc!$A:$A,0)),IFERROR(INDEX(Sheet1!$Q:$Q,MATCH($A426,Sheet1!$A:$A,0)),"")))</f>
        <v/>
      </c>
      <c r="R426" s="75">
        <f>IF($A426="","",_xll.BDP($A426&amp;" Corp","CRNCY"))</f>
        <v/>
      </c>
      <c r="S426" s="75">
        <f>IF($A426="","",IFERROR(INDEX(Sheet1!$S:$S,MATCH($A426,Sheet1!$A:$A,0)),""))</f>
        <v/>
      </c>
      <c r="T426" s="75">
        <f>IF($A426="","",IFERROR(INDEX(Sheet1!$T:$T,MATCH($A426,Sheet1!$A:$A,0)),_xll.BDP($A426&amp;" Corp","RTG_SP")))</f>
        <v/>
      </c>
      <c r="U426" s="75">
        <f>IF($A426="","",IFERROR(INDEX(Sheet1!$U:$U,MATCH($A426,Sheet1!$A:$A,0)),""))</f>
        <v/>
      </c>
      <c r="W426" s="81">
        <f>IF($A426="","",N426-_xll.BDP($A426&amp;" Corp","YAS_OAS_SPRD","SETTLE_DT",Company_desc!$A$1))</f>
        <v/>
      </c>
      <c r="X426" s="81">
        <f>IF($A426="","",N426-_xll.BDP($A426&amp;" Corp","YAS_OAS_SPRD","SETTLE_DT",Company_desc!$A$2))</f>
        <v/>
      </c>
      <c r="Y426" s="80">
        <f>IF($A426="","",N426-_xll.BDP($A426&amp;" Corp","YAS_OAS_SPRD","SETTLE_DT",Company_desc!$D$1))</f>
        <v/>
      </c>
      <c r="Z426" s="82">
        <f>IF($A426="","",K426-_xll.BDP($A426&amp;" Corp","YAS_BOND_YLD","YAS_YLD_FLAG=15","SETTLE_DT",Company_desc!$D$1))</f>
        <v/>
      </c>
      <c r="AA426" s="80">
        <f>IF($A426="","",_xll.BDP($A426&amp;" Corp","YAS_OAS_SPRD","SETTLE_DT",Company_desc!$D$1))</f>
        <v/>
      </c>
    </row>
    <row r="427">
      <c r="B427" s="75">
        <f>IF($A427="","",IFERROR(INDEX(Sheet1!$B:$B,MATCH($A427,Sheet1!$A:$A,0)),""))</f>
        <v/>
      </c>
      <c r="C427" s="75">
        <f>IF($A427="","",PROPER(_xll.BDP($A427&amp;" Corp","NAME")))</f>
        <v/>
      </c>
      <c r="D427" s="76">
        <f>IF($A427="","",_xll.BDP($A427&amp;" Corp","CPN"))</f>
        <v/>
      </c>
      <c r="E427" s="75">
        <f>IF($A427="","",_xll.BDP($A427&amp;" Corp","PAYMENT_RANK"))</f>
        <v/>
      </c>
      <c r="F427" s="100">
        <f>IF($A427="","",_xll.BDP($A427&amp;" Corp","MATURITY"))</f>
        <v/>
      </c>
      <c r="G427" s="75">
        <f>IF($A427="","",PROPER(_xll.BDP($A427&amp;" Corp","COUNTRY_FULL_NAME")))</f>
        <v/>
      </c>
      <c r="H427" s="75">
        <f>IF($A427="","",_xll.BDP($A427&amp;" Corp","INDUSTRY_SECTOR"))</f>
        <v/>
      </c>
      <c r="I427" s="101">
        <f>IF($A427="","",IFERROR(_xll.BDP($A427&amp;" Corp","MIN_PIECE")/1000,""))</f>
        <v/>
      </c>
      <c r="J427" s="31">
        <f>IF($A427="","",_xll.BDP($A427&amp;" Corp","PX_LAST"))</f>
        <v/>
      </c>
      <c r="K427" s="31">
        <f>IF($A427="","",_xll.BDP($A427&amp;" Corp","YAS_BOND_YLD","YAS_YLD_FLAG=15"))</f>
        <v/>
      </c>
      <c r="L427" s="31">
        <f>IF($A427="","",K427-_xll.BDP($A427&amp;" Corp","YAS_BOND_YLD","YAS_YLD_FLAG=15","SETTLE_DT",Company_desc!$A$1))</f>
        <v/>
      </c>
      <c r="M427" s="31">
        <f>IF($A427="","",K427-_xll.BDP($A427&amp;" Corp","YAS_BOND_YLD","YAS_YLD_FLAG=15","SETTLE_DT",Company_desc!$A$2))</f>
        <v/>
      </c>
      <c r="N427" s="79">
        <f>IF($A427="","",_xll.BDP($A427&amp;" Corp","YAS_OAS_SPRD"))</f>
        <v/>
      </c>
      <c r="O427" s="67">
        <f>IF($A427="","",_xll.BDP($A427&amp;" Corp","YAS_MOD_DUR"))</f>
        <v/>
      </c>
      <c r="P427" s="80">
        <f>IF($A427="","",IFERROR(INDEX(Sheet1!$P:$P,MATCH($A427,Sheet1!$A:$A,0)),""))</f>
        <v/>
      </c>
      <c r="Q427" s="75">
        <f>IF($A427="","",IFERROR(INDEX(Company_desc!$C:$C,MATCH($A427,Company_desc!$A:$A,0)),IFERROR(INDEX(Sheet1!$Q:$Q,MATCH($A427,Sheet1!$A:$A,0)),"")))</f>
        <v/>
      </c>
      <c r="R427" s="75">
        <f>IF($A427="","",_xll.BDP($A427&amp;" Corp","CRNCY"))</f>
        <v/>
      </c>
      <c r="S427" s="75">
        <f>IF($A427="","",IFERROR(INDEX(Sheet1!$S:$S,MATCH($A427,Sheet1!$A:$A,0)),""))</f>
        <v/>
      </c>
      <c r="T427" s="75">
        <f>IF($A427="","",IFERROR(INDEX(Sheet1!$T:$T,MATCH($A427,Sheet1!$A:$A,0)),_xll.BDP($A427&amp;" Corp","RTG_SP")))</f>
        <v/>
      </c>
      <c r="U427" s="75">
        <f>IF($A427="","",IFERROR(INDEX(Sheet1!$U:$U,MATCH($A427,Sheet1!$A:$A,0)),""))</f>
        <v/>
      </c>
      <c r="W427" s="81">
        <f>IF($A427="","",N427-_xll.BDP($A427&amp;" Corp","YAS_OAS_SPRD","SETTLE_DT",Company_desc!$A$1))</f>
        <v/>
      </c>
      <c r="X427" s="81">
        <f>IF($A427="","",N427-_xll.BDP($A427&amp;" Corp","YAS_OAS_SPRD","SETTLE_DT",Company_desc!$A$2))</f>
        <v/>
      </c>
      <c r="Y427" s="80">
        <f>IF($A427="","",N427-_xll.BDP($A427&amp;" Corp","YAS_OAS_SPRD","SETTLE_DT",Company_desc!$D$1))</f>
        <v/>
      </c>
      <c r="Z427" s="82">
        <f>IF($A427="","",K427-_xll.BDP($A427&amp;" Corp","YAS_BOND_YLD","YAS_YLD_FLAG=15","SETTLE_DT",Company_desc!$D$1))</f>
        <v/>
      </c>
      <c r="AA427" s="80">
        <f>IF($A427="","",_xll.BDP($A427&amp;" Corp","YAS_OAS_SPRD","SETTLE_DT",Company_desc!$D$1))</f>
        <v/>
      </c>
    </row>
    <row r="428">
      <c r="A428" s="42" t="n"/>
      <c r="B428" s="75">
        <f>IF($A428="","",IFERROR(INDEX(Sheet1!$B:$B,MATCH($A428,Sheet1!$A:$A,0)),""))</f>
        <v/>
      </c>
      <c r="C428" s="75">
        <f>IF($A428="","",PROPER(_xll.BDP($A428&amp;" Corp","NAME")))</f>
        <v/>
      </c>
      <c r="D428" s="76">
        <f>IF($A428="","",_xll.BDP($A428&amp;" Corp","CPN"))</f>
        <v/>
      </c>
      <c r="E428" s="75">
        <f>IF($A428="","",_xll.BDP($A428&amp;" Corp","PAYMENT_RANK"))</f>
        <v/>
      </c>
      <c r="F428" s="100">
        <f>IF($A428="","",_xll.BDP($A428&amp;" Corp","MATURITY"))</f>
        <v/>
      </c>
      <c r="G428" s="75">
        <f>IF($A428="","",PROPER(_xll.BDP($A428&amp;" Corp","COUNTRY_FULL_NAME")))</f>
        <v/>
      </c>
      <c r="H428" s="75">
        <f>IF($A428="","",_xll.BDP($A428&amp;" Corp","INDUSTRY_SECTOR"))</f>
        <v/>
      </c>
      <c r="I428" s="101">
        <f>IF($A428="","",IFERROR(_xll.BDP($A428&amp;" Corp","MIN_PIECE")/1000,""))</f>
        <v/>
      </c>
      <c r="J428" s="31">
        <f>IF($A428="","",_xll.BDP($A428&amp;" Corp","PX_LAST"))</f>
        <v/>
      </c>
      <c r="K428" s="31">
        <f>IF($A428="","",_xll.BDP($A428&amp;" Corp","YAS_BOND_YLD","YAS_YLD_FLAG=15"))</f>
        <v/>
      </c>
      <c r="L428" s="31">
        <f>IF($A428="","",K428-_xll.BDP($A428&amp;" Corp","YAS_BOND_YLD","YAS_YLD_FLAG=15","SETTLE_DT",Company_desc!$A$1))</f>
        <v/>
      </c>
      <c r="M428" s="31">
        <f>IF($A428="","",K428-_xll.BDP($A428&amp;" Corp","YAS_BOND_YLD","YAS_YLD_FLAG=15","SETTLE_DT",Company_desc!$A$2))</f>
        <v/>
      </c>
      <c r="N428" s="79">
        <f>IF($A428="","",_xll.BDP($A428&amp;" Corp","YAS_OAS_SPRD"))</f>
        <v/>
      </c>
      <c r="O428" s="67">
        <f>IF($A428="","",_xll.BDP($A428&amp;" Corp","YAS_MOD_DUR"))</f>
        <v/>
      </c>
      <c r="P428" s="80">
        <f>IF($A428="","",IFERROR(INDEX(Sheet1!$P:$P,MATCH($A428,Sheet1!$A:$A,0)),""))</f>
        <v/>
      </c>
      <c r="Q428" s="75">
        <f>IF($A428="","",IFERROR(INDEX(Company_desc!$C:$C,MATCH($A428,Company_desc!$A:$A,0)),IFERROR(INDEX(Sheet1!$Q:$Q,MATCH($A428,Sheet1!$A:$A,0)),"")))</f>
        <v/>
      </c>
      <c r="R428" s="75">
        <f>IF($A428="","",_xll.BDP($A428&amp;" Corp","CRNCY"))</f>
        <v/>
      </c>
      <c r="S428" s="75">
        <f>IF($A428="","",IFERROR(INDEX(Sheet1!$S:$S,MATCH($A428,Sheet1!$A:$A,0)),""))</f>
        <v/>
      </c>
      <c r="T428" s="75">
        <f>IF($A428="","",IFERROR(INDEX(Sheet1!$T:$T,MATCH($A428,Sheet1!$A:$A,0)),_xll.BDP($A428&amp;" Corp","RTG_SP")))</f>
        <v/>
      </c>
      <c r="U428" s="75">
        <f>IF($A428="","",IFERROR(INDEX(Sheet1!$U:$U,MATCH($A428,Sheet1!$A:$A,0)),""))</f>
        <v/>
      </c>
      <c r="W428" s="81">
        <f>IF($A428="","",N428-_xll.BDP($A428&amp;" Corp","YAS_OAS_SPRD","SETTLE_DT",Company_desc!$A$1))</f>
        <v/>
      </c>
      <c r="X428" s="81">
        <f>IF($A428="","",N428-_xll.BDP($A428&amp;" Corp","YAS_OAS_SPRD","SETTLE_DT",Company_desc!$A$2))</f>
        <v/>
      </c>
      <c r="Y428" s="80">
        <f>IF($A428="","",N428-_xll.BDP($A428&amp;" Corp","YAS_OAS_SPRD","SETTLE_DT",Company_desc!$D$1))</f>
        <v/>
      </c>
      <c r="Z428" s="82">
        <f>IF($A428="","",K428-_xll.BDP($A428&amp;" Corp","YAS_BOND_YLD","YAS_YLD_FLAG=15","SETTLE_DT",Company_desc!$D$1))</f>
        <v/>
      </c>
      <c r="AA428" s="80">
        <f>IF($A428="","",_xll.BDP($A428&amp;" Corp","YAS_OAS_SPRD","SETTLE_DT",Company_desc!$D$1))</f>
        <v/>
      </c>
    </row>
    <row r="429">
      <c r="B429" s="75">
        <f>IF($A429="","",IFERROR(INDEX(Sheet1!$B:$B,MATCH($A429,Sheet1!$A:$A,0)),""))</f>
        <v/>
      </c>
      <c r="C429" s="75">
        <f>IF($A429="","",PROPER(_xll.BDP($A429&amp;" Corp","NAME")))</f>
        <v/>
      </c>
      <c r="D429" s="76">
        <f>IF($A429="","",_xll.BDP($A429&amp;" Corp","CPN"))</f>
        <v/>
      </c>
      <c r="E429" s="75">
        <f>IF($A429="","",_xll.BDP($A429&amp;" Corp","PAYMENT_RANK"))</f>
        <v/>
      </c>
      <c r="F429" s="100">
        <f>IF($A429="","",_xll.BDP($A429&amp;" Corp","MATURITY"))</f>
        <v/>
      </c>
      <c r="G429" s="75">
        <f>IF($A429="","",PROPER(_xll.BDP($A429&amp;" Corp","COUNTRY_FULL_NAME")))</f>
        <v/>
      </c>
      <c r="H429" s="75">
        <f>IF($A429="","",_xll.BDP($A429&amp;" Corp","INDUSTRY_SECTOR"))</f>
        <v/>
      </c>
      <c r="I429" s="101">
        <f>IF($A429="","",IFERROR(_xll.BDP($A429&amp;" Corp","MIN_PIECE")/1000,""))</f>
        <v/>
      </c>
      <c r="J429" s="31">
        <f>IF($A429="","",_xll.BDP($A429&amp;" Corp","PX_LAST"))</f>
        <v/>
      </c>
      <c r="K429" s="31">
        <f>IF($A429="","",_xll.BDP($A429&amp;" Corp","YAS_BOND_YLD","YAS_YLD_FLAG=15"))</f>
        <v/>
      </c>
      <c r="L429" s="31">
        <f>IF($A429="","",K429-_xll.BDP($A429&amp;" Corp","YAS_BOND_YLD","YAS_YLD_FLAG=15","SETTLE_DT",Company_desc!$A$1))</f>
        <v/>
      </c>
      <c r="M429" s="31">
        <f>IF($A429="","",K429-_xll.BDP($A429&amp;" Corp","YAS_BOND_YLD","YAS_YLD_FLAG=15","SETTLE_DT",Company_desc!$A$2))</f>
        <v/>
      </c>
      <c r="N429" s="79">
        <f>IF($A429="","",_xll.BDP($A429&amp;" Corp","YAS_OAS_SPRD"))</f>
        <v/>
      </c>
      <c r="O429" s="67">
        <f>IF($A429="","",_xll.BDP($A429&amp;" Corp","YAS_MOD_DUR"))</f>
        <v/>
      </c>
      <c r="P429" s="80">
        <f>IF($A429="","",IFERROR(INDEX(Sheet1!$P:$P,MATCH($A429,Sheet1!$A:$A,0)),""))</f>
        <v/>
      </c>
      <c r="Q429" s="75">
        <f>IF($A429="","",IFERROR(INDEX(Company_desc!$C:$C,MATCH($A429,Company_desc!$A:$A,0)),IFERROR(INDEX(Sheet1!$Q:$Q,MATCH($A429,Sheet1!$A:$A,0)),"")))</f>
        <v/>
      </c>
      <c r="R429" s="75">
        <f>IF($A429="","",_xll.BDP($A429&amp;" Corp","CRNCY"))</f>
        <v/>
      </c>
      <c r="S429" s="75">
        <f>IF($A429="","",IFERROR(INDEX(Sheet1!$S:$S,MATCH($A429,Sheet1!$A:$A,0)),""))</f>
        <v/>
      </c>
      <c r="T429" s="75">
        <f>IF($A429="","",IFERROR(INDEX(Sheet1!$T:$T,MATCH($A429,Sheet1!$A:$A,0)),_xll.BDP($A429&amp;" Corp","RTG_SP")))</f>
        <v/>
      </c>
      <c r="U429" s="75">
        <f>IF($A429="","",IFERROR(INDEX(Sheet1!$U:$U,MATCH($A429,Sheet1!$A:$A,0)),""))</f>
        <v/>
      </c>
      <c r="W429" s="81">
        <f>IF($A429="","",N429-_xll.BDP($A429&amp;" Corp","YAS_OAS_SPRD","SETTLE_DT",Company_desc!$A$1))</f>
        <v/>
      </c>
      <c r="X429" s="81">
        <f>IF($A429="","",N429-_xll.BDP($A429&amp;" Corp","YAS_OAS_SPRD","SETTLE_DT",Company_desc!$A$2))</f>
        <v/>
      </c>
      <c r="Y429" s="80">
        <f>IF($A429="","",N429-_xll.BDP($A429&amp;" Corp","YAS_OAS_SPRD","SETTLE_DT",Company_desc!$D$1))</f>
        <v/>
      </c>
      <c r="Z429" s="82">
        <f>IF($A429="","",K429-_xll.BDP($A429&amp;" Corp","YAS_BOND_YLD","YAS_YLD_FLAG=15","SETTLE_DT",Company_desc!$D$1))</f>
        <v/>
      </c>
      <c r="AA429" s="80">
        <f>IF($A429="","",_xll.BDP($A429&amp;" Corp","YAS_OAS_SPRD","SETTLE_DT",Company_desc!$D$1))</f>
        <v/>
      </c>
    </row>
    <row r="430">
      <c r="B430" s="75">
        <f>IF($A430="","",IFERROR(INDEX(Sheet1!$B:$B,MATCH($A430,Sheet1!$A:$A,0)),""))</f>
        <v/>
      </c>
      <c r="C430" s="75">
        <f>IF($A430="","",PROPER(_xll.BDP($A430&amp;" Corp","NAME")))</f>
        <v/>
      </c>
      <c r="D430" s="76">
        <f>IF($A430="","",_xll.BDP($A430&amp;" Corp","CPN"))</f>
        <v/>
      </c>
      <c r="E430" s="75">
        <f>IF($A430="","",_xll.BDP($A430&amp;" Corp","PAYMENT_RANK"))</f>
        <v/>
      </c>
      <c r="F430" s="100">
        <f>IF($A430="","",_xll.BDP($A430&amp;" Corp","MATURITY"))</f>
        <v/>
      </c>
      <c r="G430" s="75">
        <f>IF($A430="","",PROPER(_xll.BDP($A430&amp;" Corp","COUNTRY_FULL_NAME")))</f>
        <v/>
      </c>
      <c r="H430" s="75">
        <f>IF($A430="","",_xll.BDP($A430&amp;" Corp","INDUSTRY_SECTOR"))</f>
        <v/>
      </c>
      <c r="I430" s="101">
        <f>IF($A430="","",IFERROR(_xll.BDP($A430&amp;" Corp","MIN_PIECE")/1000,""))</f>
        <v/>
      </c>
      <c r="J430" s="31">
        <f>IF($A430="","",_xll.BDP($A430&amp;" Corp","PX_LAST"))</f>
        <v/>
      </c>
      <c r="K430" s="31">
        <f>IF($A430="","",_xll.BDP($A430&amp;" Corp","YAS_BOND_YLD","YAS_YLD_FLAG=15"))</f>
        <v/>
      </c>
      <c r="L430" s="31">
        <f>IF($A430="","",K430-_xll.BDP($A430&amp;" Corp","YAS_BOND_YLD","YAS_YLD_FLAG=15","SETTLE_DT",Company_desc!$A$1))</f>
        <v/>
      </c>
      <c r="M430" s="31">
        <f>IF($A430="","",K430-_xll.BDP($A430&amp;" Corp","YAS_BOND_YLD","YAS_YLD_FLAG=15","SETTLE_DT",Company_desc!$A$2))</f>
        <v/>
      </c>
      <c r="N430" s="79">
        <f>IF($A430="","",_xll.BDP($A430&amp;" Corp","YAS_OAS_SPRD"))</f>
        <v/>
      </c>
      <c r="O430" s="67">
        <f>IF($A430="","",_xll.BDP($A430&amp;" Corp","YAS_MOD_DUR"))</f>
        <v/>
      </c>
      <c r="P430" s="80">
        <f>IF($A430="","",IFERROR(INDEX(Sheet1!$P:$P,MATCH($A430,Sheet1!$A:$A,0)),""))</f>
        <v/>
      </c>
      <c r="Q430" s="75">
        <f>IF($A430="","",IFERROR(INDEX(Company_desc!$C:$C,MATCH($A430,Company_desc!$A:$A,0)),IFERROR(INDEX(Sheet1!$Q:$Q,MATCH($A430,Sheet1!$A:$A,0)),"")))</f>
        <v/>
      </c>
      <c r="R430" s="75">
        <f>IF($A430="","",_xll.BDP($A430&amp;" Corp","CRNCY"))</f>
        <v/>
      </c>
      <c r="S430" s="75">
        <f>IF($A430="","",IFERROR(INDEX(Sheet1!$S:$S,MATCH($A430,Sheet1!$A:$A,0)),""))</f>
        <v/>
      </c>
      <c r="T430" s="75">
        <f>IF($A430="","",IFERROR(INDEX(Sheet1!$T:$T,MATCH($A430,Sheet1!$A:$A,0)),_xll.BDP($A430&amp;" Corp","RTG_SP")))</f>
        <v/>
      </c>
      <c r="U430" s="75">
        <f>IF($A430="","",IFERROR(INDEX(Sheet1!$U:$U,MATCH($A430,Sheet1!$A:$A,0)),""))</f>
        <v/>
      </c>
      <c r="W430" s="81">
        <f>IF($A430="","",N430-_xll.BDP($A430&amp;" Corp","YAS_OAS_SPRD","SETTLE_DT",Company_desc!$A$1))</f>
        <v/>
      </c>
      <c r="X430" s="81">
        <f>IF($A430="","",N430-_xll.BDP($A430&amp;" Corp","YAS_OAS_SPRD","SETTLE_DT",Company_desc!$A$2))</f>
        <v/>
      </c>
      <c r="Y430" s="80">
        <f>IF($A430="","",N430-_xll.BDP($A430&amp;" Corp","YAS_OAS_SPRD","SETTLE_DT",Company_desc!$D$1))</f>
        <v/>
      </c>
      <c r="Z430" s="82">
        <f>IF($A430="","",K430-_xll.BDP($A430&amp;" Corp","YAS_BOND_YLD","YAS_YLD_FLAG=15","SETTLE_DT",Company_desc!$D$1))</f>
        <v/>
      </c>
      <c r="AA430" s="80">
        <f>IF($A430="","",_xll.BDP($A430&amp;" Corp","YAS_OAS_SPRD","SETTLE_DT",Company_desc!$D$1))</f>
        <v/>
      </c>
    </row>
    <row r="431">
      <c r="B431" s="75">
        <f>IF($A431="","",IFERROR(INDEX(Sheet1!$B:$B,MATCH($A431,Sheet1!$A:$A,0)),""))</f>
        <v/>
      </c>
      <c r="C431" s="75">
        <f>IF($A431="","",PROPER(_xll.BDP($A431&amp;" Corp","NAME")))</f>
        <v/>
      </c>
      <c r="D431" s="76">
        <f>IF($A431="","",_xll.BDP($A431&amp;" Corp","CPN"))</f>
        <v/>
      </c>
      <c r="E431" s="75">
        <f>IF($A431="","",_xll.BDP($A431&amp;" Corp","PAYMENT_RANK"))</f>
        <v/>
      </c>
      <c r="F431" s="100">
        <f>IF($A431="","",_xll.BDP($A431&amp;" Corp","MATURITY"))</f>
        <v/>
      </c>
      <c r="G431" s="75">
        <f>IF($A431="","",PROPER(_xll.BDP($A431&amp;" Corp","COUNTRY_FULL_NAME")))</f>
        <v/>
      </c>
      <c r="H431" s="75">
        <f>IF($A431="","",_xll.BDP($A431&amp;" Corp","INDUSTRY_SECTOR"))</f>
        <v/>
      </c>
      <c r="I431" s="101">
        <f>IF($A431="","",IFERROR(_xll.BDP($A431&amp;" Corp","MIN_PIECE")/1000,""))</f>
        <v/>
      </c>
      <c r="J431" s="31">
        <f>IF($A431="","",_xll.BDP($A431&amp;" Corp","PX_LAST"))</f>
        <v/>
      </c>
      <c r="K431" s="31">
        <f>IF($A431="","",_xll.BDP($A431&amp;" Corp","YAS_BOND_YLD","YAS_YLD_FLAG=15"))</f>
        <v/>
      </c>
      <c r="L431" s="31">
        <f>IF($A431="","",K431-_xll.BDP($A431&amp;" Corp","YAS_BOND_YLD","YAS_YLD_FLAG=15","SETTLE_DT",Company_desc!$A$1))</f>
        <v/>
      </c>
      <c r="M431" s="31">
        <f>IF($A431="","",K431-_xll.BDP($A431&amp;" Corp","YAS_BOND_YLD","YAS_YLD_FLAG=15","SETTLE_DT",Company_desc!$A$2))</f>
        <v/>
      </c>
      <c r="N431" s="79">
        <f>IF($A431="","",_xll.BDP($A431&amp;" Corp","YAS_OAS_SPRD"))</f>
        <v/>
      </c>
      <c r="O431" s="67">
        <f>IF($A431="","",_xll.BDP($A431&amp;" Corp","YAS_MOD_DUR"))</f>
        <v/>
      </c>
      <c r="P431" s="80">
        <f>IF($A431="","",IFERROR(INDEX(Sheet1!$P:$P,MATCH($A431,Sheet1!$A:$A,0)),""))</f>
        <v/>
      </c>
      <c r="Q431" s="75">
        <f>IF($A431="","",IFERROR(INDEX(Company_desc!$C:$C,MATCH($A431,Company_desc!$A:$A,0)),IFERROR(INDEX(Sheet1!$Q:$Q,MATCH($A431,Sheet1!$A:$A,0)),"")))</f>
        <v/>
      </c>
      <c r="R431" s="75">
        <f>IF($A431="","",_xll.BDP($A431&amp;" Corp","CRNCY"))</f>
        <v/>
      </c>
      <c r="S431" s="75">
        <f>IF($A431="","",IFERROR(INDEX(Sheet1!$S:$S,MATCH($A431,Sheet1!$A:$A,0)),""))</f>
        <v/>
      </c>
      <c r="T431" s="75">
        <f>IF($A431="","",IFERROR(INDEX(Sheet1!$T:$T,MATCH($A431,Sheet1!$A:$A,0)),_xll.BDP($A431&amp;" Corp","RTG_SP")))</f>
        <v/>
      </c>
      <c r="U431" s="75">
        <f>IF($A431="","",IFERROR(INDEX(Sheet1!$U:$U,MATCH($A431,Sheet1!$A:$A,0)),""))</f>
        <v/>
      </c>
      <c r="W431" s="81">
        <f>IF($A431="","",N431-_xll.BDP($A431&amp;" Corp","YAS_OAS_SPRD","SETTLE_DT",Company_desc!$A$1))</f>
        <v/>
      </c>
      <c r="X431" s="81">
        <f>IF($A431="","",N431-_xll.BDP($A431&amp;" Corp","YAS_OAS_SPRD","SETTLE_DT",Company_desc!$A$2))</f>
        <v/>
      </c>
      <c r="Y431" s="80">
        <f>IF($A431="","",N431-_xll.BDP($A431&amp;" Corp","YAS_OAS_SPRD","SETTLE_DT",Company_desc!$D$1))</f>
        <v/>
      </c>
      <c r="Z431" s="82">
        <f>IF($A431="","",K431-_xll.BDP($A431&amp;" Corp","YAS_BOND_YLD","YAS_YLD_FLAG=15","SETTLE_DT",Company_desc!$D$1))</f>
        <v/>
      </c>
      <c r="AA431" s="80">
        <f>IF($A431="","",_xll.BDP($A431&amp;" Corp","YAS_OAS_SPRD","SETTLE_DT",Company_desc!$D$1))</f>
        <v/>
      </c>
    </row>
    <row r="432">
      <c r="B432" s="75">
        <f>IF($A432="","",IFERROR(INDEX(Sheet1!$B:$B,MATCH($A432,Sheet1!$A:$A,0)),""))</f>
        <v/>
      </c>
      <c r="C432" s="75">
        <f>IF($A432="","",PROPER(_xll.BDP($A432&amp;" Corp","NAME")))</f>
        <v/>
      </c>
      <c r="D432" s="76">
        <f>IF($A432="","",_xll.BDP($A432&amp;" Corp","CPN"))</f>
        <v/>
      </c>
      <c r="E432" s="75">
        <f>IF($A432="","",_xll.BDP($A432&amp;" Corp","PAYMENT_RANK"))</f>
        <v/>
      </c>
      <c r="F432" s="100">
        <f>IF($A432="","",_xll.BDP($A432&amp;" Corp","MATURITY"))</f>
        <v/>
      </c>
      <c r="G432" s="75">
        <f>IF($A432="","",PROPER(_xll.BDP($A432&amp;" Corp","COUNTRY_FULL_NAME")))</f>
        <v/>
      </c>
      <c r="H432" s="75">
        <f>IF($A432="","",_xll.BDP($A432&amp;" Corp","INDUSTRY_SECTOR"))</f>
        <v/>
      </c>
      <c r="I432" s="101">
        <f>IF($A432="","",IFERROR(_xll.BDP($A432&amp;" Corp","MIN_PIECE")/1000,""))</f>
        <v/>
      </c>
      <c r="J432" s="31">
        <f>IF($A432="","",_xll.BDP($A432&amp;" Corp","PX_LAST"))</f>
        <v/>
      </c>
      <c r="K432" s="31">
        <f>IF($A432="","",_xll.BDP($A432&amp;" Corp","YAS_BOND_YLD","YAS_YLD_FLAG=15"))</f>
        <v/>
      </c>
      <c r="L432" s="31">
        <f>IF($A432="","",K432-_xll.BDP($A432&amp;" Corp","YAS_BOND_YLD","YAS_YLD_FLAG=15","SETTLE_DT",Company_desc!$A$1))</f>
        <v/>
      </c>
      <c r="M432" s="31">
        <f>IF($A432="","",K432-_xll.BDP($A432&amp;" Corp","YAS_BOND_YLD","YAS_YLD_FLAG=15","SETTLE_DT",Company_desc!$A$2))</f>
        <v/>
      </c>
      <c r="N432" s="79">
        <f>IF($A432="","",_xll.BDP($A432&amp;" Corp","YAS_OAS_SPRD"))</f>
        <v/>
      </c>
      <c r="O432" s="67">
        <f>IF($A432="","",_xll.BDP($A432&amp;" Corp","YAS_MOD_DUR"))</f>
        <v/>
      </c>
      <c r="P432" s="80">
        <f>IF($A432="","",IFERROR(INDEX(Sheet1!$P:$P,MATCH($A432,Sheet1!$A:$A,0)),""))</f>
        <v/>
      </c>
      <c r="Q432" s="75">
        <f>IF($A432="","",IFERROR(INDEX(Company_desc!$C:$C,MATCH($A432,Company_desc!$A:$A,0)),IFERROR(INDEX(Sheet1!$Q:$Q,MATCH($A432,Sheet1!$A:$A,0)),"")))</f>
        <v/>
      </c>
      <c r="R432" s="75">
        <f>IF($A432="","",_xll.BDP($A432&amp;" Corp","CRNCY"))</f>
        <v/>
      </c>
      <c r="S432" s="75">
        <f>IF($A432="","",IFERROR(INDEX(Sheet1!$S:$S,MATCH($A432,Sheet1!$A:$A,0)),""))</f>
        <v/>
      </c>
      <c r="T432" s="75">
        <f>IF($A432="","",IFERROR(INDEX(Sheet1!$T:$T,MATCH($A432,Sheet1!$A:$A,0)),_xll.BDP($A432&amp;" Corp","RTG_SP")))</f>
        <v/>
      </c>
      <c r="U432" s="83">
        <f>IF($A432="","",IFERROR(INDEX(Sheet1!$U:$U,MATCH($A432,Sheet1!$A:$A,0)),""))</f>
        <v/>
      </c>
      <c r="W432" s="81">
        <f>IF($A432="","",N432-_xll.BDP($A432&amp;" Corp","YAS_OAS_SPRD","SETTLE_DT",Company_desc!$A$1))</f>
        <v/>
      </c>
      <c r="X432" s="81">
        <f>IF($A432="","",N432-_xll.BDP($A432&amp;" Corp","YAS_OAS_SPRD","SETTLE_DT",Company_desc!$A$2))</f>
        <v/>
      </c>
      <c r="Y432" s="80">
        <f>IF($A432="","",N432-_xll.BDP($A432&amp;" Corp","YAS_OAS_SPRD","SETTLE_DT",Company_desc!$D$1))</f>
        <v/>
      </c>
      <c r="Z432" s="82">
        <f>IF($A432="","",K432-_xll.BDP($A432&amp;" Corp","YAS_BOND_YLD","YAS_YLD_FLAG=15","SETTLE_DT",Company_desc!$D$1))</f>
        <v/>
      </c>
      <c r="AA432" s="80">
        <f>IF($A432="","",_xll.BDP($A432&amp;" Corp","YAS_OAS_SPRD","SETTLE_DT",Company_desc!$D$1))</f>
        <v/>
      </c>
    </row>
    <row r="433">
      <c r="B433" s="75">
        <f>IF($A433="","",IFERROR(INDEX(Sheet1!$B:$B,MATCH($A433,Sheet1!$A:$A,0)),""))</f>
        <v/>
      </c>
      <c r="C433" s="75">
        <f>IF($A433="","",PROPER(_xll.BDP($A433&amp;" Corp","NAME")))</f>
        <v/>
      </c>
      <c r="D433" s="76">
        <f>IF($A433="","",_xll.BDP($A433&amp;" Corp","CPN"))</f>
        <v/>
      </c>
      <c r="E433" s="75">
        <f>IF($A433="","",_xll.BDP($A433&amp;" Corp","PAYMENT_RANK"))</f>
        <v/>
      </c>
      <c r="F433" s="100">
        <f>IF($A433="","",_xll.BDP($A433&amp;" Corp","MATURITY"))</f>
        <v/>
      </c>
      <c r="G433" s="75">
        <f>IF($A433="","",PROPER(_xll.BDP($A433&amp;" Corp","COUNTRY_FULL_NAME")))</f>
        <v/>
      </c>
      <c r="H433" s="75">
        <f>IF($A433="","",_xll.BDP($A433&amp;" Corp","INDUSTRY_SECTOR"))</f>
        <v/>
      </c>
      <c r="I433" s="101">
        <f>IF($A433="","",IFERROR(_xll.BDP($A433&amp;" Corp","MIN_PIECE")/1000,""))</f>
        <v/>
      </c>
      <c r="J433" s="31">
        <f>IF($A433="","",_xll.BDP($A433&amp;" Corp","PX_LAST"))</f>
        <v/>
      </c>
      <c r="K433" s="31">
        <f>IF($A433="","",_xll.BDP($A433&amp;" Corp","YAS_BOND_YLD","YAS_YLD_FLAG=15"))</f>
        <v/>
      </c>
      <c r="L433" s="31">
        <f>IF($A433="","",K433-_xll.BDP($A433&amp;" Corp","YAS_BOND_YLD","YAS_YLD_FLAG=15","SETTLE_DT",Company_desc!$A$1))</f>
        <v/>
      </c>
      <c r="M433" s="31">
        <f>IF($A433="","",K433-_xll.BDP($A433&amp;" Corp","YAS_BOND_YLD","YAS_YLD_FLAG=15","SETTLE_DT",Company_desc!$A$2))</f>
        <v/>
      </c>
      <c r="N433" s="79">
        <f>IF($A433="","",_xll.BDP($A433&amp;" Corp","YAS_OAS_SPRD"))</f>
        <v/>
      </c>
      <c r="O433" s="67">
        <f>IF($A433="","",_xll.BDP($A433&amp;" Corp","YAS_MOD_DUR"))</f>
        <v/>
      </c>
      <c r="P433" s="80">
        <f>IF($A433="","",IFERROR(INDEX(Sheet1!$P:$P,MATCH($A433,Sheet1!$A:$A,0)),""))</f>
        <v/>
      </c>
      <c r="Q433" s="75">
        <f>IF($A433="","",IFERROR(INDEX(Company_desc!$C:$C,MATCH($A433,Company_desc!$A:$A,0)),IFERROR(INDEX(Sheet1!$Q:$Q,MATCH($A433,Sheet1!$A:$A,0)),"")))</f>
        <v/>
      </c>
      <c r="R433" s="75">
        <f>IF($A433="","",_xll.BDP($A433&amp;" Corp","CRNCY"))</f>
        <v/>
      </c>
      <c r="S433" s="75">
        <f>IF($A433="","",IFERROR(INDEX(Sheet1!$S:$S,MATCH($A433,Sheet1!$A:$A,0)),""))</f>
        <v/>
      </c>
      <c r="T433" s="75">
        <f>IF($A433="","",IFERROR(INDEX(Sheet1!$T:$T,MATCH($A433,Sheet1!$A:$A,0)),_xll.BDP($A433&amp;" Corp","RTG_SP")))</f>
        <v/>
      </c>
      <c r="U433" s="83">
        <f>IF($A433="","",IFERROR(INDEX(Sheet1!$U:$U,MATCH($A433,Sheet1!$A:$A,0)),""))</f>
        <v/>
      </c>
      <c r="W433" s="81">
        <f>IF($A433="","",N433-_xll.BDP($A433&amp;" Corp","YAS_OAS_SPRD","SETTLE_DT",Company_desc!$A$1))</f>
        <v/>
      </c>
      <c r="X433" s="81">
        <f>IF($A433="","",N433-_xll.BDP($A433&amp;" Corp","YAS_OAS_SPRD","SETTLE_DT",Company_desc!$A$2))</f>
        <v/>
      </c>
      <c r="Y433" s="80">
        <f>IF($A433="","",N433-_xll.BDP($A433&amp;" Corp","YAS_OAS_SPRD","SETTLE_DT",Company_desc!$D$1))</f>
        <v/>
      </c>
      <c r="Z433" s="82">
        <f>IF($A433="","",K433-_xll.BDP($A433&amp;" Corp","YAS_BOND_YLD","YAS_YLD_FLAG=15","SETTLE_DT",Company_desc!$D$1))</f>
        <v/>
      </c>
      <c r="AA433" s="80">
        <f>IF($A433="","",_xll.BDP($A433&amp;" Corp","YAS_OAS_SPRD","SETTLE_DT",Company_desc!$D$1))</f>
        <v/>
      </c>
    </row>
    <row r="434">
      <c r="B434" s="75">
        <f>IF($A434="","",IFERROR(INDEX(Sheet1!$B:$B,MATCH($A434,Sheet1!$A:$A,0)),""))</f>
        <v/>
      </c>
      <c r="C434" s="75">
        <f>IF($A434="","",PROPER(_xll.BDP($A434&amp;" Corp","NAME")))</f>
        <v/>
      </c>
      <c r="D434" s="76">
        <f>IF($A434="","",_xll.BDP($A434&amp;" Corp","CPN"))</f>
        <v/>
      </c>
      <c r="E434" s="75">
        <f>IF($A434="","",_xll.BDP($A434&amp;" Corp","PAYMENT_RANK"))</f>
        <v/>
      </c>
      <c r="F434" s="100">
        <f>IF($A434="","",_xll.BDP($A434&amp;" Corp","MATURITY"))</f>
        <v/>
      </c>
      <c r="G434" s="75">
        <f>IF($A434="","",PROPER(_xll.BDP($A434&amp;" Corp","COUNTRY_FULL_NAME")))</f>
        <v/>
      </c>
      <c r="H434" s="75">
        <f>IF($A434="","",_xll.BDP($A434&amp;" Corp","INDUSTRY_SECTOR"))</f>
        <v/>
      </c>
      <c r="I434" s="101">
        <f>IF($A434="","",IFERROR(_xll.BDP($A434&amp;" Corp","MIN_PIECE")/1000,""))</f>
        <v/>
      </c>
      <c r="J434" s="31">
        <f>IF($A434="","",_xll.BDP($A434&amp;" Corp","PX_LAST"))</f>
        <v/>
      </c>
      <c r="K434" s="31">
        <f>IF($A434="","",_xll.BDP($A434&amp;" Corp","YAS_BOND_YLD","YAS_YLD_FLAG=15"))</f>
        <v/>
      </c>
      <c r="L434" s="31">
        <f>IF($A434="","",K434-_xll.BDP($A434&amp;" Corp","YAS_BOND_YLD","YAS_YLD_FLAG=15","SETTLE_DT",Company_desc!$A$1))</f>
        <v/>
      </c>
      <c r="M434" s="31">
        <f>IF($A434="","",K434-_xll.BDP($A434&amp;" Corp","YAS_BOND_YLD","YAS_YLD_FLAG=15","SETTLE_DT",Company_desc!$A$2))</f>
        <v/>
      </c>
      <c r="N434" s="79">
        <f>IF($A434="","",_xll.BDP($A434&amp;" Corp","YAS_OAS_SPRD"))</f>
        <v/>
      </c>
      <c r="O434" s="67">
        <f>IF($A434="","",_xll.BDP($A434&amp;" Corp","YAS_MOD_DUR"))</f>
        <v/>
      </c>
      <c r="P434" s="80">
        <f>IF($A434="","",IFERROR(INDEX(Sheet1!$P:$P,MATCH($A434,Sheet1!$A:$A,0)),""))</f>
        <v/>
      </c>
      <c r="Q434" s="75">
        <f>IF($A434="","",IFERROR(INDEX(Company_desc!$C:$C,MATCH($A434,Company_desc!$A:$A,0)),IFERROR(INDEX(Sheet1!$Q:$Q,MATCH($A434,Sheet1!$A:$A,0)),"")))</f>
        <v/>
      </c>
      <c r="R434" s="75">
        <f>IF($A434="","",_xll.BDP($A434&amp;" Corp","CRNCY"))</f>
        <v/>
      </c>
      <c r="S434" s="75">
        <f>IF($A434="","",IFERROR(INDEX(Sheet1!$S:$S,MATCH($A434,Sheet1!$A:$A,0)),""))</f>
        <v/>
      </c>
      <c r="T434" s="75">
        <f>IF($A434="","",IFERROR(INDEX(Sheet1!$T:$T,MATCH($A434,Sheet1!$A:$A,0)),_xll.BDP($A434&amp;" Corp","RTG_SP")))</f>
        <v/>
      </c>
      <c r="U434" s="75">
        <f>IF($A434="","",IFERROR(INDEX(Sheet1!$U:$U,MATCH($A434,Sheet1!$A:$A,0)),""))</f>
        <v/>
      </c>
      <c r="W434" s="81">
        <f>IF($A434="","",N434-_xll.BDP($A434&amp;" Corp","YAS_OAS_SPRD","SETTLE_DT",Company_desc!$A$1))</f>
        <v/>
      </c>
      <c r="X434" s="81">
        <f>IF($A434="","",N434-_xll.BDP($A434&amp;" Corp","YAS_OAS_SPRD","SETTLE_DT",Company_desc!$A$2))</f>
        <v/>
      </c>
      <c r="Y434" s="80">
        <f>IF($A434="","",N434-_xll.BDP($A434&amp;" Corp","YAS_OAS_SPRD","SETTLE_DT",Company_desc!$D$1))</f>
        <v/>
      </c>
      <c r="Z434" s="82">
        <f>IF($A434="","",K434-_xll.BDP($A434&amp;" Corp","YAS_BOND_YLD","YAS_YLD_FLAG=15","SETTLE_DT",Company_desc!$D$1))</f>
        <v/>
      </c>
      <c r="AA434" s="80">
        <f>IF($A434="","",_xll.BDP($A434&amp;" Corp","YAS_OAS_SPRD","SETTLE_DT",Company_desc!$D$1))</f>
        <v/>
      </c>
    </row>
    <row r="435">
      <c r="B435" s="75">
        <f>IF($A435="","",IFERROR(INDEX(Sheet1!$B:$B,MATCH($A435,Sheet1!$A:$A,0)),""))</f>
        <v/>
      </c>
      <c r="C435" s="75">
        <f>IF($A435="","",PROPER(_xll.BDP($A435&amp;" Corp","NAME")))</f>
        <v/>
      </c>
      <c r="D435" s="76">
        <f>IF($A435="","",_xll.BDP($A435&amp;" Corp","CPN"))</f>
        <v/>
      </c>
      <c r="E435" s="75">
        <f>IF($A435="","",_xll.BDP($A435&amp;" Corp","PAYMENT_RANK"))</f>
        <v/>
      </c>
      <c r="F435" s="100">
        <f>IF($A435="","",_xll.BDP($A435&amp;" Corp","MATURITY"))</f>
        <v/>
      </c>
      <c r="G435" s="75">
        <f>IF($A435="","",PROPER(_xll.BDP($A435&amp;" Corp","COUNTRY_FULL_NAME")))</f>
        <v/>
      </c>
      <c r="H435" s="75">
        <f>IF($A435="","",_xll.BDP($A435&amp;" Corp","INDUSTRY_SECTOR"))</f>
        <v/>
      </c>
      <c r="I435" s="101">
        <f>IF($A435="","",IFERROR(_xll.BDP($A435&amp;" Corp","MIN_PIECE")/1000,""))</f>
        <v/>
      </c>
      <c r="J435" s="31">
        <f>IF($A435="","",_xll.BDP($A435&amp;" Corp","PX_LAST"))</f>
        <v/>
      </c>
      <c r="K435" s="31">
        <f>IF($A435="","",_xll.BDP($A435&amp;" Corp","YAS_BOND_YLD","YAS_YLD_FLAG=15"))</f>
        <v/>
      </c>
      <c r="L435" s="31">
        <f>IF($A435="","",K435-_xll.BDP($A435&amp;" Corp","YAS_BOND_YLD","YAS_YLD_FLAG=15","SETTLE_DT",Company_desc!$A$1))</f>
        <v/>
      </c>
      <c r="M435" s="31">
        <f>IF($A435="","",K435-_xll.BDP($A435&amp;" Corp","YAS_BOND_YLD","YAS_YLD_FLAG=15","SETTLE_DT",Company_desc!$A$2))</f>
        <v/>
      </c>
      <c r="N435" s="79">
        <f>IF($A435="","",_xll.BDP($A435&amp;" Corp","YAS_OAS_SPRD"))</f>
        <v/>
      </c>
      <c r="O435" s="67">
        <f>IF($A435="","",_xll.BDP($A435&amp;" Corp","YAS_MOD_DUR"))</f>
        <v/>
      </c>
      <c r="P435" s="80">
        <f>IF($A435="","",IFERROR(INDEX(Sheet1!$P:$P,MATCH($A435,Sheet1!$A:$A,0)),""))</f>
        <v/>
      </c>
      <c r="Q435" s="75">
        <f>IF($A435="","",IFERROR(INDEX(Company_desc!$C:$C,MATCH($A435,Company_desc!$A:$A,0)),IFERROR(INDEX(Sheet1!$Q:$Q,MATCH($A435,Sheet1!$A:$A,0)),"")))</f>
        <v/>
      </c>
      <c r="R435" s="75">
        <f>IF($A435="","",_xll.BDP($A435&amp;" Corp","CRNCY"))</f>
        <v/>
      </c>
      <c r="S435" s="75">
        <f>IF($A435="","",IFERROR(INDEX(Sheet1!$S:$S,MATCH($A435,Sheet1!$A:$A,0)),""))</f>
        <v/>
      </c>
      <c r="T435" s="75">
        <f>IF($A435="","",IFERROR(INDEX(Sheet1!$T:$T,MATCH($A435,Sheet1!$A:$A,0)),_xll.BDP($A435&amp;" Corp","RTG_SP")))</f>
        <v/>
      </c>
      <c r="U435" s="75">
        <f>IF($A435="","",IFERROR(INDEX(Sheet1!$U:$U,MATCH($A435,Sheet1!$A:$A,0)),""))</f>
        <v/>
      </c>
      <c r="W435" s="81">
        <f>IF($A435="","",N435-_xll.BDP($A435&amp;" Corp","YAS_OAS_SPRD","SETTLE_DT",Company_desc!$A$1))</f>
        <v/>
      </c>
      <c r="X435" s="81">
        <f>IF($A435="","",N435-_xll.BDP($A435&amp;" Corp","YAS_OAS_SPRD","SETTLE_DT",Company_desc!$A$2))</f>
        <v/>
      </c>
      <c r="Y435" s="80">
        <f>IF($A435="","",N435-_xll.BDP($A435&amp;" Corp","YAS_OAS_SPRD","SETTLE_DT",Company_desc!$D$1))</f>
        <v/>
      </c>
      <c r="Z435" s="82">
        <f>IF($A435="","",K435-_xll.BDP($A435&amp;" Corp","YAS_BOND_YLD","YAS_YLD_FLAG=15","SETTLE_DT",Company_desc!$D$1))</f>
        <v/>
      </c>
      <c r="AA435" s="80">
        <f>IF($A435="","",_xll.BDP($A435&amp;" Corp","YAS_OAS_SPRD","SETTLE_DT",Company_desc!$D$1))</f>
        <v/>
      </c>
    </row>
    <row r="436">
      <c r="B436" s="75">
        <f>IF($A436="","",IFERROR(INDEX(Sheet1!$B:$B,MATCH($A436,Sheet1!$A:$A,0)),""))</f>
        <v/>
      </c>
      <c r="C436" s="75">
        <f>IF($A436="","",PROPER(_xll.BDP($A436&amp;" Corp","NAME")))</f>
        <v/>
      </c>
      <c r="D436" s="76">
        <f>IF($A436="","",_xll.BDP($A436&amp;" Corp","CPN"))</f>
        <v/>
      </c>
      <c r="E436" s="75">
        <f>IF($A436="","",_xll.BDP($A436&amp;" Corp","PAYMENT_RANK"))</f>
        <v/>
      </c>
      <c r="F436" s="100">
        <f>IF($A436="","",_xll.BDP($A436&amp;" Corp","MATURITY"))</f>
        <v/>
      </c>
      <c r="G436" s="75">
        <f>IF($A436="","",PROPER(_xll.BDP($A436&amp;" Corp","COUNTRY_FULL_NAME")))</f>
        <v/>
      </c>
      <c r="H436" s="75">
        <f>IF($A436="","",_xll.BDP($A436&amp;" Corp","INDUSTRY_SECTOR"))</f>
        <v/>
      </c>
      <c r="I436" s="101">
        <f>IF($A436="","",IFERROR(_xll.BDP($A436&amp;" Corp","MIN_PIECE")/1000,""))</f>
        <v/>
      </c>
      <c r="J436" s="31">
        <f>IF($A436="","",_xll.BDP($A436&amp;" Corp","PX_LAST"))</f>
        <v/>
      </c>
      <c r="K436" s="31">
        <f>IF($A436="","",_xll.BDP($A436&amp;" Corp","YAS_BOND_YLD","YAS_YLD_FLAG=15"))</f>
        <v/>
      </c>
      <c r="L436" s="31">
        <f>IF($A436="","",K436-_xll.BDP($A436&amp;" Corp","YAS_BOND_YLD","YAS_YLD_FLAG=15","SETTLE_DT",Company_desc!$A$1))</f>
        <v/>
      </c>
      <c r="M436" s="31">
        <f>IF($A436="","",K436-_xll.BDP($A436&amp;" Corp","YAS_BOND_YLD","YAS_YLD_FLAG=15","SETTLE_DT",Company_desc!$A$2))</f>
        <v/>
      </c>
      <c r="N436" s="79">
        <f>IF($A436="","",_xll.BDP($A436&amp;" Corp","YAS_OAS_SPRD"))</f>
        <v/>
      </c>
      <c r="O436" s="67">
        <f>IF($A436="","",_xll.BDP($A436&amp;" Corp","YAS_MOD_DUR"))</f>
        <v/>
      </c>
      <c r="P436" s="80">
        <f>IF($A436="","",IFERROR(INDEX(Sheet1!$P:$P,MATCH($A436,Sheet1!$A:$A,0)),""))</f>
        <v/>
      </c>
      <c r="Q436" s="75">
        <f>IF($A436="","",IFERROR(INDEX(Company_desc!$C:$C,MATCH($A436,Company_desc!$A:$A,0)),IFERROR(INDEX(Sheet1!$Q:$Q,MATCH($A436,Sheet1!$A:$A,0)),"")))</f>
        <v/>
      </c>
      <c r="R436" s="75">
        <f>IF($A436="","",_xll.BDP($A436&amp;" Corp","CRNCY"))</f>
        <v/>
      </c>
      <c r="S436" s="75">
        <f>IF($A436="","",IFERROR(INDEX(Sheet1!$S:$S,MATCH($A436,Sheet1!$A:$A,0)),""))</f>
        <v/>
      </c>
      <c r="T436" s="75">
        <f>IF($A436="","",IFERROR(INDEX(Sheet1!$T:$T,MATCH($A436,Sheet1!$A:$A,0)),_xll.BDP($A436&amp;" Corp","RTG_SP")))</f>
        <v/>
      </c>
      <c r="U436" s="75">
        <f>IF($A436="","",IFERROR(INDEX(Sheet1!$U:$U,MATCH($A436,Sheet1!$A:$A,0)),""))</f>
        <v/>
      </c>
      <c r="W436" s="81">
        <f>IF($A436="","",N436-_xll.BDP($A436&amp;" Corp","YAS_OAS_SPRD","SETTLE_DT",Company_desc!$A$1))</f>
        <v/>
      </c>
      <c r="X436" s="81">
        <f>IF($A436="","",N436-_xll.BDP($A436&amp;" Corp","YAS_OAS_SPRD","SETTLE_DT",Company_desc!$A$2))</f>
        <v/>
      </c>
      <c r="Y436" s="80">
        <f>IF($A436="","",N436-_xll.BDP($A436&amp;" Corp","YAS_OAS_SPRD","SETTLE_DT",Company_desc!$D$1))</f>
        <v/>
      </c>
      <c r="Z436" s="82">
        <f>IF($A436="","",K436-_xll.BDP($A436&amp;" Corp","YAS_BOND_YLD","YAS_YLD_FLAG=15","SETTLE_DT",Company_desc!$D$1))</f>
        <v/>
      </c>
      <c r="AA436" s="80">
        <f>IF($A436="","",_xll.BDP($A436&amp;" Corp","YAS_OAS_SPRD","SETTLE_DT",Company_desc!$D$1))</f>
        <v/>
      </c>
    </row>
    <row r="437">
      <c r="A437" s="42" t="n"/>
      <c r="B437" s="75">
        <f>IF($A437="","",IFERROR(INDEX(Sheet1!$B:$B,MATCH($A437,Sheet1!$A:$A,0)),""))</f>
        <v/>
      </c>
      <c r="C437" s="75">
        <f>IF($A437="","",PROPER(_xll.BDP($A437&amp;" Corp","NAME")))</f>
        <v/>
      </c>
      <c r="D437" s="76">
        <f>IF($A437="","",_xll.BDP($A437&amp;" Corp","CPN"))</f>
        <v/>
      </c>
      <c r="E437" s="75">
        <f>IF($A437="","",_xll.BDP($A437&amp;" Corp","PAYMENT_RANK"))</f>
        <v/>
      </c>
      <c r="F437" s="100">
        <f>IF($A437="","",_xll.BDP($A437&amp;" Corp","MATURITY"))</f>
        <v/>
      </c>
      <c r="G437" s="75">
        <f>IF($A437="","",PROPER(_xll.BDP($A437&amp;" Corp","COUNTRY_FULL_NAME")))</f>
        <v/>
      </c>
      <c r="H437" s="75">
        <f>IF($A437="","",_xll.BDP($A437&amp;" Corp","INDUSTRY_SECTOR"))</f>
        <v/>
      </c>
      <c r="I437" s="101">
        <f>IF($A437="","",IFERROR(_xll.BDP($A437&amp;" Corp","MIN_PIECE")/1000,""))</f>
        <v/>
      </c>
      <c r="J437" s="31">
        <f>IF($A437="","",_xll.BDP($A437&amp;" Corp","PX_LAST"))</f>
        <v/>
      </c>
      <c r="K437" s="31">
        <f>IF($A437="","",_xll.BDP($A437&amp;" Corp","YAS_BOND_YLD","YAS_YLD_FLAG=15"))</f>
        <v/>
      </c>
      <c r="L437" s="31">
        <f>IF($A437="","",K437-_xll.BDP($A437&amp;" Corp","YAS_BOND_YLD","YAS_YLD_FLAG=15","SETTLE_DT",Company_desc!$A$1))</f>
        <v/>
      </c>
      <c r="M437" s="31">
        <f>IF($A437="","",K437-_xll.BDP($A437&amp;" Corp","YAS_BOND_YLD","YAS_YLD_FLAG=15","SETTLE_DT",Company_desc!$A$2))</f>
        <v/>
      </c>
      <c r="N437" s="79">
        <f>IF($A437="","",_xll.BDP($A437&amp;" Corp","YAS_OAS_SPRD"))</f>
        <v/>
      </c>
      <c r="O437" s="67">
        <f>IF($A437="","",_xll.BDP($A437&amp;" Corp","YAS_MOD_DUR"))</f>
        <v/>
      </c>
      <c r="P437" s="80">
        <f>IF($A437="","",IFERROR(INDEX(Sheet1!$P:$P,MATCH($A437,Sheet1!$A:$A,0)),""))</f>
        <v/>
      </c>
      <c r="Q437" s="75">
        <f>IF($A437="","",IFERROR(INDEX(Company_desc!$C:$C,MATCH($A437,Company_desc!$A:$A,0)),IFERROR(INDEX(Sheet1!$Q:$Q,MATCH($A437,Sheet1!$A:$A,0)),"")))</f>
        <v/>
      </c>
      <c r="R437" s="75">
        <f>IF($A437="","",_xll.BDP($A437&amp;" Corp","CRNCY"))</f>
        <v/>
      </c>
      <c r="S437" s="75">
        <f>IF($A437="","",IFERROR(INDEX(Sheet1!$S:$S,MATCH($A437,Sheet1!$A:$A,0)),""))</f>
        <v/>
      </c>
      <c r="T437" s="75">
        <f>IF($A437="","",IFERROR(INDEX(Sheet1!$T:$T,MATCH($A437,Sheet1!$A:$A,0)),_xll.BDP($A437&amp;" Corp","RTG_SP")))</f>
        <v/>
      </c>
      <c r="U437" s="75">
        <f>IF($A437="","",IFERROR(INDEX(Sheet1!$U:$U,MATCH($A437,Sheet1!$A:$A,0)),""))</f>
        <v/>
      </c>
      <c r="W437" s="81">
        <f>IF($A437="","",N437-_xll.BDP($A437&amp;" Corp","YAS_OAS_SPRD","SETTLE_DT",Company_desc!$A$1))</f>
        <v/>
      </c>
      <c r="X437" s="81">
        <f>IF($A437="","",N437-_xll.BDP($A437&amp;" Corp","YAS_OAS_SPRD","SETTLE_DT",Company_desc!$A$2))</f>
        <v/>
      </c>
      <c r="Y437" s="80">
        <f>IF($A437="","",N437-_xll.BDP($A437&amp;" Corp","YAS_OAS_SPRD","SETTLE_DT",Company_desc!$D$1))</f>
        <v/>
      </c>
      <c r="Z437" s="82">
        <f>IF($A437="","",K437-_xll.BDP($A437&amp;" Corp","YAS_BOND_YLD","YAS_YLD_FLAG=15","SETTLE_DT",Company_desc!$D$1))</f>
        <v/>
      </c>
      <c r="AA437" s="80">
        <f>IF($A437="","",_xll.BDP($A437&amp;" Corp","YAS_OAS_SPRD","SETTLE_DT",Company_desc!$D$1))</f>
        <v/>
      </c>
    </row>
    <row r="438">
      <c r="B438" s="75">
        <f>IF($A438="","",IFERROR(INDEX(Sheet1!$B:$B,MATCH($A438,Sheet1!$A:$A,0)),""))</f>
        <v/>
      </c>
      <c r="C438" s="75">
        <f>IF($A438="","",PROPER(_xll.BDP($A438&amp;" Corp","NAME")))</f>
        <v/>
      </c>
      <c r="D438" s="76">
        <f>IF($A438="","",_xll.BDP($A438&amp;" Corp","CPN"))</f>
        <v/>
      </c>
      <c r="E438" s="75">
        <f>IF($A438="","",_xll.BDP($A438&amp;" Corp","PAYMENT_RANK"))</f>
        <v/>
      </c>
      <c r="F438" s="100">
        <f>IF($A438="","",_xll.BDP($A438&amp;" Corp","MATURITY"))</f>
        <v/>
      </c>
      <c r="G438" s="75">
        <f>IF($A438="","",PROPER(_xll.BDP($A438&amp;" Corp","COUNTRY_FULL_NAME")))</f>
        <v/>
      </c>
      <c r="H438" s="75">
        <f>IF($A438="","",_xll.BDP($A438&amp;" Corp","INDUSTRY_SECTOR"))</f>
        <v/>
      </c>
      <c r="I438" s="101">
        <f>IF($A438="","",IFERROR(_xll.BDP($A438&amp;" Corp","MIN_PIECE")/1000,""))</f>
        <v/>
      </c>
      <c r="J438" s="31">
        <f>IF($A438="","",_xll.BDP($A438&amp;" Corp","PX_LAST"))</f>
        <v/>
      </c>
      <c r="K438" s="31">
        <f>IF($A438="","",_xll.BDP($A438&amp;" Corp","YAS_BOND_YLD","YAS_YLD_FLAG=15"))</f>
        <v/>
      </c>
      <c r="L438" s="31">
        <f>IF($A438="","",K438-_xll.BDP($A438&amp;" Corp","YAS_BOND_YLD","YAS_YLD_FLAG=15","SETTLE_DT",Company_desc!$A$1))</f>
        <v/>
      </c>
      <c r="M438" s="31">
        <f>IF($A438="","",K438-_xll.BDP($A438&amp;" Corp","YAS_BOND_YLD","YAS_YLD_FLAG=15","SETTLE_DT",Company_desc!$A$2))</f>
        <v/>
      </c>
      <c r="N438" s="79">
        <f>IF($A438="","",_xll.BDP($A438&amp;" Corp","YAS_OAS_SPRD"))</f>
        <v/>
      </c>
      <c r="O438" s="67">
        <f>IF($A438="","",_xll.BDP($A438&amp;" Corp","YAS_MOD_DUR"))</f>
        <v/>
      </c>
      <c r="P438" s="80">
        <f>IF($A438="","",IFERROR(INDEX(Sheet1!$P:$P,MATCH($A438,Sheet1!$A:$A,0)),""))</f>
        <v/>
      </c>
      <c r="Q438" s="75">
        <f>IF($A438="","",IFERROR(INDEX(Company_desc!$C:$C,MATCH($A438,Company_desc!$A:$A,0)),IFERROR(INDEX(Sheet1!$Q:$Q,MATCH($A438,Sheet1!$A:$A,0)),"")))</f>
        <v/>
      </c>
      <c r="R438" s="75">
        <f>IF($A438="","",_xll.BDP($A438&amp;" Corp","CRNCY"))</f>
        <v/>
      </c>
      <c r="S438" s="75">
        <f>IF($A438="","",IFERROR(INDEX(Sheet1!$S:$S,MATCH($A438,Sheet1!$A:$A,0)),""))</f>
        <v/>
      </c>
      <c r="T438" s="75">
        <f>IF($A438="","",IFERROR(INDEX(Sheet1!$T:$T,MATCH($A438,Sheet1!$A:$A,0)),_xll.BDP($A438&amp;" Corp","RTG_SP")))</f>
        <v/>
      </c>
      <c r="U438" s="75">
        <f>IF($A438="","",IFERROR(INDEX(Sheet1!$U:$U,MATCH($A438,Sheet1!$A:$A,0)),""))</f>
        <v/>
      </c>
      <c r="W438" s="81">
        <f>IF($A438="","",N438-_xll.BDP($A438&amp;" Corp","YAS_OAS_SPRD","SETTLE_DT",Company_desc!$A$1))</f>
        <v/>
      </c>
      <c r="X438" s="81">
        <f>IF($A438="","",N438-_xll.BDP($A438&amp;" Corp","YAS_OAS_SPRD","SETTLE_DT",Company_desc!$A$2))</f>
        <v/>
      </c>
      <c r="Y438" s="80">
        <f>IF($A438="","",N438-_xll.BDP($A438&amp;" Corp","YAS_OAS_SPRD","SETTLE_DT",Company_desc!$D$1))</f>
        <v/>
      </c>
      <c r="Z438" s="82">
        <f>IF($A438="","",K438-_xll.BDP($A438&amp;" Corp","YAS_BOND_YLD","YAS_YLD_FLAG=15","SETTLE_DT",Company_desc!$D$1))</f>
        <v/>
      </c>
      <c r="AA438" s="80">
        <f>IF($A438="","",_xll.BDP($A438&amp;" Corp","YAS_OAS_SPRD","SETTLE_DT",Company_desc!$D$1))</f>
        <v/>
      </c>
    </row>
    <row r="439">
      <c r="B439" s="75">
        <f>IF($A439="","",IFERROR(INDEX(Sheet1!$B:$B,MATCH($A439,Sheet1!$A:$A,0)),""))</f>
        <v/>
      </c>
      <c r="C439" s="75">
        <f>IF($A439="","",PROPER(_xll.BDP($A439&amp;" Corp","NAME")))</f>
        <v/>
      </c>
      <c r="D439" s="76">
        <f>IF($A439="","",_xll.BDP($A439&amp;" Corp","CPN"))</f>
        <v/>
      </c>
      <c r="E439" s="75">
        <f>IF($A439="","",_xll.BDP($A439&amp;" Corp","PAYMENT_RANK"))</f>
        <v/>
      </c>
      <c r="F439" s="100">
        <f>IF($A439="","",_xll.BDP($A439&amp;" Corp","MATURITY"))</f>
        <v/>
      </c>
      <c r="G439" s="75">
        <f>IF($A439="","",PROPER(_xll.BDP($A439&amp;" Corp","COUNTRY_FULL_NAME")))</f>
        <v/>
      </c>
      <c r="H439" s="75">
        <f>IF($A439="","",_xll.BDP($A439&amp;" Corp","INDUSTRY_SECTOR"))</f>
        <v/>
      </c>
      <c r="I439" s="101">
        <f>IF($A439="","",IFERROR(_xll.BDP($A439&amp;" Corp","MIN_PIECE")/1000,""))</f>
        <v/>
      </c>
      <c r="J439" s="31">
        <f>IF($A439="","",_xll.BDP($A439&amp;" Corp","PX_LAST"))</f>
        <v/>
      </c>
      <c r="K439" s="31">
        <f>IF($A439="","",_xll.BDP($A439&amp;" Corp","YAS_BOND_YLD","YAS_YLD_FLAG=15"))</f>
        <v/>
      </c>
      <c r="L439" s="31">
        <f>IF($A439="","",K439-_xll.BDP($A439&amp;" Corp","YAS_BOND_YLD","YAS_YLD_FLAG=15","SETTLE_DT",Company_desc!$A$1))</f>
        <v/>
      </c>
      <c r="M439" s="31">
        <f>IF($A439="","",K439-_xll.BDP($A439&amp;" Corp","YAS_BOND_YLD","YAS_YLD_FLAG=15","SETTLE_DT",Company_desc!$A$2))</f>
        <v/>
      </c>
      <c r="N439" s="79">
        <f>IF($A439="","",_xll.BDP($A439&amp;" Corp","YAS_OAS_SPRD"))</f>
        <v/>
      </c>
      <c r="O439" s="67">
        <f>IF($A439="","",_xll.BDP($A439&amp;" Corp","YAS_MOD_DUR"))</f>
        <v/>
      </c>
      <c r="P439" s="80">
        <f>IF($A439="","",IFERROR(INDEX(Sheet1!$P:$P,MATCH($A439,Sheet1!$A:$A,0)),""))</f>
        <v/>
      </c>
      <c r="Q439" s="75">
        <f>IF($A439="","",IFERROR(INDEX(Company_desc!$C:$C,MATCH($A439,Company_desc!$A:$A,0)),IFERROR(INDEX(Sheet1!$Q:$Q,MATCH($A439,Sheet1!$A:$A,0)),"")))</f>
        <v/>
      </c>
      <c r="R439" s="75">
        <f>IF($A439="","",_xll.BDP($A439&amp;" Corp","CRNCY"))</f>
        <v/>
      </c>
      <c r="S439" s="75">
        <f>IF($A439="","",IFERROR(INDEX(Sheet1!$S:$S,MATCH($A439,Sheet1!$A:$A,0)),""))</f>
        <v/>
      </c>
      <c r="T439" s="75">
        <f>IF($A439="","",IFERROR(INDEX(Sheet1!$T:$T,MATCH($A439,Sheet1!$A:$A,0)),_xll.BDP($A439&amp;" Corp","RTG_SP")))</f>
        <v/>
      </c>
      <c r="U439" s="75">
        <f>IF($A439="","",IFERROR(INDEX(Sheet1!$U:$U,MATCH($A439,Sheet1!$A:$A,0)),""))</f>
        <v/>
      </c>
      <c r="W439" s="81">
        <f>IF($A439="","",N439-_xll.BDP($A439&amp;" Corp","YAS_OAS_SPRD","SETTLE_DT",Company_desc!$A$1))</f>
        <v/>
      </c>
      <c r="X439" s="81">
        <f>IF($A439="","",N439-_xll.BDP($A439&amp;" Corp","YAS_OAS_SPRD","SETTLE_DT",Company_desc!$A$2))</f>
        <v/>
      </c>
      <c r="Y439" s="80">
        <f>IF($A439="","",N439-_xll.BDP($A439&amp;" Corp","YAS_OAS_SPRD","SETTLE_DT",Company_desc!$D$1))</f>
        <v/>
      </c>
      <c r="Z439" s="82">
        <f>IF($A439="","",K439-_xll.BDP($A439&amp;" Corp","YAS_BOND_YLD","YAS_YLD_FLAG=15","SETTLE_DT",Company_desc!$D$1))</f>
        <v/>
      </c>
      <c r="AA439" s="80">
        <f>IF($A439="","",_xll.BDP($A439&amp;" Corp","YAS_OAS_SPRD","SETTLE_DT",Company_desc!$D$1))</f>
        <v/>
      </c>
    </row>
    <row r="440">
      <c r="B440" s="75">
        <f>IF($A440="","",IFERROR(INDEX(Sheet1!$B:$B,MATCH($A440,Sheet1!$A:$A,0)),""))</f>
        <v/>
      </c>
      <c r="C440" s="75">
        <f>IF($A440="","",PROPER(_xll.BDP($A440&amp;" Corp","NAME")))</f>
        <v/>
      </c>
      <c r="D440" s="76">
        <f>IF($A440="","",_xll.BDP($A440&amp;" Corp","CPN"))</f>
        <v/>
      </c>
      <c r="E440" s="75">
        <f>IF($A440="","",_xll.BDP($A440&amp;" Corp","PAYMENT_RANK"))</f>
        <v/>
      </c>
      <c r="F440" s="100">
        <f>IF($A440="","",_xll.BDP($A440&amp;" Corp","MATURITY"))</f>
        <v/>
      </c>
      <c r="G440" s="75">
        <f>IF($A440="","",PROPER(_xll.BDP($A440&amp;" Corp","COUNTRY_FULL_NAME")))</f>
        <v/>
      </c>
      <c r="H440" s="75">
        <f>IF($A440="","",_xll.BDP($A440&amp;" Corp","INDUSTRY_SECTOR"))</f>
        <v/>
      </c>
      <c r="I440" s="101">
        <f>IF($A440="","",IFERROR(_xll.BDP($A440&amp;" Corp","MIN_PIECE")/1000,""))</f>
        <v/>
      </c>
      <c r="J440" s="31">
        <f>IF($A440="","",_xll.BDP($A440&amp;" Corp","PX_LAST"))</f>
        <v/>
      </c>
      <c r="K440" s="31">
        <f>IF($A440="","",_xll.BDP($A440&amp;" Corp","YAS_BOND_YLD","YAS_YLD_FLAG=15"))</f>
        <v/>
      </c>
      <c r="L440" s="31">
        <f>IF($A440="","",K440-_xll.BDP($A440&amp;" Corp","YAS_BOND_YLD","YAS_YLD_FLAG=15","SETTLE_DT",Company_desc!$A$1))</f>
        <v/>
      </c>
      <c r="M440" s="31">
        <f>IF($A440="","",K440-_xll.BDP($A440&amp;" Corp","YAS_BOND_YLD","YAS_YLD_FLAG=15","SETTLE_DT",Company_desc!$A$2))</f>
        <v/>
      </c>
      <c r="N440" s="79">
        <f>IF($A440="","",_xll.BDP($A440&amp;" Corp","YAS_OAS_SPRD"))</f>
        <v/>
      </c>
      <c r="O440" s="67">
        <f>IF($A440="","",_xll.BDP($A440&amp;" Corp","YAS_MOD_DUR"))</f>
        <v/>
      </c>
      <c r="P440" s="80">
        <f>IF($A440="","",IFERROR(INDEX(Sheet1!$P:$P,MATCH($A440,Sheet1!$A:$A,0)),""))</f>
        <v/>
      </c>
      <c r="Q440" s="75">
        <f>IF($A440="","",IFERROR(INDEX(Company_desc!$C:$C,MATCH($A440,Company_desc!$A:$A,0)),IFERROR(INDEX(Sheet1!$Q:$Q,MATCH($A440,Sheet1!$A:$A,0)),"")))</f>
        <v/>
      </c>
      <c r="R440" s="75">
        <f>IF($A440="","",_xll.BDP($A440&amp;" Corp","CRNCY"))</f>
        <v/>
      </c>
      <c r="S440" s="75">
        <f>IF($A440="","",IFERROR(INDEX(Sheet1!$S:$S,MATCH($A440,Sheet1!$A:$A,0)),""))</f>
        <v/>
      </c>
      <c r="T440" s="75">
        <f>IF($A440="","",IFERROR(INDEX(Sheet1!$T:$T,MATCH($A440,Sheet1!$A:$A,0)),_xll.BDP($A440&amp;" Corp","RTG_SP")))</f>
        <v/>
      </c>
      <c r="U440" s="75">
        <f>IF($A440="","",IFERROR(INDEX(Sheet1!$U:$U,MATCH($A440,Sheet1!$A:$A,0)),""))</f>
        <v/>
      </c>
      <c r="W440" s="81">
        <f>IF($A440="","",N440-_xll.BDP($A440&amp;" Corp","YAS_OAS_SPRD","SETTLE_DT",Company_desc!$A$1))</f>
        <v/>
      </c>
      <c r="X440" s="81">
        <f>IF($A440="","",N440-_xll.BDP($A440&amp;" Corp","YAS_OAS_SPRD","SETTLE_DT",Company_desc!$A$2))</f>
        <v/>
      </c>
      <c r="Y440" s="80">
        <f>IF($A440="","",N440-_xll.BDP($A440&amp;" Corp","YAS_OAS_SPRD","SETTLE_DT",Company_desc!$D$1))</f>
        <v/>
      </c>
      <c r="Z440" s="82">
        <f>IF($A440="","",K440-_xll.BDP($A440&amp;" Corp","YAS_BOND_YLD","YAS_YLD_FLAG=15","SETTLE_DT",Company_desc!$D$1))</f>
        <v/>
      </c>
      <c r="AA440" s="80">
        <f>IF($A440="","",_xll.BDP($A440&amp;" Corp","YAS_OAS_SPRD","SETTLE_DT",Company_desc!$D$1))</f>
        <v/>
      </c>
    </row>
    <row r="441">
      <c r="A441" s="42" t="n"/>
      <c r="B441" s="28">
        <f>IF($A441="","",IFERROR(INDEX(Sheet1!$B:$B,MATCH($A441,Sheet1!$A:$A,0)),""))</f>
        <v/>
      </c>
      <c r="C441" s="29">
        <f>IF($A441="","",PROPER(_xll.BDP($A441&amp;" Corp","NAME")))</f>
        <v/>
      </c>
      <c r="D441" s="84">
        <f>IF($A441="","",_xll.BDP($A441&amp;" Corp","CPN"))</f>
        <v/>
      </c>
      <c r="E441" s="84">
        <f>IF($A441="","",_xll.BDP($A441&amp;" Corp","PAYMENT_RANK"))</f>
        <v/>
      </c>
      <c r="F441" s="102">
        <f>IF($A441="","",_xll.BDP($A441&amp;" Corp","MATURITY"))</f>
        <v/>
      </c>
      <c r="G441" s="43">
        <f>IF($A441="","",PROPER(_xll.BDP($A441&amp;" Corp","COUNTRY_FULL_NAME")))</f>
        <v/>
      </c>
      <c r="H441" s="29">
        <f>IF($A441="","",_xll.BDP($A441&amp;" Corp","INDUSTRY_SECTOR"))</f>
        <v/>
      </c>
      <c r="I441" s="103">
        <f>IF($A441="","",IFERROR(_xll.BDP($A441&amp;" Corp","MIN_PIECE")/1000,""))</f>
        <v/>
      </c>
      <c r="J441" s="31">
        <f>IF($A441="","",_xll.BDP($A441&amp;" Corp","PX_LAST"))</f>
        <v/>
      </c>
      <c r="K441" s="31">
        <f>IF($A441="","",_xll.BDP($A441&amp;" Corp","YAS_BOND_YLD","YAS_YLD_FLAG=15"))</f>
        <v/>
      </c>
      <c r="L441" s="31">
        <f>IF($A441="","",K441-_xll.BDP($A441&amp;" Corp","YAS_BOND_YLD","YAS_YLD_FLAG=15","SETTLE_DT",Company_desc!$A$1))</f>
        <v/>
      </c>
      <c r="M441" s="31">
        <f>IF($A441="","",K441-_xll.BDP($A441&amp;" Corp","YAS_BOND_YLD","YAS_YLD_FLAG=15","SETTLE_DT",Company_desc!$A$2))</f>
        <v/>
      </c>
      <c r="N441" s="79">
        <f>IF($A441="","",_xll.BDP($A441&amp;" Corp","YAS_OAS_SPRD"))</f>
        <v/>
      </c>
      <c r="O441" s="67">
        <f>IF($A441="","",_xll.BDP($A441&amp;" Corp","YAS_MOD_DUR"))</f>
        <v/>
      </c>
      <c r="P441" s="79">
        <f>IF($A441="","",IFERROR(INDEX(Sheet1!$P:$P,MATCH($A441,Sheet1!$A:$A,0)),""))</f>
        <v/>
      </c>
      <c r="Q441" s="27">
        <f>IF($A441="","",IFERROR(INDEX(Company_desc!$C:$C,MATCH($A441,Company_desc!$A:$A,0)),IFERROR(INDEX(Sheet1!$Q:$Q,MATCH($A441,Sheet1!$A:$A,0)),"")))</f>
        <v/>
      </c>
      <c r="R441" s="27">
        <f>IF($A441="","",_xll.BDP($A441&amp;" Corp","CRNCY"))</f>
        <v/>
      </c>
      <c r="S441" s="27">
        <f>IF($A441="","",IFERROR(INDEX(Sheet1!$S:$S,MATCH($A441,Sheet1!$A:$A,0)),""))</f>
        <v/>
      </c>
      <c r="T441" s="47">
        <f>IF($A441="","",IFERROR(INDEX(Sheet1!$T:$T,MATCH($A441,Sheet1!$A:$A,0)),_xll.BDP($A441&amp;" Corp","RTG_SP")))</f>
        <v/>
      </c>
      <c r="U441" s="75">
        <f>IF($A441="","",IFERROR(INDEX(Sheet1!$U:$U,MATCH($A441,Sheet1!$A:$A,0)),""))</f>
        <v/>
      </c>
      <c r="W441" s="81">
        <f>IF($A441="","",N441-_xll.BDP($A441&amp;" Corp","YAS_OAS_SPRD","SETTLE_DT",Company_desc!$A$1))</f>
        <v/>
      </c>
      <c r="X441" s="81">
        <f>IF($A441="","",N441-_xll.BDP($A441&amp;" Corp","YAS_OAS_SPRD","SETTLE_DT",Company_desc!$A$2))</f>
        <v/>
      </c>
      <c r="Y441" s="80">
        <f>IF($A441="","",N441-_xll.BDP($A441&amp;" Corp","YAS_OAS_SPRD","SETTLE_DT",Company_desc!$D$1))</f>
        <v/>
      </c>
      <c r="Z441" s="82">
        <f>IF($A441="","",K441-_xll.BDP($A441&amp;" Corp","YAS_BOND_YLD","YAS_YLD_FLAG=15","SETTLE_DT",Company_desc!$D$1))</f>
        <v/>
      </c>
      <c r="AA441" s="80">
        <f>IF($A441="","",_xll.BDP($A441&amp;" Corp","YAS_OAS_SPRD","SETTLE_DT",Company_desc!$D$1))</f>
        <v/>
      </c>
    </row>
    <row r="442">
      <c r="B442" s="75">
        <f>IF($A442="","",IFERROR(INDEX(Sheet1!$B:$B,MATCH($A442,Sheet1!$A:$A,0)),""))</f>
        <v/>
      </c>
      <c r="C442" s="75">
        <f>IF($A442="","",PROPER(_xll.BDP($A442&amp;" Corp","NAME")))</f>
        <v/>
      </c>
      <c r="D442" s="76">
        <f>IF($A442="","",_xll.BDP($A442&amp;" Corp","CPN"))</f>
        <v/>
      </c>
      <c r="E442" s="75">
        <f>IF($A442="","",_xll.BDP($A442&amp;" Corp","PAYMENT_RANK"))</f>
        <v/>
      </c>
      <c r="F442" s="100">
        <f>IF($A442="","",_xll.BDP($A442&amp;" Corp","MATURITY"))</f>
        <v/>
      </c>
      <c r="G442" s="75">
        <f>IF($A442="","",PROPER(_xll.BDP($A442&amp;" Corp","COUNTRY_FULL_NAME")))</f>
        <v/>
      </c>
      <c r="H442" s="75">
        <f>IF($A442="","",_xll.BDP($A442&amp;" Corp","INDUSTRY_SECTOR"))</f>
        <v/>
      </c>
      <c r="I442" s="101">
        <f>IF($A442="","",IFERROR(_xll.BDP($A442&amp;" Corp","MIN_PIECE")/1000,""))</f>
        <v/>
      </c>
      <c r="J442" s="31">
        <f>IF($A442="","",_xll.BDP($A442&amp;" Corp","PX_LAST"))</f>
        <v/>
      </c>
      <c r="K442" s="31">
        <f>IF($A442="","",_xll.BDP($A442&amp;" Corp","YAS_BOND_YLD","YAS_YLD_FLAG=15"))</f>
        <v/>
      </c>
      <c r="L442" s="31">
        <f>IF($A442="","",K442-_xll.BDP($A442&amp;" Corp","YAS_BOND_YLD","YAS_YLD_FLAG=15","SETTLE_DT",Company_desc!$A$1))</f>
        <v/>
      </c>
      <c r="M442" s="31">
        <f>IF($A442="","",K442-_xll.BDP($A442&amp;" Corp","YAS_BOND_YLD","YAS_YLD_FLAG=15","SETTLE_DT",Company_desc!$A$2))</f>
        <v/>
      </c>
      <c r="N442" s="79">
        <f>IF($A442="","",_xll.BDP($A442&amp;" Corp","YAS_OAS_SPRD"))</f>
        <v/>
      </c>
      <c r="O442" s="67">
        <f>IF($A442="","",_xll.BDP($A442&amp;" Corp","YAS_MOD_DUR"))</f>
        <v/>
      </c>
      <c r="P442" s="80">
        <f>IF($A442="","",IFERROR(INDEX(Sheet1!$P:$P,MATCH($A442,Sheet1!$A:$A,0)),""))</f>
        <v/>
      </c>
      <c r="Q442" s="75">
        <f>IF($A442="","",IFERROR(INDEX(Company_desc!$C:$C,MATCH($A442,Company_desc!$A:$A,0)),IFERROR(INDEX(Sheet1!$Q:$Q,MATCH($A442,Sheet1!$A:$A,0)),"")))</f>
        <v/>
      </c>
      <c r="R442" s="75">
        <f>IF($A442="","",_xll.BDP($A442&amp;" Corp","CRNCY"))</f>
        <v/>
      </c>
      <c r="S442" s="75">
        <f>IF($A442="","",IFERROR(INDEX(Sheet1!$S:$S,MATCH($A442,Sheet1!$A:$A,0)),""))</f>
        <v/>
      </c>
      <c r="T442" s="75">
        <f>IF($A442="","",IFERROR(INDEX(Sheet1!$T:$T,MATCH($A442,Sheet1!$A:$A,0)),_xll.BDP($A442&amp;" Corp","RTG_SP")))</f>
        <v/>
      </c>
      <c r="U442" s="75">
        <f>IF($A442="","",IFERROR(INDEX(Sheet1!$U:$U,MATCH($A442,Sheet1!$A:$A,0)),""))</f>
        <v/>
      </c>
      <c r="W442" s="81">
        <f>IF($A442="","",N442-_xll.BDP($A442&amp;" Corp","YAS_OAS_SPRD","SETTLE_DT",Company_desc!$A$1))</f>
        <v/>
      </c>
      <c r="X442" s="81">
        <f>IF($A442="","",N442-_xll.BDP($A442&amp;" Corp","YAS_OAS_SPRD","SETTLE_DT",Company_desc!$A$2))</f>
        <v/>
      </c>
      <c r="Y442" s="80">
        <f>IF($A442="","",N442-_xll.BDP($A442&amp;" Corp","YAS_OAS_SPRD","SETTLE_DT",Company_desc!$D$1))</f>
        <v/>
      </c>
      <c r="Z442" s="82">
        <f>IF($A442="","",K442-_xll.BDP($A442&amp;" Corp","YAS_BOND_YLD","YAS_YLD_FLAG=15","SETTLE_DT",Company_desc!$D$1))</f>
        <v/>
      </c>
      <c r="AA442" s="80">
        <f>IF($A442="","",_xll.BDP($A442&amp;" Corp","YAS_OAS_SPRD","SETTLE_DT",Company_desc!$D$1))</f>
        <v/>
      </c>
    </row>
    <row r="443">
      <c r="B443" s="75">
        <f>IF($A443="","",IFERROR(INDEX(Sheet1!$B:$B,MATCH($A443,Sheet1!$A:$A,0)),""))</f>
        <v/>
      </c>
      <c r="C443" s="75">
        <f>IF($A443="","",PROPER(_xll.BDP($A443&amp;" Corp","NAME")))</f>
        <v/>
      </c>
      <c r="D443" s="76">
        <f>IF($A443="","",_xll.BDP($A443&amp;" Corp","CPN"))</f>
        <v/>
      </c>
      <c r="E443" s="75">
        <f>IF($A443="","",_xll.BDP($A443&amp;" Corp","PAYMENT_RANK"))</f>
        <v/>
      </c>
      <c r="F443" s="100">
        <f>IF($A443="","",_xll.BDP($A443&amp;" Corp","MATURITY"))</f>
        <v/>
      </c>
      <c r="G443" s="75">
        <f>IF($A443="","",PROPER(_xll.BDP($A443&amp;" Corp","COUNTRY_FULL_NAME")))</f>
        <v/>
      </c>
      <c r="H443" s="75">
        <f>IF($A443="","",_xll.BDP($A443&amp;" Corp","INDUSTRY_SECTOR"))</f>
        <v/>
      </c>
      <c r="I443" s="101">
        <f>IF($A443="","",IFERROR(_xll.BDP($A443&amp;" Corp","MIN_PIECE")/1000,""))</f>
        <v/>
      </c>
      <c r="J443" s="31">
        <f>IF($A443="","",_xll.BDP($A443&amp;" Corp","PX_LAST"))</f>
        <v/>
      </c>
      <c r="K443" s="31">
        <f>IF($A443="","",_xll.BDP($A443&amp;" Corp","YAS_BOND_YLD","YAS_YLD_FLAG=15"))</f>
        <v/>
      </c>
      <c r="L443" s="31">
        <f>IF($A443="","",K443-_xll.BDP($A443&amp;" Corp","YAS_BOND_YLD","YAS_YLD_FLAG=15","SETTLE_DT",Company_desc!$A$1))</f>
        <v/>
      </c>
      <c r="M443" s="31">
        <f>IF($A443="","",K443-_xll.BDP($A443&amp;" Corp","YAS_BOND_YLD","YAS_YLD_FLAG=15","SETTLE_DT",Company_desc!$A$2))</f>
        <v/>
      </c>
      <c r="N443" s="79">
        <f>IF($A443="","",_xll.BDP($A443&amp;" Corp","YAS_OAS_SPRD"))</f>
        <v/>
      </c>
      <c r="O443" s="67">
        <f>IF($A443="","",_xll.BDP($A443&amp;" Corp","YAS_MOD_DUR"))</f>
        <v/>
      </c>
      <c r="P443" s="80">
        <f>IF($A443="","",IFERROR(INDEX(Sheet1!$P:$P,MATCH($A443,Sheet1!$A:$A,0)),""))</f>
        <v/>
      </c>
      <c r="Q443" s="75">
        <f>IF($A443="","",IFERROR(INDEX(Company_desc!$C:$C,MATCH($A443,Company_desc!$A:$A,0)),IFERROR(INDEX(Sheet1!$Q:$Q,MATCH($A443,Sheet1!$A:$A,0)),"")))</f>
        <v/>
      </c>
      <c r="R443" s="75">
        <f>IF($A443="","",_xll.BDP($A443&amp;" Corp","CRNCY"))</f>
        <v/>
      </c>
      <c r="S443" s="75">
        <f>IF($A443="","",IFERROR(INDEX(Sheet1!$S:$S,MATCH($A443,Sheet1!$A:$A,0)),""))</f>
        <v/>
      </c>
      <c r="T443" s="75">
        <f>IF($A443="","",IFERROR(INDEX(Sheet1!$T:$T,MATCH($A443,Sheet1!$A:$A,0)),_xll.BDP($A443&amp;" Corp","RTG_SP")))</f>
        <v/>
      </c>
      <c r="U443" s="75">
        <f>IF($A443="","",IFERROR(INDEX(Sheet1!$U:$U,MATCH($A443,Sheet1!$A:$A,0)),""))</f>
        <v/>
      </c>
      <c r="W443" s="81">
        <f>IF($A443="","",N443-_xll.BDP($A443&amp;" Corp","YAS_OAS_SPRD","SETTLE_DT",Company_desc!$A$1))</f>
        <v/>
      </c>
      <c r="X443" s="81">
        <f>IF($A443="","",N443-_xll.BDP($A443&amp;" Corp","YAS_OAS_SPRD","SETTLE_DT",Company_desc!$A$2))</f>
        <v/>
      </c>
      <c r="Y443" s="80">
        <f>IF($A443="","",N443-_xll.BDP($A443&amp;" Corp","YAS_OAS_SPRD","SETTLE_DT",Company_desc!$D$1))</f>
        <v/>
      </c>
      <c r="Z443" s="82">
        <f>IF($A443="","",K443-_xll.BDP($A443&amp;" Corp","YAS_BOND_YLD","YAS_YLD_FLAG=15","SETTLE_DT",Company_desc!$D$1))</f>
        <v/>
      </c>
      <c r="AA443" s="80">
        <f>IF($A443="","",_xll.BDP($A443&amp;" Corp","YAS_OAS_SPRD","SETTLE_DT",Company_desc!$D$1))</f>
        <v/>
      </c>
    </row>
    <row r="444">
      <c r="B444" s="75">
        <f>IF($A444="","",IFERROR(INDEX(Sheet1!$B:$B,MATCH($A444,Sheet1!$A:$A,0)),""))</f>
        <v/>
      </c>
      <c r="C444" s="75">
        <f>IF($A444="","",PROPER(_xll.BDP($A444&amp;" Corp","NAME")))</f>
        <v/>
      </c>
      <c r="D444" s="76">
        <f>IF($A444="","",_xll.BDP($A444&amp;" Corp","CPN"))</f>
        <v/>
      </c>
      <c r="E444" s="75">
        <f>IF($A444="","",_xll.BDP($A444&amp;" Corp","PAYMENT_RANK"))</f>
        <v/>
      </c>
      <c r="F444" s="100">
        <f>IF($A444="","",_xll.BDP($A444&amp;" Corp","MATURITY"))</f>
        <v/>
      </c>
      <c r="G444" s="75">
        <f>IF($A444="","",PROPER(_xll.BDP($A444&amp;" Corp","COUNTRY_FULL_NAME")))</f>
        <v/>
      </c>
      <c r="H444" s="75">
        <f>IF($A444="","",_xll.BDP($A444&amp;" Corp","INDUSTRY_SECTOR"))</f>
        <v/>
      </c>
      <c r="I444" s="101">
        <f>IF($A444="","",IFERROR(_xll.BDP($A444&amp;" Corp","MIN_PIECE")/1000,""))</f>
        <v/>
      </c>
      <c r="J444" s="31">
        <f>IF($A444="","",_xll.BDP($A444&amp;" Corp","PX_LAST"))</f>
        <v/>
      </c>
      <c r="K444" s="31">
        <f>IF($A444="","",_xll.BDP($A444&amp;" Corp","YAS_BOND_YLD","YAS_YLD_FLAG=15"))</f>
        <v/>
      </c>
      <c r="L444" s="31">
        <f>IF($A444="","",K444-_xll.BDP($A444&amp;" Corp","YAS_BOND_YLD","YAS_YLD_FLAG=15","SETTLE_DT",Company_desc!$A$1))</f>
        <v/>
      </c>
      <c r="M444" s="31">
        <f>IF($A444="","",K444-_xll.BDP($A444&amp;" Corp","YAS_BOND_YLD","YAS_YLD_FLAG=15","SETTLE_DT",Company_desc!$A$2))</f>
        <v/>
      </c>
      <c r="N444" s="79">
        <f>IF($A444="","",_xll.BDP($A444&amp;" Corp","YAS_OAS_SPRD"))</f>
        <v/>
      </c>
      <c r="O444" s="67">
        <f>IF($A444="","",_xll.BDP($A444&amp;" Corp","YAS_MOD_DUR"))</f>
        <v/>
      </c>
      <c r="P444" s="80">
        <f>IF($A444="","",IFERROR(INDEX(Sheet1!$P:$P,MATCH($A444,Sheet1!$A:$A,0)),""))</f>
        <v/>
      </c>
      <c r="Q444" s="75">
        <f>IF($A444="","",IFERROR(INDEX(Company_desc!$C:$C,MATCH($A444,Company_desc!$A:$A,0)),IFERROR(INDEX(Sheet1!$Q:$Q,MATCH($A444,Sheet1!$A:$A,0)),"")))</f>
        <v/>
      </c>
      <c r="R444" s="75">
        <f>IF($A444="","",_xll.BDP($A444&amp;" Corp","CRNCY"))</f>
        <v/>
      </c>
      <c r="S444" s="75">
        <f>IF($A444="","",IFERROR(INDEX(Sheet1!$S:$S,MATCH($A444,Sheet1!$A:$A,0)),""))</f>
        <v/>
      </c>
      <c r="T444" s="75">
        <f>IF($A444="","",IFERROR(INDEX(Sheet1!$T:$T,MATCH($A444,Sheet1!$A:$A,0)),_xll.BDP($A444&amp;" Corp","RTG_SP")))</f>
        <v/>
      </c>
      <c r="U444" s="75">
        <f>IF($A444="","",IFERROR(INDEX(Sheet1!$U:$U,MATCH($A444,Sheet1!$A:$A,0)),""))</f>
        <v/>
      </c>
      <c r="W444" s="81">
        <f>IF($A444="","",N444-_xll.BDP($A444&amp;" Corp","YAS_OAS_SPRD","SETTLE_DT",Company_desc!$A$1))</f>
        <v/>
      </c>
      <c r="X444" s="81">
        <f>IF($A444="","",N444-_xll.BDP($A444&amp;" Corp","YAS_OAS_SPRD","SETTLE_DT",Company_desc!$A$2))</f>
        <v/>
      </c>
      <c r="Y444" s="80">
        <f>IF($A444="","",N444-_xll.BDP($A444&amp;" Corp","YAS_OAS_SPRD","SETTLE_DT",Company_desc!$D$1))</f>
        <v/>
      </c>
      <c r="Z444" s="82">
        <f>IF($A444="","",K444-_xll.BDP($A444&amp;" Corp","YAS_BOND_YLD","YAS_YLD_FLAG=15","SETTLE_DT",Company_desc!$D$1))</f>
        <v/>
      </c>
      <c r="AA444" s="80">
        <f>IF($A444="","",_xll.BDP($A444&amp;" Corp","YAS_OAS_SPRD","SETTLE_DT",Company_desc!$D$1))</f>
        <v/>
      </c>
    </row>
    <row r="445">
      <c r="B445" s="75">
        <f>IF($A445="","",IFERROR(INDEX(Sheet1!$B:$B,MATCH($A445,Sheet1!$A:$A,0)),""))</f>
        <v/>
      </c>
      <c r="C445" s="75">
        <f>IF($A445="","",PROPER(_xll.BDP($A445&amp;" Corp","NAME")))</f>
        <v/>
      </c>
      <c r="D445" s="76">
        <f>IF($A445="","",_xll.BDP($A445&amp;" Corp","CPN"))</f>
        <v/>
      </c>
      <c r="E445" s="75">
        <f>IF($A445="","",_xll.BDP($A445&amp;" Corp","PAYMENT_RANK"))</f>
        <v/>
      </c>
      <c r="F445" s="100">
        <f>IF($A445="","",_xll.BDP($A445&amp;" Corp","MATURITY"))</f>
        <v/>
      </c>
      <c r="G445" s="75">
        <f>IF($A445="","",PROPER(_xll.BDP($A445&amp;" Corp","COUNTRY_FULL_NAME")))</f>
        <v/>
      </c>
      <c r="H445" s="75">
        <f>IF($A445="","",_xll.BDP($A445&amp;" Corp","INDUSTRY_SECTOR"))</f>
        <v/>
      </c>
      <c r="I445" s="101">
        <f>IF($A445="","",IFERROR(_xll.BDP($A445&amp;" Corp","MIN_PIECE")/1000,""))</f>
        <v/>
      </c>
      <c r="J445" s="31">
        <f>IF($A445="","",_xll.BDP($A445&amp;" Corp","PX_LAST"))</f>
        <v/>
      </c>
      <c r="K445" s="31">
        <f>IF($A445="","",_xll.BDP($A445&amp;" Corp","YAS_BOND_YLD","YAS_YLD_FLAG=15"))</f>
        <v/>
      </c>
      <c r="L445" s="31">
        <f>IF($A445="","",K445-_xll.BDP($A445&amp;" Corp","YAS_BOND_YLD","YAS_YLD_FLAG=15","SETTLE_DT",Company_desc!$A$1))</f>
        <v/>
      </c>
      <c r="M445" s="31">
        <f>IF($A445="","",K445-_xll.BDP($A445&amp;" Corp","YAS_BOND_YLD","YAS_YLD_FLAG=15","SETTLE_DT",Company_desc!$A$2))</f>
        <v/>
      </c>
      <c r="N445" s="79">
        <f>IF($A445="","",_xll.BDP($A445&amp;" Corp","YAS_OAS_SPRD"))</f>
        <v/>
      </c>
      <c r="O445" s="67">
        <f>IF($A445="","",_xll.BDP($A445&amp;" Corp","YAS_MOD_DUR"))</f>
        <v/>
      </c>
      <c r="P445" s="80">
        <f>IF($A445="","",IFERROR(INDEX(Sheet1!$P:$P,MATCH($A445,Sheet1!$A:$A,0)),""))</f>
        <v/>
      </c>
      <c r="Q445" s="75">
        <f>IF($A445="","",IFERROR(INDEX(Company_desc!$C:$C,MATCH($A445,Company_desc!$A:$A,0)),IFERROR(INDEX(Sheet1!$Q:$Q,MATCH($A445,Sheet1!$A:$A,0)),"")))</f>
        <v/>
      </c>
      <c r="R445" s="75">
        <f>IF($A445="","",_xll.BDP($A445&amp;" Corp","CRNCY"))</f>
        <v/>
      </c>
      <c r="S445" s="75">
        <f>IF($A445="","",IFERROR(INDEX(Sheet1!$S:$S,MATCH($A445,Sheet1!$A:$A,0)),""))</f>
        <v/>
      </c>
      <c r="T445" s="75">
        <f>IF($A445="","",IFERROR(INDEX(Sheet1!$T:$T,MATCH($A445,Sheet1!$A:$A,0)),_xll.BDP($A445&amp;" Corp","RTG_SP")))</f>
        <v/>
      </c>
      <c r="U445" s="75">
        <f>IF($A445="","",IFERROR(INDEX(Sheet1!$U:$U,MATCH($A445,Sheet1!$A:$A,0)),""))</f>
        <v/>
      </c>
      <c r="W445" s="81">
        <f>IF($A445="","",N445-_xll.BDP($A445&amp;" Corp","YAS_OAS_SPRD","SETTLE_DT",Company_desc!$A$1))</f>
        <v/>
      </c>
      <c r="X445" s="81">
        <f>IF($A445="","",N445-_xll.BDP($A445&amp;" Corp","YAS_OAS_SPRD","SETTLE_DT",Company_desc!$A$2))</f>
        <v/>
      </c>
      <c r="Y445" s="80">
        <f>IF($A445="","",N445-_xll.BDP($A445&amp;" Corp","YAS_OAS_SPRD","SETTLE_DT",Company_desc!$D$1))</f>
        <v/>
      </c>
      <c r="Z445" s="82">
        <f>IF($A445="","",K445-_xll.BDP($A445&amp;" Corp","YAS_BOND_YLD","YAS_YLD_FLAG=15","SETTLE_DT",Company_desc!$D$1))</f>
        <v/>
      </c>
      <c r="AA445" s="80">
        <f>IF($A445="","",_xll.BDP($A445&amp;" Corp","YAS_OAS_SPRD","SETTLE_DT",Company_desc!$D$1))</f>
        <v/>
      </c>
    </row>
    <row r="446">
      <c r="B446" s="28">
        <f>IF($A446="","",IFERROR(INDEX(Sheet1!$B:$B,MATCH($A446,Sheet1!$A:$A,0)),""))</f>
        <v/>
      </c>
      <c r="C446" s="29">
        <f>IF($A446="","",PROPER(_xll.BDP($A446&amp;" Corp","NAME")))</f>
        <v/>
      </c>
      <c r="D446" s="84">
        <f>IF($A446="","",_xll.BDP($A446&amp;" Corp","CPN"))</f>
        <v/>
      </c>
      <c r="E446" s="84">
        <f>IF($A446="","",_xll.BDP($A446&amp;" Corp","PAYMENT_RANK"))</f>
        <v/>
      </c>
      <c r="F446" s="102">
        <f>IF($A446="","",_xll.BDP($A446&amp;" Corp","MATURITY"))</f>
        <v/>
      </c>
      <c r="G446" s="43">
        <f>IF($A446="","",PROPER(_xll.BDP($A446&amp;" Corp","COUNTRY_FULL_NAME")))</f>
        <v/>
      </c>
      <c r="H446" s="29">
        <f>IF($A446="","",_xll.BDP($A446&amp;" Corp","INDUSTRY_SECTOR"))</f>
        <v/>
      </c>
      <c r="I446" s="103">
        <f>IF($A446="","",IFERROR(_xll.BDP($A446&amp;" Corp","MIN_PIECE")/1000,""))</f>
        <v/>
      </c>
      <c r="J446" s="31">
        <f>IF($A446="","",_xll.BDP($A446&amp;" Corp","PX_LAST"))</f>
        <v/>
      </c>
      <c r="K446" s="31">
        <f>IF($A446="","",_xll.BDP($A446&amp;" Corp","YAS_BOND_YLD","YAS_YLD_FLAG=15"))</f>
        <v/>
      </c>
      <c r="L446" s="31">
        <f>IF($A446="","",K446-_xll.BDP($A446&amp;" Corp","YAS_BOND_YLD","YAS_YLD_FLAG=15","SETTLE_DT",Company_desc!$A$1))</f>
        <v/>
      </c>
      <c r="M446" s="31">
        <f>IF($A446="","",K446-_xll.BDP($A446&amp;" Corp","YAS_BOND_YLD","YAS_YLD_FLAG=15","SETTLE_DT",Company_desc!$A$2))</f>
        <v/>
      </c>
      <c r="N446" s="79">
        <f>IF($A446="","",_xll.BDP($A446&amp;" Corp","YAS_OAS_SPRD"))</f>
        <v/>
      </c>
      <c r="O446" s="67">
        <f>IF($A446="","",_xll.BDP($A446&amp;" Corp","YAS_MOD_DUR"))</f>
        <v/>
      </c>
      <c r="P446" s="79">
        <f>IF($A446="","",IFERROR(INDEX(Sheet1!$P:$P,MATCH($A446,Sheet1!$A:$A,0)),""))</f>
        <v/>
      </c>
      <c r="Q446" s="27">
        <f>IF($A446="","",IFERROR(INDEX(Company_desc!$C:$C,MATCH($A446,Company_desc!$A:$A,0)),IFERROR(INDEX(Sheet1!$Q:$Q,MATCH($A446,Sheet1!$A:$A,0)),"")))</f>
        <v/>
      </c>
      <c r="R446" s="27">
        <f>IF($A446="","",_xll.BDP($A446&amp;" Corp","CRNCY"))</f>
        <v/>
      </c>
      <c r="S446" s="27">
        <f>IF($A446="","",IFERROR(INDEX(Sheet1!$S:$S,MATCH($A446,Sheet1!$A:$A,0)),""))</f>
        <v/>
      </c>
      <c r="T446" s="47">
        <f>IF($A446="","",IFERROR(INDEX(Sheet1!$T:$T,MATCH($A446,Sheet1!$A:$A,0)),_xll.BDP($A446&amp;" Corp","RTG_SP")))</f>
        <v/>
      </c>
      <c r="U446" s="75">
        <f>IF($A446="","",IFERROR(INDEX(Sheet1!$U:$U,MATCH($A446,Sheet1!$A:$A,0)),""))</f>
        <v/>
      </c>
      <c r="W446" s="81">
        <f>IF($A446="","",N446-_xll.BDP($A446&amp;" Corp","YAS_OAS_SPRD","SETTLE_DT",Company_desc!$A$1))</f>
        <v/>
      </c>
      <c r="X446" s="81">
        <f>IF($A446="","",N446-_xll.BDP($A446&amp;" Corp","YAS_OAS_SPRD","SETTLE_DT",Company_desc!$A$2))</f>
        <v/>
      </c>
      <c r="Y446" s="80">
        <f>IF($A446="","",N446-_xll.BDP($A446&amp;" Corp","YAS_OAS_SPRD","SETTLE_DT",Company_desc!$D$1))</f>
        <v/>
      </c>
      <c r="Z446" s="82">
        <f>IF($A446="","",K446-_xll.BDP($A446&amp;" Corp","YAS_BOND_YLD","YAS_YLD_FLAG=15","SETTLE_DT",Company_desc!$D$1))</f>
        <v/>
      </c>
      <c r="AA446" s="80">
        <f>IF($A446="","",_xll.BDP($A446&amp;" Corp","YAS_OAS_SPRD","SETTLE_DT",Company_desc!$D$1))</f>
        <v/>
      </c>
    </row>
    <row r="447">
      <c r="B447" s="75">
        <f>IF($A447="","",IFERROR(INDEX(Sheet1!$B:$B,MATCH($A447,Sheet1!$A:$A,0)),""))</f>
        <v/>
      </c>
      <c r="C447" s="75">
        <f>IF($A447="","",PROPER(_xll.BDP($A447&amp;" Corp","NAME")))</f>
        <v/>
      </c>
      <c r="D447" s="76">
        <f>IF($A447="","",_xll.BDP($A447&amp;" Corp","CPN"))</f>
        <v/>
      </c>
      <c r="E447" s="75">
        <f>IF($A447="","",_xll.BDP($A447&amp;" Corp","PAYMENT_RANK"))</f>
        <v/>
      </c>
      <c r="F447" s="100">
        <f>IF($A447="","",_xll.BDP($A447&amp;" Corp","MATURITY"))</f>
        <v/>
      </c>
      <c r="G447" s="75">
        <f>IF($A447="","",PROPER(_xll.BDP($A447&amp;" Corp","COUNTRY_FULL_NAME")))</f>
        <v/>
      </c>
      <c r="H447" s="75">
        <f>IF($A447="","",_xll.BDP($A447&amp;" Corp","INDUSTRY_SECTOR"))</f>
        <v/>
      </c>
      <c r="I447" s="101">
        <f>IF($A447="","",IFERROR(_xll.BDP($A447&amp;" Corp","MIN_PIECE")/1000,""))</f>
        <v/>
      </c>
      <c r="J447" s="31">
        <f>IF($A447="","",_xll.BDP($A447&amp;" Corp","PX_LAST"))</f>
        <v/>
      </c>
      <c r="K447" s="31">
        <f>IF($A447="","",_xll.BDP($A447&amp;" Corp","YAS_BOND_YLD","YAS_YLD_FLAG=15"))</f>
        <v/>
      </c>
      <c r="L447" s="31">
        <f>IF($A447="","",K447-_xll.BDP($A447&amp;" Corp","YAS_BOND_YLD","YAS_YLD_FLAG=15","SETTLE_DT",Company_desc!$A$1))</f>
        <v/>
      </c>
      <c r="M447" s="31">
        <f>IF($A447="","",K447-_xll.BDP($A447&amp;" Corp","YAS_BOND_YLD","YAS_YLD_FLAG=15","SETTLE_DT",Company_desc!$A$2))</f>
        <v/>
      </c>
      <c r="N447" s="79">
        <f>IF($A447="","",_xll.BDP($A447&amp;" Corp","YAS_OAS_SPRD"))</f>
        <v/>
      </c>
      <c r="O447" s="67">
        <f>IF($A447="","",_xll.BDP($A447&amp;" Corp","YAS_MOD_DUR"))</f>
        <v/>
      </c>
      <c r="P447" s="80">
        <f>IF($A447="","",IFERROR(INDEX(Sheet1!$P:$P,MATCH($A447,Sheet1!$A:$A,0)),""))</f>
        <v/>
      </c>
      <c r="Q447" s="75">
        <f>IF($A447="","",IFERROR(INDEX(Company_desc!$C:$C,MATCH($A447,Company_desc!$A:$A,0)),IFERROR(INDEX(Sheet1!$Q:$Q,MATCH($A447,Sheet1!$A:$A,0)),"")))</f>
        <v/>
      </c>
      <c r="R447" s="75">
        <f>IF($A447="","",_xll.BDP($A447&amp;" Corp","CRNCY"))</f>
        <v/>
      </c>
      <c r="S447" s="75">
        <f>IF($A447="","",IFERROR(INDEX(Sheet1!$S:$S,MATCH($A447,Sheet1!$A:$A,0)),""))</f>
        <v/>
      </c>
      <c r="T447" s="75">
        <f>IF($A447="","",IFERROR(INDEX(Sheet1!$T:$T,MATCH($A447,Sheet1!$A:$A,0)),_xll.BDP($A447&amp;" Corp","RTG_SP")))</f>
        <v/>
      </c>
      <c r="U447" s="75">
        <f>IF($A447="","",IFERROR(INDEX(Sheet1!$U:$U,MATCH($A447,Sheet1!$A:$A,0)),""))</f>
        <v/>
      </c>
      <c r="W447" s="81">
        <f>IF($A447="","",N447-_xll.BDP($A447&amp;" Corp","YAS_OAS_SPRD","SETTLE_DT",Company_desc!$A$1))</f>
        <v/>
      </c>
      <c r="X447" s="81">
        <f>IF($A447="","",N447-_xll.BDP($A447&amp;" Corp","YAS_OAS_SPRD","SETTLE_DT",Company_desc!$A$2))</f>
        <v/>
      </c>
      <c r="Y447" s="80">
        <f>IF($A447="","",N447-_xll.BDP($A447&amp;" Corp","YAS_OAS_SPRD","SETTLE_DT",Company_desc!$D$1))</f>
        <v/>
      </c>
      <c r="Z447" s="82">
        <f>IF($A447="","",K447-_xll.BDP($A447&amp;" Corp","YAS_BOND_YLD","YAS_YLD_FLAG=15","SETTLE_DT",Company_desc!$D$1))</f>
        <v/>
      </c>
      <c r="AA447" s="80">
        <f>IF($A447="","",_xll.BDP($A447&amp;" Corp","YAS_OAS_SPRD","SETTLE_DT",Company_desc!$D$1))</f>
        <v/>
      </c>
    </row>
    <row r="448">
      <c r="B448" s="75">
        <f>IF($A448="","",IFERROR(INDEX(Sheet1!$B:$B,MATCH($A448,Sheet1!$A:$A,0)),""))</f>
        <v/>
      </c>
      <c r="C448" s="75">
        <f>IF($A448="","",PROPER(_xll.BDP($A448&amp;" Corp","NAME")))</f>
        <v/>
      </c>
      <c r="D448" s="76">
        <f>IF($A448="","",_xll.BDP($A448&amp;" Corp","CPN"))</f>
        <v/>
      </c>
      <c r="E448" s="75">
        <f>IF($A448="","",_xll.BDP($A448&amp;" Corp","PAYMENT_RANK"))</f>
        <v/>
      </c>
      <c r="F448" s="100">
        <f>IF($A448="","",_xll.BDP($A448&amp;" Corp","MATURITY"))</f>
        <v/>
      </c>
      <c r="G448" s="75">
        <f>IF($A448="","",PROPER(_xll.BDP($A448&amp;" Corp","COUNTRY_FULL_NAME")))</f>
        <v/>
      </c>
      <c r="H448" s="75">
        <f>IF($A448="","",_xll.BDP($A448&amp;" Corp","INDUSTRY_SECTOR"))</f>
        <v/>
      </c>
      <c r="I448" s="101">
        <f>IF($A448="","",IFERROR(_xll.BDP($A448&amp;" Corp","MIN_PIECE")/1000,""))</f>
        <v/>
      </c>
      <c r="J448" s="31">
        <f>IF($A448="","",_xll.BDP($A448&amp;" Corp","PX_LAST"))</f>
        <v/>
      </c>
      <c r="K448" s="31">
        <f>IF($A448="","",_xll.BDP($A448&amp;" Corp","YAS_BOND_YLD","YAS_YLD_FLAG=15"))</f>
        <v/>
      </c>
      <c r="L448" s="31">
        <f>IF($A448="","",K448-_xll.BDP($A448&amp;" Corp","YAS_BOND_YLD","YAS_YLD_FLAG=15","SETTLE_DT",Company_desc!$A$1))</f>
        <v/>
      </c>
      <c r="M448" s="31">
        <f>IF($A448="","",K448-_xll.BDP($A448&amp;" Corp","YAS_BOND_YLD","YAS_YLD_FLAG=15","SETTLE_DT",Company_desc!$A$2))</f>
        <v/>
      </c>
      <c r="N448" s="79">
        <f>IF($A448="","",_xll.BDP($A448&amp;" Corp","YAS_OAS_SPRD"))</f>
        <v/>
      </c>
      <c r="O448" s="67">
        <f>IF($A448="","",_xll.BDP($A448&amp;" Corp","YAS_MOD_DUR"))</f>
        <v/>
      </c>
      <c r="P448" s="80">
        <f>IF($A448="","",IFERROR(INDEX(Sheet1!$P:$P,MATCH($A448,Sheet1!$A:$A,0)),""))</f>
        <v/>
      </c>
      <c r="Q448" s="75">
        <f>IF($A448="","",IFERROR(INDEX(Company_desc!$C:$C,MATCH($A448,Company_desc!$A:$A,0)),IFERROR(INDEX(Sheet1!$Q:$Q,MATCH($A448,Sheet1!$A:$A,0)),"")))</f>
        <v/>
      </c>
      <c r="R448" s="75">
        <f>IF($A448="","",_xll.BDP($A448&amp;" Corp","CRNCY"))</f>
        <v/>
      </c>
      <c r="S448" s="75">
        <f>IF($A448="","",IFERROR(INDEX(Sheet1!$S:$S,MATCH($A448,Sheet1!$A:$A,0)),""))</f>
        <v/>
      </c>
      <c r="T448" s="75">
        <f>IF($A448="","",IFERROR(INDEX(Sheet1!$T:$T,MATCH($A448,Sheet1!$A:$A,0)),_xll.BDP($A448&amp;" Corp","RTG_SP")))</f>
        <v/>
      </c>
      <c r="U448" s="75">
        <f>IF($A448="","",IFERROR(INDEX(Sheet1!$U:$U,MATCH($A448,Sheet1!$A:$A,0)),""))</f>
        <v/>
      </c>
      <c r="W448" s="81">
        <f>IF($A448="","",N448-_xll.BDP($A448&amp;" Corp","YAS_OAS_SPRD","SETTLE_DT",Company_desc!$A$1))</f>
        <v/>
      </c>
      <c r="X448" s="81">
        <f>IF($A448="","",N448-_xll.BDP($A448&amp;" Corp","YAS_OAS_SPRD","SETTLE_DT",Company_desc!$A$2))</f>
        <v/>
      </c>
      <c r="Y448" s="80">
        <f>IF($A448="","",N448-_xll.BDP($A448&amp;" Corp","YAS_OAS_SPRD","SETTLE_DT",Company_desc!$D$1))</f>
        <v/>
      </c>
      <c r="Z448" s="82">
        <f>IF($A448="","",K448-_xll.BDP($A448&amp;" Corp","YAS_BOND_YLD","YAS_YLD_FLAG=15","SETTLE_DT",Company_desc!$D$1))</f>
        <v/>
      </c>
      <c r="AA448" s="80">
        <f>IF($A448="","",_xll.BDP($A448&amp;" Corp","YAS_OAS_SPRD","SETTLE_DT",Company_desc!$D$1))</f>
        <v/>
      </c>
    </row>
    <row r="449">
      <c r="B449" s="75">
        <f>IF($A449="","",IFERROR(INDEX(Sheet1!$B:$B,MATCH($A449,Sheet1!$A:$A,0)),""))</f>
        <v/>
      </c>
      <c r="C449" s="75">
        <f>IF($A449="","",PROPER(_xll.BDP($A449&amp;" Corp","NAME")))</f>
        <v/>
      </c>
      <c r="D449" s="76">
        <f>IF($A449="","",_xll.BDP($A449&amp;" Corp","CPN"))</f>
        <v/>
      </c>
      <c r="E449" s="75">
        <f>IF($A449="","",_xll.BDP($A449&amp;" Corp","PAYMENT_RANK"))</f>
        <v/>
      </c>
      <c r="F449" s="100">
        <f>IF($A449="","",_xll.BDP($A449&amp;" Corp","MATURITY"))</f>
        <v/>
      </c>
      <c r="G449" s="75">
        <f>IF($A449="","",PROPER(_xll.BDP($A449&amp;" Corp","COUNTRY_FULL_NAME")))</f>
        <v/>
      </c>
      <c r="H449" s="75">
        <f>IF($A449="","",_xll.BDP($A449&amp;" Corp","INDUSTRY_SECTOR"))</f>
        <v/>
      </c>
      <c r="I449" s="101">
        <f>IF($A449="","",IFERROR(_xll.BDP($A449&amp;" Corp","MIN_PIECE")/1000,""))</f>
        <v/>
      </c>
      <c r="J449" s="31">
        <f>IF($A449="","",_xll.BDP($A449&amp;" Corp","PX_LAST"))</f>
        <v/>
      </c>
      <c r="K449" s="31">
        <f>IF($A449="","",_xll.BDP($A449&amp;" Corp","YAS_BOND_YLD","YAS_YLD_FLAG=15"))</f>
        <v/>
      </c>
      <c r="L449" s="31">
        <f>IF($A449="","",K449-_xll.BDP($A449&amp;" Corp","YAS_BOND_YLD","YAS_YLD_FLAG=15","SETTLE_DT",Company_desc!$A$1))</f>
        <v/>
      </c>
      <c r="M449" s="31">
        <f>IF($A449="","",K449-_xll.BDP($A449&amp;" Corp","YAS_BOND_YLD","YAS_YLD_FLAG=15","SETTLE_DT",Company_desc!$A$2))</f>
        <v/>
      </c>
      <c r="N449" s="79">
        <f>IF($A449="","",_xll.BDP($A449&amp;" Corp","YAS_OAS_SPRD"))</f>
        <v/>
      </c>
      <c r="O449" s="67">
        <f>IF($A449="","",_xll.BDP($A449&amp;" Corp","YAS_MOD_DUR"))</f>
        <v/>
      </c>
      <c r="P449" s="80">
        <f>IF($A449="","",IFERROR(INDEX(Sheet1!$P:$P,MATCH($A449,Sheet1!$A:$A,0)),""))</f>
        <v/>
      </c>
      <c r="Q449" s="75">
        <f>IF($A449="","",IFERROR(INDEX(Company_desc!$C:$C,MATCH($A449,Company_desc!$A:$A,0)),IFERROR(INDEX(Sheet1!$Q:$Q,MATCH($A449,Sheet1!$A:$A,0)),"")))</f>
        <v/>
      </c>
      <c r="R449" s="75">
        <f>IF($A449="","",_xll.BDP($A449&amp;" Corp","CRNCY"))</f>
        <v/>
      </c>
      <c r="S449" s="75">
        <f>IF($A449="","",IFERROR(INDEX(Sheet1!$S:$S,MATCH($A449,Sheet1!$A:$A,0)),""))</f>
        <v/>
      </c>
      <c r="T449" s="75">
        <f>IF($A449="","",IFERROR(INDEX(Sheet1!$T:$T,MATCH($A449,Sheet1!$A:$A,0)),_xll.BDP($A449&amp;" Corp","RTG_SP")))</f>
        <v/>
      </c>
      <c r="U449" s="75">
        <f>IF($A449="","",IFERROR(INDEX(Sheet1!$U:$U,MATCH($A449,Sheet1!$A:$A,0)),""))</f>
        <v/>
      </c>
      <c r="W449" s="81">
        <f>IF($A449="","",N449-_xll.BDP($A449&amp;" Corp","YAS_OAS_SPRD","SETTLE_DT",Company_desc!$A$1))</f>
        <v/>
      </c>
      <c r="X449" s="81">
        <f>IF($A449="","",N449-_xll.BDP($A449&amp;" Corp","YAS_OAS_SPRD","SETTLE_DT",Company_desc!$A$2))</f>
        <v/>
      </c>
      <c r="Y449" s="80">
        <f>IF($A449="","",N449-_xll.BDP($A449&amp;" Corp","YAS_OAS_SPRD","SETTLE_DT",Company_desc!$D$1))</f>
        <v/>
      </c>
      <c r="Z449" s="82">
        <f>IF($A449="","",K449-_xll.BDP($A449&amp;" Corp","YAS_BOND_YLD","YAS_YLD_FLAG=15","SETTLE_DT",Company_desc!$D$1))</f>
        <v/>
      </c>
      <c r="AA449" s="80">
        <f>IF($A449="","",_xll.BDP($A449&amp;" Corp","YAS_OAS_SPRD","SETTLE_DT",Company_desc!$D$1))</f>
        <v/>
      </c>
    </row>
    <row r="450">
      <c r="B450" s="75">
        <f>IF($A450="","",IFERROR(INDEX(Sheet1!$B:$B,MATCH($A450,Sheet1!$A:$A,0)),""))</f>
        <v/>
      </c>
      <c r="C450" s="75">
        <f>IF($A450="","",PROPER(_xll.BDP($A450&amp;" Corp","NAME")))</f>
        <v/>
      </c>
      <c r="D450" s="76">
        <f>IF($A450="","",_xll.BDP($A450&amp;" Corp","CPN"))</f>
        <v/>
      </c>
      <c r="E450" s="75">
        <f>IF($A450="","",_xll.BDP($A450&amp;" Corp","PAYMENT_RANK"))</f>
        <v/>
      </c>
      <c r="F450" s="100">
        <f>IF($A450="","",_xll.BDP($A450&amp;" Corp","MATURITY"))</f>
        <v/>
      </c>
      <c r="G450" s="75">
        <f>IF($A450="","",PROPER(_xll.BDP($A450&amp;" Corp","COUNTRY_FULL_NAME")))</f>
        <v/>
      </c>
      <c r="H450" s="75">
        <f>IF($A450="","",_xll.BDP($A450&amp;" Corp","INDUSTRY_SECTOR"))</f>
        <v/>
      </c>
      <c r="I450" s="101">
        <f>IF($A450="","",IFERROR(_xll.BDP($A450&amp;" Corp","MIN_PIECE")/1000,""))</f>
        <v/>
      </c>
      <c r="J450" s="31">
        <f>IF($A450="","",_xll.BDP($A450&amp;" Corp","PX_LAST"))</f>
        <v/>
      </c>
      <c r="K450" s="31">
        <f>IF($A450="","",_xll.BDP($A450&amp;" Corp","YAS_BOND_YLD","YAS_YLD_FLAG=15"))</f>
        <v/>
      </c>
      <c r="L450" s="31">
        <f>IF($A450="","",K450-_xll.BDP($A450&amp;" Corp","YAS_BOND_YLD","YAS_YLD_FLAG=15","SETTLE_DT",Company_desc!$A$1))</f>
        <v/>
      </c>
      <c r="M450" s="31">
        <f>IF($A450="","",K450-_xll.BDP($A450&amp;" Corp","YAS_BOND_YLD","YAS_YLD_FLAG=15","SETTLE_DT",Company_desc!$A$2))</f>
        <v/>
      </c>
      <c r="N450" s="79">
        <f>IF($A450="","",_xll.BDP($A450&amp;" Corp","YAS_OAS_SPRD"))</f>
        <v/>
      </c>
      <c r="O450" s="67">
        <f>IF($A450="","",_xll.BDP($A450&amp;" Corp","YAS_MOD_DUR"))</f>
        <v/>
      </c>
      <c r="P450" s="80">
        <f>IF($A450="","",IFERROR(INDEX(Sheet1!$P:$P,MATCH($A450,Sheet1!$A:$A,0)),""))</f>
        <v/>
      </c>
      <c r="Q450" s="75">
        <f>IF($A450="","",IFERROR(INDEX(Company_desc!$C:$C,MATCH($A450,Company_desc!$A:$A,0)),IFERROR(INDEX(Sheet1!$Q:$Q,MATCH($A450,Sheet1!$A:$A,0)),"")))</f>
        <v/>
      </c>
      <c r="R450" s="75">
        <f>IF($A450="","",_xll.BDP($A450&amp;" Corp","CRNCY"))</f>
        <v/>
      </c>
      <c r="S450" s="75">
        <f>IF($A450="","",IFERROR(INDEX(Sheet1!$S:$S,MATCH($A450,Sheet1!$A:$A,0)),""))</f>
        <v/>
      </c>
      <c r="T450" s="75">
        <f>IF($A450="","",IFERROR(INDEX(Sheet1!$T:$T,MATCH($A450,Sheet1!$A:$A,0)),_xll.BDP($A450&amp;" Corp","RTG_SP")))</f>
        <v/>
      </c>
      <c r="U450" s="75">
        <f>IF($A450="","",IFERROR(INDEX(Sheet1!$U:$U,MATCH($A450,Sheet1!$A:$A,0)),""))</f>
        <v/>
      </c>
      <c r="W450" s="81">
        <f>IF($A450="","",N450-_xll.BDP($A450&amp;" Corp","YAS_OAS_SPRD","SETTLE_DT",Company_desc!$A$1))</f>
        <v/>
      </c>
      <c r="X450" s="81">
        <f>IF($A450="","",N450-_xll.BDP($A450&amp;" Corp","YAS_OAS_SPRD","SETTLE_DT",Company_desc!$A$2))</f>
        <v/>
      </c>
      <c r="Y450" s="80">
        <f>IF($A450="","",N450-_xll.BDP($A450&amp;" Corp","YAS_OAS_SPRD","SETTLE_DT",Company_desc!$D$1))</f>
        <v/>
      </c>
      <c r="Z450" s="82">
        <f>IF($A450="","",K450-_xll.BDP($A450&amp;" Corp","YAS_BOND_YLD","YAS_YLD_FLAG=15","SETTLE_DT",Company_desc!$D$1))</f>
        <v/>
      </c>
      <c r="AA450" s="80">
        <f>IF($A450="","",_xll.BDP($A450&amp;" Corp","YAS_OAS_SPRD","SETTLE_DT",Company_desc!$D$1))</f>
        <v/>
      </c>
    </row>
    <row r="451">
      <c r="B451" s="75">
        <f>IF($A451="","",IFERROR(INDEX(Sheet1!$B:$B,MATCH($A451,Sheet1!$A:$A,0)),""))</f>
        <v/>
      </c>
      <c r="C451" s="75">
        <f>IF($A451="","",PROPER(_xll.BDP($A451&amp;" Corp","NAME")))</f>
        <v/>
      </c>
      <c r="D451" s="76">
        <f>IF($A451="","",_xll.BDP($A451&amp;" Corp","CPN"))</f>
        <v/>
      </c>
      <c r="E451" s="75">
        <f>IF($A451="","",_xll.BDP($A451&amp;" Corp","PAYMENT_RANK"))</f>
        <v/>
      </c>
      <c r="F451" s="100">
        <f>IF($A451="","",_xll.BDP($A451&amp;" Corp","MATURITY"))</f>
        <v/>
      </c>
      <c r="G451" s="75">
        <f>IF($A451="","",PROPER(_xll.BDP($A451&amp;" Corp","COUNTRY_FULL_NAME")))</f>
        <v/>
      </c>
      <c r="H451" s="75">
        <f>IF($A451="","",_xll.BDP($A451&amp;" Corp","INDUSTRY_SECTOR"))</f>
        <v/>
      </c>
      <c r="I451" s="101">
        <f>IF($A451="","",IFERROR(_xll.BDP($A451&amp;" Corp","MIN_PIECE")/1000,""))</f>
        <v/>
      </c>
      <c r="J451" s="31">
        <f>IF($A451="","",_xll.BDP($A451&amp;" Corp","PX_LAST"))</f>
        <v/>
      </c>
      <c r="K451" s="31">
        <f>IF($A451="","",_xll.BDP($A451&amp;" Corp","YAS_BOND_YLD","YAS_YLD_FLAG=15"))</f>
        <v/>
      </c>
      <c r="L451" s="31">
        <f>IF($A451="","",K451-_xll.BDP($A451&amp;" Corp","YAS_BOND_YLD","YAS_YLD_FLAG=15","SETTLE_DT",Company_desc!$A$1))</f>
        <v/>
      </c>
      <c r="M451" s="31">
        <f>IF($A451="","",K451-_xll.BDP($A451&amp;" Corp","YAS_BOND_YLD","YAS_YLD_FLAG=15","SETTLE_DT",Company_desc!$A$2))</f>
        <v/>
      </c>
      <c r="N451" s="79">
        <f>IF($A451="","",_xll.BDP($A451&amp;" Corp","YAS_OAS_SPRD"))</f>
        <v/>
      </c>
      <c r="O451" s="67">
        <f>IF($A451="","",_xll.BDP($A451&amp;" Corp","YAS_MOD_DUR"))</f>
        <v/>
      </c>
      <c r="P451" s="80">
        <f>IF($A451="","",IFERROR(INDEX(Sheet1!$P:$P,MATCH($A451,Sheet1!$A:$A,0)),""))</f>
        <v/>
      </c>
      <c r="Q451" s="75">
        <f>IF($A451="","",IFERROR(INDEX(Company_desc!$C:$C,MATCH($A451,Company_desc!$A:$A,0)),IFERROR(INDEX(Sheet1!$Q:$Q,MATCH($A451,Sheet1!$A:$A,0)),"")))</f>
        <v/>
      </c>
      <c r="R451" s="75">
        <f>IF($A451="","",_xll.BDP($A451&amp;" Corp","CRNCY"))</f>
        <v/>
      </c>
      <c r="S451" s="75">
        <f>IF($A451="","",IFERROR(INDEX(Sheet1!$S:$S,MATCH($A451,Sheet1!$A:$A,0)),""))</f>
        <v/>
      </c>
      <c r="T451" s="75">
        <f>IF($A451="","",IFERROR(INDEX(Sheet1!$T:$T,MATCH($A451,Sheet1!$A:$A,0)),_xll.BDP($A451&amp;" Corp","RTG_SP")))</f>
        <v/>
      </c>
      <c r="U451" s="75">
        <f>IF($A451="","",IFERROR(INDEX(Sheet1!$U:$U,MATCH($A451,Sheet1!$A:$A,0)),""))</f>
        <v/>
      </c>
      <c r="W451" s="81">
        <f>IF($A451="","",N451-_xll.BDP($A451&amp;" Corp","YAS_OAS_SPRD","SETTLE_DT",Company_desc!$A$1))</f>
        <v/>
      </c>
      <c r="X451" s="81">
        <f>IF($A451="","",N451-_xll.BDP($A451&amp;" Corp","YAS_OAS_SPRD","SETTLE_DT",Company_desc!$A$2))</f>
        <v/>
      </c>
      <c r="Y451" s="80">
        <f>IF($A451="","",N451-_xll.BDP($A451&amp;" Corp","YAS_OAS_SPRD","SETTLE_DT",Company_desc!$D$1))</f>
        <v/>
      </c>
      <c r="Z451" s="82">
        <f>IF($A451="","",K451-_xll.BDP($A451&amp;" Corp","YAS_BOND_YLD","YAS_YLD_FLAG=15","SETTLE_DT",Company_desc!$D$1))</f>
        <v/>
      </c>
      <c r="AA451" s="80">
        <f>IF($A451="","",_xll.BDP($A451&amp;" Corp","YAS_OAS_SPRD","SETTLE_DT",Company_desc!$D$1))</f>
        <v/>
      </c>
    </row>
    <row r="452">
      <c r="B452" s="75">
        <f>IF($A452="","",IFERROR(INDEX(Sheet1!$B:$B,MATCH($A452,Sheet1!$A:$A,0)),""))</f>
        <v/>
      </c>
      <c r="C452" s="75">
        <f>IF($A452="","",PROPER(_xll.BDP($A452&amp;" Corp","NAME")))</f>
        <v/>
      </c>
      <c r="D452" s="76">
        <f>IF($A452="","",_xll.BDP($A452&amp;" Corp","CPN"))</f>
        <v/>
      </c>
      <c r="E452" s="75">
        <f>IF($A452="","",_xll.BDP($A452&amp;" Corp","PAYMENT_RANK"))</f>
        <v/>
      </c>
      <c r="F452" s="100">
        <f>IF($A452="","",_xll.BDP($A452&amp;" Corp","MATURITY"))</f>
        <v/>
      </c>
      <c r="G452" s="75">
        <f>IF($A452="","",PROPER(_xll.BDP($A452&amp;" Corp","COUNTRY_FULL_NAME")))</f>
        <v/>
      </c>
      <c r="H452" s="75">
        <f>IF($A452="","",_xll.BDP($A452&amp;" Corp","INDUSTRY_SECTOR"))</f>
        <v/>
      </c>
      <c r="I452" s="101">
        <f>IF($A452="","",IFERROR(_xll.BDP($A452&amp;" Corp","MIN_PIECE")/1000,""))</f>
        <v/>
      </c>
      <c r="J452" s="31">
        <f>IF($A452="","",_xll.BDP($A452&amp;" Corp","PX_LAST"))</f>
        <v/>
      </c>
      <c r="K452" s="31">
        <f>IF($A452="","",_xll.BDP($A452&amp;" Corp","YAS_BOND_YLD","YAS_YLD_FLAG=15"))</f>
        <v/>
      </c>
      <c r="L452" s="31">
        <f>IF($A452="","",K452-_xll.BDP($A452&amp;" Corp","YAS_BOND_YLD","YAS_YLD_FLAG=15","SETTLE_DT",Company_desc!$A$1))</f>
        <v/>
      </c>
      <c r="M452" s="31">
        <f>IF($A452="","",K452-_xll.BDP($A452&amp;" Corp","YAS_BOND_YLD","YAS_YLD_FLAG=15","SETTLE_DT",Company_desc!$A$2))</f>
        <v/>
      </c>
      <c r="N452" s="79">
        <f>IF($A452="","",_xll.BDP($A452&amp;" Corp","YAS_OAS_SPRD"))</f>
        <v/>
      </c>
      <c r="O452" s="67">
        <f>IF($A452="","",_xll.BDP($A452&amp;" Corp","YAS_MOD_DUR"))</f>
        <v/>
      </c>
      <c r="P452" s="80">
        <f>IF($A452="","",IFERROR(INDEX(Sheet1!$P:$P,MATCH($A452,Sheet1!$A:$A,0)),""))</f>
        <v/>
      </c>
      <c r="Q452" s="75">
        <f>IF($A452="","",IFERROR(INDEX(Company_desc!$C:$C,MATCH($A452,Company_desc!$A:$A,0)),IFERROR(INDEX(Sheet1!$Q:$Q,MATCH($A452,Sheet1!$A:$A,0)),"")))</f>
        <v/>
      </c>
      <c r="R452" s="75">
        <f>IF($A452="","",_xll.BDP($A452&amp;" Corp","CRNCY"))</f>
        <v/>
      </c>
      <c r="S452" s="75">
        <f>IF($A452="","",IFERROR(INDEX(Sheet1!$S:$S,MATCH($A452,Sheet1!$A:$A,0)),""))</f>
        <v/>
      </c>
      <c r="T452" s="75">
        <f>IF($A452="","",IFERROR(INDEX(Sheet1!$T:$T,MATCH($A452,Sheet1!$A:$A,0)),_xll.BDP($A452&amp;" Corp","RTG_SP")))</f>
        <v/>
      </c>
      <c r="U452" s="75">
        <f>IF($A452="","",IFERROR(INDEX(Sheet1!$U:$U,MATCH($A452,Sheet1!$A:$A,0)),""))</f>
        <v/>
      </c>
      <c r="W452" s="81">
        <f>IF($A452="","",N452-_xll.BDP($A452&amp;" Corp","YAS_OAS_SPRD","SETTLE_DT",Company_desc!$A$1))</f>
        <v/>
      </c>
      <c r="X452" s="81">
        <f>IF($A452="","",N452-_xll.BDP($A452&amp;" Corp","YAS_OAS_SPRD","SETTLE_DT",Company_desc!$A$2))</f>
        <v/>
      </c>
      <c r="Y452" s="80">
        <f>IF($A452="","",N452-_xll.BDP($A452&amp;" Corp","YAS_OAS_SPRD","SETTLE_DT",Company_desc!$D$1))</f>
        <v/>
      </c>
      <c r="Z452" s="82">
        <f>IF($A452="","",K452-_xll.BDP($A452&amp;" Corp","YAS_BOND_YLD","YAS_YLD_FLAG=15","SETTLE_DT",Company_desc!$D$1))</f>
        <v/>
      </c>
      <c r="AA452" s="80">
        <f>IF($A452="","",_xll.BDP($A452&amp;" Corp","YAS_OAS_SPRD","SETTLE_DT",Company_desc!$D$1))</f>
        <v/>
      </c>
    </row>
    <row r="453">
      <c r="B453" s="75">
        <f>IF($A453="","",IFERROR(INDEX(Sheet1!$B:$B,MATCH($A453,Sheet1!$A:$A,0)),""))</f>
        <v/>
      </c>
      <c r="C453" s="75">
        <f>IF($A453="","",PROPER(_xll.BDP($A453&amp;" Corp","NAME")))</f>
        <v/>
      </c>
      <c r="D453" s="76">
        <f>IF($A453="","",_xll.BDP($A453&amp;" Corp","CPN"))</f>
        <v/>
      </c>
      <c r="E453" s="75">
        <f>IF($A453="","",_xll.BDP($A453&amp;" Corp","PAYMENT_RANK"))</f>
        <v/>
      </c>
      <c r="F453" s="100">
        <f>IF($A453="","",_xll.BDP($A453&amp;" Corp","MATURITY"))</f>
        <v/>
      </c>
      <c r="G453" s="75">
        <f>IF($A453="","",PROPER(_xll.BDP($A453&amp;" Corp","COUNTRY_FULL_NAME")))</f>
        <v/>
      </c>
      <c r="H453" s="75">
        <f>IF($A453="","",_xll.BDP($A453&amp;" Corp","INDUSTRY_SECTOR"))</f>
        <v/>
      </c>
      <c r="I453" s="101">
        <f>IF($A453="","",IFERROR(_xll.BDP($A453&amp;" Corp","MIN_PIECE")/1000,""))</f>
        <v/>
      </c>
      <c r="J453" s="31">
        <f>IF($A453="","",_xll.BDP($A453&amp;" Corp","PX_LAST"))</f>
        <v/>
      </c>
      <c r="K453" s="31">
        <f>IF($A453="","",_xll.BDP($A453&amp;" Corp","YAS_BOND_YLD","YAS_YLD_FLAG=15"))</f>
        <v/>
      </c>
      <c r="L453" s="31">
        <f>IF($A453="","",K453-_xll.BDP($A453&amp;" Corp","YAS_BOND_YLD","YAS_YLD_FLAG=15","SETTLE_DT",Company_desc!$A$1))</f>
        <v/>
      </c>
      <c r="M453" s="31">
        <f>IF($A453="","",K453-_xll.BDP($A453&amp;" Corp","YAS_BOND_YLD","YAS_YLD_FLAG=15","SETTLE_DT",Company_desc!$A$2))</f>
        <v/>
      </c>
      <c r="N453" s="79">
        <f>IF($A453="","",_xll.BDP($A453&amp;" Corp","YAS_OAS_SPRD"))</f>
        <v/>
      </c>
      <c r="O453" s="67">
        <f>IF($A453="","",_xll.BDP($A453&amp;" Corp","YAS_MOD_DUR"))</f>
        <v/>
      </c>
      <c r="P453" s="80">
        <f>IF($A453="","",IFERROR(INDEX(Sheet1!$P:$P,MATCH($A453,Sheet1!$A:$A,0)),""))</f>
        <v/>
      </c>
      <c r="Q453" s="75">
        <f>IF($A453="","",IFERROR(INDEX(Company_desc!$C:$C,MATCH($A453,Company_desc!$A:$A,0)),IFERROR(INDEX(Sheet1!$Q:$Q,MATCH($A453,Sheet1!$A:$A,0)),"")))</f>
        <v/>
      </c>
      <c r="R453" s="75">
        <f>IF($A453="","",_xll.BDP($A453&amp;" Corp","CRNCY"))</f>
        <v/>
      </c>
      <c r="S453" s="75">
        <f>IF($A453="","",IFERROR(INDEX(Sheet1!$S:$S,MATCH($A453,Sheet1!$A:$A,0)),""))</f>
        <v/>
      </c>
      <c r="T453" s="75">
        <f>IF($A453="","",IFERROR(INDEX(Sheet1!$T:$T,MATCH($A453,Sheet1!$A:$A,0)),_xll.BDP($A453&amp;" Corp","RTG_SP")))</f>
        <v/>
      </c>
      <c r="U453" s="75">
        <f>IF($A453="","",IFERROR(INDEX(Sheet1!$U:$U,MATCH($A453,Sheet1!$A:$A,0)),""))</f>
        <v/>
      </c>
      <c r="W453" s="81">
        <f>IF($A453="","",N453-_xll.BDP($A453&amp;" Corp","YAS_OAS_SPRD","SETTLE_DT",Company_desc!$A$1))</f>
        <v/>
      </c>
      <c r="X453" s="81">
        <f>IF($A453="","",N453-_xll.BDP($A453&amp;" Corp","YAS_OAS_SPRD","SETTLE_DT",Company_desc!$A$2))</f>
        <v/>
      </c>
      <c r="Y453" s="80">
        <f>IF($A453="","",N453-_xll.BDP($A453&amp;" Corp","YAS_OAS_SPRD","SETTLE_DT",Company_desc!$D$1))</f>
        <v/>
      </c>
      <c r="Z453" s="82">
        <f>IF($A453="","",K453-_xll.BDP($A453&amp;" Corp","YAS_BOND_YLD","YAS_YLD_FLAG=15","SETTLE_DT",Company_desc!$D$1))</f>
        <v/>
      </c>
      <c r="AA453" s="80">
        <f>IF($A453="","",_xll.BDP($A453&amp;" Corp","YAS_OAS_SPRD","SETTLE_DT",Company_desc!$D$1))</f>
        <v/>
      </c>
    </row>
    <row r="454">
      <c r="B454" s="75">
        <f>IF($A454="","",IFERROR(INDEX(Sheet1!$B:$B,MATCH($A454,Sheet1!$A:$A,0)),""))</f>
        <v/>
      </c>
      <c r="C454" s="75">
        <f>IF($A454="","",PROPER(_xll.BDP($A454&amp;" Corp","NAME")))</f>
        <v/>
      </c>
      <c r="D454" s="76">
        <f>IF($A454="","",_xll.BDP($A454&amp;" Corp","CPN"))</f>
        <v/>
      </c>
      <c r="E454" s="75">
        <f>IF($A454="","",_xll.BDP($A454&amp;" Corp","PAYMENT_RANK"))</f>
        <v/>
      </c>
      <c r="F454" s="100">
        <f>IF($A454="","",_xll.BDP($A454&amp;" Corp","MATURITY"))</f>
        <v/>
      </c>
      <c r="G454" s="75">
        <f>IF($A454="","",PROPER(_xll.BDP($A454&amp;" Corp","COUNTRY_FULL_NAME")))</f>
        <v/>
      </c>
      <c r="H454" s="75">
        <f>IF($A454="","",_xll.BDP($A454&amp;" Corp","INDUSTRY_SECTOR"))</f>
        <v/>
      </c>
      <c r="I454" s="101">
        <f>IF($A454="","",IFERROR(_xll.BDP($A454&amp;" Corp","MIN_PIECE")/1000,""))</f>
        <v/>
      </c>
      <c r="J454" s="31">
        <f>IF($A454="","",_xll.BDP($A454&amp;" Corp","PX_LAST"))</f>
        <v/>
      </c>
      <c r="K454" s="31">
        <f>IF($A454="","",_xll.BDP($A454&amp;" Corp","YAS_BOND_YLD","YAS_YLD_FLAG=15"))</f>
        <v/>
      </c>
      <c r="L454" s="31">
        <f>IF($A454="","",K454-_xll.BDP($A454&amp;" Corp","YAS_BOND_YLD","YAS_YLD_FLAG=15","SETTLE_DT",Company_desc!$A$1))</f>
        <v/>
      </c>
      <c r="M454" s="31">
        <f>IF($A454="","",K454-_xll.BDP($A454&amp;" Corp","YAS_BOND_YLD","YAS_YLD_FLAG=15","SETTLE_DT",Company_desc!$A$2))</f>
        <v/>
      </c>
      <c r="N454" s="79">
        <f>IF($A454="","",_xll.BDP($A454&amp;" Corp","YAS_OAS_SPRD"))</f>
        <v/>
      </c>
      <c r="O454" s="67">
        <f>IF($A454="","",_xll.BDP($A454&amp;" Corp","YAS_MOD_DUR"))</f>
        <v/>
      </c>
      <c r="P454" s="80">
        <f>IF($A454="","",IFERROR(INDEX(Sheet1!$P:$P,MATCH($A454,Sheet1!$A:$A,0)),""))</f>
        <v/>
      </c>
      <c r="Q454" s="75">
        <f>IF($A454="","",IFERROR(INDEX(Company_desc!$C:$C,MATCH($A454,Company_desc!$A:$A,0)),IFERROR(INDEX(Sheet1!$Q:$Q,MATCH($A454,Sheet1!$A:$A,0)),"")))</f>
        <v/>
      </c>
      <c r="R454" s="75">
        <f>IF($A454="","",_xll.BDP($A454&amp;" Corp","CRNCY"))</f>
        <v/>
      </c>
      <c r="S454" s="75">
        <f>IF($A454="","",IFERROR(INDEX(Sheet1!$S:$S,MATCH($A454,Sheet1!$A:$A,0)),""))</f>
        <v/>
      </c>
      <c r="T454" s="75">
        <f>IF($A454="","",IFERROR(INDEX(Sheet1!$T:$T,MATCH($A454,Sheet1!$A:$A,0)),_xll.BDP($A454&amp;" Corp","RTG_SP")))</f>
        <v/>
      </c>
      <c r="U454" s="75">
        <f>IF($A454="","",IFERROR(INDEX(Sheet1!$U:$U,MATCH($A454,Sheet1!$A:$A,0)),""))</f>
        <v/>
      </c>
      <c r="W454" s="81">
        <f>IF($A454="","",N454-_xll.BDP($A454&amp;" Corp","YAS_OAS_SPRD","SETTLE_DT",Company_desc!$A$1))</f>
        <v/>
      </c>
      <c r="X454" s="81">
        <f>IF($A454="","",N454-_xll.BDP($A454&amp;" Corp","YAS_OAS_SPRD","SETTLE_DT",Company_desc!$A$2))</f>
        <v/>
      </c>
      <c r="Y454" s="80">
        <f>IF($A454="","",N454-_xll.BDP($A454&amp;" Corp","YAS_OAS_SPRD","SETTLE_DT",Company_desc!$D$1))</f>
        <v/>
      </c>
      <c r="Z454" s="82">
        <f>IF($A454="","",K454-_xll.BDP($A454&amp;" Corp","YAS_BOND_YLD","YAS_YLD_FLAG=15","SETTLE_DT",Company_desc!$D$1))</f>
        <v/>
      </c>
      <c r="AA454" s="80">
        <f>IF($A454="","",_xll.BDP($A454&amp;" Corp","YAS_OAS_SPRD","SETTLE_DT",Company_desc!$D$1))</f>
        <v/>
      </c>
    </row>
    <row r="455">
      <c r="B455" s="75">
        <f>IF($A455="","",IFERROR(INDEX(Sheet1!$B:$B,MATCH($A455,Sheet1!$A:$A,0)),""))</f>
        <v/>
      </c>
      <c r="C455" s="75">
        <f>IF($A455="","",PROPER(_xll.BDP($A455&amp;" Corp","NAME")))</f>
        <v/>
      </c>
      <c r="D455" s="76">
        <f>IF($A455="","",_xll.BDP($A455&amp;" Corp","CPN"))</f>
        <v/>
      </c>
      <c r="E455" s="75">
        <f>IF($A455="","",_xll.BDP($A455&amp;" Corp","PAYMENT_RANK"))</f>
        <v/>
      </c>
      <c r="F455" s="100">
        <f>IF($A455="","",_xll.BDP($A455&amp;" Corp","MATURITY"))</f>
        <v/>
      </c>
      <c r="G455" s="75">
        <f>IF($A455="","",PROPER(_xll.BDP($A455&amp;" Corp","COUNTRY_FULL_NAME")))</f>
        <v/>
      </c>
      <c r="H455" s="75">
        <f>IF($A455="","",_xll.BDP($A455&amp;" Corp","INDUSTRY_SECTOR"))</f>
        <v/>
      </c>
      <c r="I455" s="101">
        <f>IF($A455="","",IFERROR(_xll.BDP($A455&amp;" Corp","MIN_PIECE")/1000,""))</f>
        <v/>
      </c>
      <c r="J455" s="31">
        <f>IF($A455="","",_xll.BDP($A455&amp;" Corp","PX_LAST"))</f>
        <v/>
      </c>
      <c r="K455" s="31">
        <f>IF($A455="","",_xll.BDP($A455&amp;" Corp","YAS_BOND_YLD","YAS_YLD_FLAG=15"))</f>
        <v/>
      </c>
      <c r="L455" s="31">
        <f>IF($A455="","",K455-_xll.BDP($A455&amp;" Corp","YAS_BOND_YLD","YAS_YLD_FLAG=15","SETTLE_DT",Company_desc!$A$1))</f>
        <v/>
      </c>
      <c r="M455" s="31">
        <f>IF($A455="","",K455-_xll.BDP($A455&amp;" Corp","YAS_BOND_YLD","YAS_YLD_FLAG=15","SETTLE_DT",Company_desc!$A$2))</f>
        <v/>
      </c>
      <c r="N455" s="79">
        <f>IF($A455="","",_xll.BDP($A455&amp;" Corp","YAS_OAS_SPRD"))</f>
        <v/>
      </c>
      <c r="O455" s="67">
        <f>IF($A455="","",_xll.BDP($A455&amp;" Corp","YAS_MOD_DUR"))</f>
        <v/>
      </c>
      <c r="P455" s="80">
        <f>IF($A455="","",IFERROR(INDEX(Sheet1!$P:$P,MATCH($A455,Sheet1!$A:$A,0)),""))</f>
        <v/>
      </c>
      <c r="Q455" s="75">
        <f>IF($A455="","",IFERROR(INDEX(Company_desc!$C:$C,MATCH($A455,Company_desc!$A:$A,0)),IFERROR(INDEX(Sheet1!$Q:$Q,MATCH($A455,Sheet1!$A:$A,0)),"")))</f>
        <v/>
      </c>
      <c r="R455" s="75">
        <f>IF($A455="","",_xll.BDP($A455&amp;" Corp","CRNCY"))</f>
        <v/>
      </c>
      <c r="S455" s="75">
        <f>IF($A455="","",IFERROR(INDEX(Sheet1!$S:$S,MATCH($A455,Sheet1!$A:$A,0)),""))</f>
        <v/>
      </c>
      <c r="T455" s="75">
        <f>IF($A455="","",IFERROR(INDEX(Sheet1!$T:$T,MATCH($A455,Sheet1!$A:$A,0)),_xll.BDP($A455&amp;" Corp","RTG_SP")))</f>
        <v/>
      </c>
      <c r="U455" s="75">
        <f>IF($A455="","",IFERROR(INDEX(Sheet1!$U:$U,MATCH($A455,Sheet1!$A:$A,0)),""))</f>
        <v/>
      </c>
      <c r="W455" s="81">
        <f>IF($A455="","",N455-_xll.BDP($A455&amp;" Corp","YAS_OAS_SPRD","SETTLE_DT",Company_desc!$A$1))</f>
        <v/>
      </c>
      <c r="X455" s="81">
        <f>IF($A455="","",N455-_xll.BDP($A455&amp;" Corp","YAS_OAS_SPRD","SETTLE_DT",Company_desc!$A$2))</f>
        <v/>
      </c>
      <c r="Y455" s="80">
        <f>IF($A455="","",N455-_xll.BDP($A455&amp;" Corp","YAS_OAS_SPRD","SETTLE_DT",Company_desc!$D$1))</f>
        <v/>
      </c>
      <c r="Z455" s="82">
        <f>IF($A455="","",K455-_xll.BDP($A455&amp;" Corp","YAS_BOND_YLD","YAS_YLD_FLAG=15","SETTLE_DT",Company_desc!$D$1))</f>
        <v/>
      </c>
      <c r="AA455" s="80">
        <f>IF($A455="","",_xll.BDP($A455&amp;" Corp","YAS_OAS_SPRD","SETTLE_DT",Company_desc!$D$1))</f>
        <v/>
      </c>
    </row>
    <row r="456">
      <c r="B456" s="75">
        <f>IF($A456="","",IFERROR(INDEX(Sheet1!$B:$B,MATCH($A456,Sheet1!$A:$A,0)),""))</f>
        <v/>
      </c>
      <c r="C456" s="75">
        <f>IF($A456="","",PROPER(_xll.BDP($A456&amp;" Corp","NAME")))</f>
        <v/>
      </c>
      <c r="D456" s="76">
        <f>IF($A456="","",_xll.BDP($A456&amp;" Corp","CPN"))</f>
        <v/>
      </c>
      <c r="E456" s="75">
        <f>IF($A456="","",_xll.BDP($A456&amp;" Corp","PAYMENT_RANK"))</f>
        <v/>
      </c>
      <c r="F456" s="100">
        <f>IF($A456="","",_xll.BDP($A456&amp;" Corp","MATURITY"))</f>
        <v/>
      </c>
      <c r="G456" s="75">
        <f>IF($A456="","",PROPER(_xll.BDP($A456&amp;" Corp","COUNTRY_FULL_NAME")))</f>
        <v/>
      </c>
      <c r="H456" s="75">
        <f>IF($A456="","",_xll.BDP($A456&amp;" Corp","INDUSTRY_SECTOR"))</f>
        <v/>
      </c>
      <c r="I456" s="101">
        <f>IF($A456="","",IFERROR(_xll.BDP($A456&amp;" Corp","MIN_PIECE")/1000,""))</f>
        <v/>
      </c>
      <c r="J456" s="31">
        <f>IF($A456="","",_xll.BDP($A456&amp;" Corp","PX_LAST"))</f>
        <v/>
      </c>
      <c r="K456" s="31">
        <f>IF($A456="","",_xll.BDP($A456&amp;" Corp","YAS_BOND_YLD","YAS_YLD_FLAG=15"))</f>
        <v/>
      </c>
      <c r="L456" s="31">
        <f>IF($A456="","",K456-_xll.BDP($A456&amp;" Corp","YAS_BOND_YLD","YAS_YLD_FLAG=15","SETTLE_DT",Company_desc!$A$1))</f>
        <v/>
      </c>
      <c r="M456" s="31">
        <f>IF($A456="","",K456-_xll.BDP($A456&amp;" Corp","YAS_BOND_YLD","YAS_YLD_FLAG=15","SETTLE_DT",Company_desc!$A$2))</f>
        <v/>
      </c>
      <c r="N456" s="79">
        <f>IF($A456="","",_xll.BDP($A456&amp;" Corp","YAS_OAS_SPRD"))</f>
        <v/>
      </c>
      <c r="O456" s="67">
        <f>IF($A456="","",_xll.BDP($A456&amp;" Corp","YAS_MOD_DUR"))</f>
        <v/>
      </c>
      <c r="P456" s="80">
        <f>IF($A456="","",IFERROR(INDEX(Sheet1!$P:$P,MATCH($A456,Sheet1!$A:$A,0)),""))</f>
        <v/>
      </c>
      <c r="Q456" s="75">
        <f>IF($A456="","",IFERROR(INDEX(Company_desc!$C:$C,MATCH($A456,Company_desc!$A:$A,0)),IFERROR(INDEX(Sheet1!$Q:$Q,MATCH($A456,Sheet1!$A:$A,0)),"")))</f>
        <v/>
      </c>
      <c r="R456" s="75">
        <f>IF($A456="","",_xll.BDP($A456&amp;" Corp","CRNCY"))</f>
        <v/>
      </c>
      <c r="S456" s="75">
        <f>IF($A456="","",IFERROR(INDEX(Sheet1!$S:$S,MATCH($A456,Sheet1!$A:$A,0)),""))</f>
        <v/>
      </c>
      <c r="T456" s="75">
        <f>IF($A456="","",IFERROR(INDEX(Sheet1!$T:$T,MATCH($A456,Sheet1!$A:$A,0)),_xll.BDP($A456&amp;" Corp","RTG_SP")))</f>
        <v/>
      </c>
      <c r="U456" s="75">
        <f>IF($A456="","",IFERROR(INDEX(Sheet1!$U:$U,MATCH($A456,Sheet1!$A:$A,0)),""))</f>
        <v/>
      </c>
      <c r="W456" s="81">
        <f>IF($A456="","",N456-_xll.BDP($A456&amp;" Corp","YAS_OAS_SPRD","SETTLE_DT",Company_desc!$A$1))</f>
        <v/>
      </c>
      <c r="X456" s="81">
        <f>IF($A456="","",N456-_xll.BDP($A456&amp;" Corp","YAS_OAS_SPRD","SETTLE_DT",Company_desc!$A$2))</f>
        <v/>
      </c>
      <c r="Y456" s="80">
        <f>IF($A456="","",N456-_xll.BDP($A456&amp;" Corp","YAS_OAS_SPRD","SETTLE_DT",Company_desc!$D$1))</f>
        <v/>
      </c>
      <c r="Z456" s="82">
        <f>IF($A456="","",K456-_xll.BDP($A456&amp;" Corp","YAS_BOND_YLD","YAS_YLD_FLAG=15","SETTLE_DT",Company_desc!$D$1))</f>
        <v/>
      </c>
      <c r="AA456" s="80">
        <f>IF($A456="","",_xll.BDP($A456&amp;" Corp","YAS_OAS_SPRD","SETTLE_DT",Company_desc!$D$1))</f>
        <v/>
      </c>
    </row>
    <row r="457">
      <c r="B457" s="75">
        <f>IF($A457="","",IFERROR(INDEX(Sheet1!$B:$B,MATCH($A457,Sheet1!$A:$A,0)),""))</f>
        <v/>
      </c>
      <c r="C457" s="75">
        <f>IF($A457="","",PROPER(_xll.BDP($A457&amp;" Corp","NAME")))</f>
        <v/>
      </c>
      <c r="D457" s="76">
        <f>IF($A457="","",_xll.BDP($A457&amp;" Corp","CPN"))</f>
        <v/>
      </c>
      <c r="E457" s="75">
        <f>IF($A457="","",_xll.BDP($A457&amp;" Corp","PAYMENT_RANK"))</f>
        <v/>
      </c>
      <c r="F457" s="100">
        <f>IF($A457="","",_xll.BDP($A457&amp;" Corp","MATURITY"))</f>
        <v/>
      </c>
      <c r="G457" s="75">
        <f>IF($A457="","",PROPER(_xll.BDP($A457&amp;" Corp","COUNTRY_FULL_NAME")))</f>
        <v/>
      </c>
      <c r="H457" s="75">
        <f>IF($A457="","",_xll.BDP($A457&amp;" Corp","INDUSTRY_SECTOR"))</f>
        <v/>
      </c>
      <c r="I457" s="101">
        <f>IF($A457="","",IFERROR(_xll.BDP($A457&amp;" Corp","MIN_PIECE")/1000,""))</f>
        <v/>
      </c>
      <c r="J457" s="31">
        <f>IF($A457="","",_xll.BDP($A457&amp;" Corp","PX_LAST"))</f>
        <v/>
      </c>
      <c r="K457" s="31">
        <f>IF($A457="","",_xll.BDP($A457&amp;" Corp","YAS_BOND_YLD","YAS_YLD_FLAG=15"))</f>
        <v/>
      </c>
      <c r="L457" s="31">
        <f>IF($A457="","",K457-_xll.BDP($A457&amp;" Corp","YAS_BOND_YLD","YAS_YLD_FLAG=15","SETTLE_DT",Company_desc!$A$1))</f>
        <v/>
      </c>
      <c r="M457" s="31">
        <f>IF($A457="","",K457-_xll.BDP($A457&amp;" Corp","YAS_BOND_YLD","YAS_YLD_FLAG=15","SETTLE_DT",Company_desc!$A$2))</f>
        <v/>
      </c>
      <c r="N457" s="79">
        <f>IF($A457="","",_xll.BDP($A457&amp;" Corp","YAS_OAS_SPRD"))</f>
        <v/>
      </c>
      <c r="O457" s="67">
        <f>IF($A457="","",_xll.BDP($A457&amp;" Corp","YAS_MOD_DUR"))</f>
        <v/>
      </c>
      <c r="P457" s="80">
        <f>IF($A457="","",IFERROR(INDEX(Sheet1!$P:$P,MATCH($A457,Sheet1!$A:$A,0)),""))</f>
        <v/>
      </c>
      <c r="Q457" s="75">
        <f>IF($A457="","",IFERROR(INDEX(Company_desc!$C:$C,MATCH($A457,Company_desc!$A:$A,0)),IFERROR(INDEX(Sheet1!$Q:$Q,MATCH($A457,Sheet1!$A:$A,0)),"")))</f>
        <v/>
      </c>
      <c r="R457" s="75">
        <f>IF($A457="","",_xll.BDP($A457&amp;" Corp","CRNCY"))</f>
        <v/>
      </c>
      <c r="S457" s="75">
        <f>IF($A457="","",IFERROR(INDEX(Sheet1!$S:$S,MATCH($A457,Sheet1!$A:$A,0)),""))</f>
        <v/>
      </c>
      <c r="T457" s="75">
        <f>IF($A457="","",IFERROR(INDEX(Sheet1!$T:$T,MATCH($A457,Sheet1!$A:$A,0)),_xll.BDP($A457&amp;" Corp","RTG_SP")))</f>
        <v/>
      </c>
      <c r="U457" s="75">
        <f>IF($A457="","",IFERROR(INDEX(Sheet1!$U:$U,MATCH($A457,Sheet1!$A:$A,0)),""))</f>
        <v/>
      </c>
      <c r="W457" s="81">
        <f>IF($A457="","",N457-_xll.BDP($A457&amp;" Corp","YAS_OAS_SPRD","SETTLE_DT",Company_desc!$A$1))</f>
        <v/>
      </c>
      <c r="X457" s="81">
        <f>IF($A457="","",N457-_xll.BDP($A457&amp;" Corp","YAS_OAS_SPRD","SETTLE_DT",Company_desc!$A$2))</f>
        <v/>
      </c>
      <c r="Y457" s="80">
        <f>IF($A457="","",N457-_xll.BDP($A457&amp;" Corp","YAS_OAS_SPRD","SETTLE_DT",Company_desc!$D$1))</f>
        <v/>
      </c>
      <c r="Z457" s="82">
        <f>IF($A457="","",K457-_xll.BDP($A457&amp;" Corp","YAS_BOND_YLD","YAS_YLD_FLAG=15","SETTLE_DT",Company_desc!$D$1))</f>
        <v/>
      </c>
      <c r="AA457" s="80">
        <f>IF($A457="","",_xll.BDP($A457&amp;" Corp","YAS_OAS_SPRD","SETTLE_DT",Company_desc!$D$1))</f>
        <v/>
      </c>
    </row>
    <row r="458">
      <c r="B458" s="75">
        <f>IF($A458="","",IFERROR(INDEX(Sheet1!$B:$B,MATCH($A458,Sheet1!$A:$A,0)),""))</f>
        <v/>
      </c>
      <c r="C458" s="75">
        <f>IF($A458="","",PROPER(_xll.BDP($A458&amp;" Corp","NAME")))</f>
        <v/>
      </c>
      <c r="D458" s="76">
        <f>IF($A458="","",_xll.BDP($A458&amp;" Corp","CPN"))</f>
        <v/>
      </c>
      <c r="E458" s="75">
        <f>IF($A458="","",_xll.BDP($A458&amp;" Corp","PAYMENT_RANK"))</f>
        <v/>
      </c>
      <c r="F458" s="100">
        <f>IF($A458="","",_xll.BDP($A458&amp;" Corp","MATURITY"))</f>
        <v/>
      </c>
      <c r="G458" s="75">
        <f>IF($A458="","",PROPER(_xll.BDP($A458&amp;" Corp","COUNTRY_FULL_NAME")))</f>
        <v/>
      </c>
      <c r="H458" s="75">
        <f>IF($A458="","",_xll.BDP($A458&amp;" Corp","INDUSTRY_SECTOR"))</f>
        <v/>
      </c>
      <c r="I458" s="101">
        <f>IF($A458="","",IFERROR(_xll.BDP($A458&amp;" Corp","MIN_PIECE")/1000,""))</f>
        <v/>
      </c>
      <c r="J458" s="31">
        <f>IF($A458="","",_xll.BDP($A458&amp;" Corp","PX_LAST"))</f>
        <v/>
      </c>
      <c r="K458" s="31">
        <f>IF($A458="","",_xll.BDP($A458&amp;" Corp","YAS_BOND_YLD","YAS_YLD_FLAG=15"))</f>
        <v/>
      </c>
      <c r="L458" s="31">
        <f>IF($A458="","",K458-_xll.BDP($A458&amp;" Corp","YAS_BOND_YLD","YAS_YLD_FLAG=15","SETTLE_DT",Company_desc!$A$1))</f>
        <v/>
      </c>
      <c r="M458" s="31">
        <f>IF($A458="","",K458-_xll.BDP($A458&amp;" Corp","YAS_BOND_YLD","YAS_YLD_FLAG=15","SETTLE_DT",Company_desc!$A$2))</f>
        <v/>
      </c>
      <c r="N458" s="79">
        <f>IF($A458="","",_xll.BDP($A458&amp;" Corp","YAS_OAS_SPRD"))</f>
        <v/>
      </c>
      <c r="O458" s="67">
        <f>IF($A458="","",_xll.BDP($A458&amp;" Corp","YAS_MOD_DUR"))</f>
        <v/>
      </c>
      <c r="P458" s="80">
        <f>IF($A458="","",IFERROR(INDEX(Sheet1!$P:$P,MATCH($A458,Sheet1!$A:$A,0)),""))</f>
        <v/>
      </c>
      <c r="Q458" s="75">
        <f>IF($A458="","",IFERROR(INDEX(Company_desc!$C:$C,MATCH($A458,Company_desc!$A:$A,0)),IFERROR(INDEX(Sheet1!$Q:$Q,MATCH($A458,Sheet1!$A:$A,0)),"")))</f>
        <v/>
      </c>
      <c r="R458" s="75">
        <f>IF($A458="","",_xll.BDP($A458&amp;" Corp","CRNCY"))</f>
        <v/>
      </c>
      <c r="S458" s="75">
        <f>IF($A458="","",IFERROR(INDEX(Sheet1!$S:$S,MATCH($A458,Sheet1!$A:$A,0)),""))</f>
        <v/>
      </c>
      <c r="T458" s="75">
        <f>IF($A458="","",IFERROR(INDEX(Sheet1!$T:$T,MATCH($A458,Sheet1!$A:$A,0)),_xll.BDP($A458&amp;" Corp","RTG_SP")))</f>
        <v/>
      </c>
      <c r="U458" s="75">
        <f>IF($A458="","",IFERROR(INDEX(Sheet1!$U:$U,MATCH($A458,Sheet1!$A:$A,0)),""))</f>
        <v/>
      </c>
      <c r="W458" s="81">
        <f>IF($A458="","",N458-_xll.BDP($A458&amp;" Corp","YAS_OAS_SPRD","SETTLE_DT",Company_desc!$A$1))</f>
        <v/>
      </c>
      <c r="X458" s="81">
        <f>IF($A458="","",N458-_xll.BDP($A458&amp;" Corp","YAS_OAS_SPRD","SETTLE_DT",Company_desc!$A$2))</f>
        <v/>
      </c>
      <c r="Y458" s="80">
        <f>IF($A458="","",N458-_xll.BDP($A458&amp;" Corp","YAS_OAS_SPRD","SETTLE_DT",Company_desc!$D$1))</f>
        <v/>
      </c>
      <c r="Z458" s="82">
        <f>IF($A458="","",K458-_xll.BDP($A458&amp;" Corp","YAS_BOND_YLD","YAS_YLD_FLAG=15","SETTLE_DT",Company_desc!$D$1))</f>
        <v/>
      </c>
      <c r="AA458" s="80">
        <f>IF($A458="","",_xll.BDP($A458&amp;" Corp","YAS_OAS_SPRD","SETTLE_DT",Company_desc!$D$1))</f>
        <v/>
      </c>
    </row>
    <row r="459">
      <c r="B459" s="75">
        <f>IF($A459="","",IFERROR(INDEX(Sheet1!$B:$B,MATCH($A459,Sheet1!$A:$A,0)),""))</f>
        <v/>
      </c>
      <c r="C459" s="75">
        <f>IF($A459="","",PROPER(_xll.BDP($A459&amp;" Corp","NAME")))</f>
        <v/>
      </c>
      <c r="D459" s="76">
        <f>IF($A459="","",_xll.BDP($A459&amp;" Corp","CPN"))</f>
        <v/>
      </c>
      <c r="E459" s="75">
        <f>IF($A459="","",_xll.BDP($A459&amp;" Corp","PAYMENT_RANK"))</f>
        <v/>
      </c>
      <c r="F459" s="100">
        <f>IF($A459="","",_xll.BDP($A459&amp;" Corp","MATURITY"))</f>
        <v/>
      </c>
      <c r="G459" s="75">
        <f>IF($A459="","",PROPER(_xll.BDP($A459&amp;" Corp","COUNTRY_FULL_NAME")))</f>
        <v/>
      </c>
      <c r="H459" s="75">
        <f>IF($A459="","",_xll.BDP($A459&amp;" Corp","INDUSTRY_SECTOR"))</f>
        <v/>
      </c>
      <c r="I459" s="101">
        <f>IF($A459="","",IFERROR(_xll.BDP($A459&amp;" Corp","MIN_PIECE")/1000,""))</f>
        <v/>
      </c>
      <c r="J459" s="31">
        <f>IF($A459="","",_xll.BDP($A459&amp;" Corp","PX_LAST"))</f>
        <v/>
      </c>
      <c r="K459" s="31">
        <f>IF($A459="","",_xll.BDP($A459&amp;" Corp","YAS_BOND_YLD","YAS_YLD_FLAG=15"))</f>
        <v/>
      </c>
      <c r="L459" s="31">
        <f>IF($A459="","",K459-_xll.BDP($A459&amp;" Corp","YAS_BOND_YLD","YAS_YLD_FLAG=15","SETTLE_DT",Company_desc!$A$1))</f>
        <v/>
      </c>
      <c r="M459" s="31">
        <f>IF($A459="","",K459-_xll.BDP($A459&amp;" Corp","YAS_BOND_YLD","YAS_YLD_FLAG=15","SETTLE_DT",Company_desc!$A$2))</f>
        <v/>
      </c>
      <c r="N459" s="79">
        <f>IF($A459="","",_xll.BDP($A459&amp;" Corp","YAS_OAS_SPRD"))</f>
        <v/>
      </c>
      <c r="O459" s="67">
        <f>IF($A459="","",_xll.BDP($A459&amp;" Corp","YAS_MOD_DUR"))</f>
        <v/>
      </c>
      <c r="P459" s="80">
        <f>IF($A459="","",IFERROR(INDEX(Sheet1!$P:$P,MATCH($A459,Sheet1!$A:$A,0)),""))</f>
        <v/>
      </c>
      <c r="Q459" s="75">
        <f>IF($A459="","",IFERROR(INDEX(Company_desc!$C:$C,MATCH($A459,Company_desc!$A:$A,0)),IFERROR(INDEX(Sheet1!$Q:$Q,MATCH($A459,Sheet1!$A:$A,0)),"")))</f>
        <v/>
      </c>
      <c r="R459" s="75">
        <f>IF($A459="","",_xll.BDP($A459&amp;" Corp","CRNCY"))</f>
        <v/>
      </c>
      <c r="S459" s="75">
        <f>IF($A459="","",IFERROR(INDEX(Sheet1!$S:$S,MATCH($A459,Sheet1!$A:$A,0)),""))</f>
        <v/>
      </c>
      <c r="T459" s="75">
        <f>IF($A459="","",IFERROR(INDEX(Sheet1!$T:$T,MATCH($A459,Sheet1!$A:$A,0)),_xll.BDP($A459&amp;" Corp","RTG_SP")))</f>
        <v/>
      </c>
      <c r="U459" s="75">
        <f>IF($A459="","",IFERROR(INDEX(Sheet1!$U:$U,MATCH($A459,Sheet1!$A:$A,0)),""))</f>
        <v/>
      </c>
      <c r="W459" s="81">
        <f>IF($A459="","",N459-_xll.BDP($A459&amp;" Corp","YAS_OAS_SPRD","SETTLE_DT",Company_desc!$A$1))</f>
        <v/>
      </c>
      <c r="X459" s="81">
        <f>IF($A459="","",N459-_xll.BDP($A459&amp;" Corp","YAS_OAS_SPRD","SETTLE_DT",Company_desc!$A$2))</f>
        <v/>
      </c>
      <c r="Y459" s="80">
        <f>IF($A459="","",N459-_xll.BDP($A459&amp;" Corp","YAS_OAS_SPRD","SETTLE_DT",Company_desc!$D$1))</f>
        <v/>
      </c>
      <c r="Z459" s="82">
        <f>IF($A459="","",K459-_xll.BDP($A459&amp;" Corp","YAS_BOND_YLD","YAS_YLD_FLAG=15","SETTLE_DT",Company_desc!$D$1))</f>
        <v/>
      </c>
      <c r="AA459" s="80">
        <f>IF($A459="","",_xll.BDP($A459&amp;" Corp","YAS_OAS_SPRD","SETTLE_DT",Company_desc!$D$1))</f>
        <v/>
      </c>
    </row>
    <row r="460">
      <c r="B460" s="75">
        <f>IF($A460="","",IFERROR(INDEX(Sheet1!$B:$B,MATCH($A460,Sheet1!$A:$A,0)),""))</f>
        <v/>
      </c>
      <c r="C460" s="75">
        <f>IF($A460="","",PROPER(_xll.BDP($A460&amp;" Corp","NAME")))</f>
        <v/>
      </c>
      <c r="D460" s="76">
        <f>IF($A460="","",_xll.BDP($A460&amp;" Corp","CPN"))</f>
        <v/>
      </c>
      <c r="E460" s="75">
        <f>IF($A460="","",_xll.BDP($A460&amp;" Corp","PAYMENT_RANK"))</f>
        <v/>
      </c>
      <c r="F460" s="100">
        <f>IF($A460="","",_xll.BDP($A460&amp;" Corp","MATURITY"))</f>
        <v/>
      </c>
      <c r="G460" s="75">
        <f>IF($A460="","",PROPER(_xll.BDP($A460&amp;" Corp","COUNTRY_FULL_NAME")))</f>
        <v/>
      </c>
      <c r="H460" s="75">
        <f>IF($A460="","",_xll.BDP($A460&amp;" Corp","INDUSTRY_SECTOR"))</f>
        <v/>
      </c>
      <c r="I460" s="101">
        <f>IF($A460="","",IFERROR(_xll.BDP($A460&amp;" Corp","MIN_PIECE")/1000,""))</f>
        <v/>
      </c>
      <c r="J460" s="31">
        <f>IF($A460="","",_xll.BDP($A460&amp;" Corp","PX_LAST"))</f>
        <v/>
      </c>
      <c r="K460" s="31">
        <f>IF($A460="","",_xll.BDP($A460&amp;" Corp","YAS_BOND_YLD","YAS_YLD_FLAG=15"))</f>
        <v/>
      </c>
      <c r="L460" s="31">
        <f>IF($A460="","",K460-_xll.BDP($A460&amp;" Corp","YAS_BOND_YLD","YAS_YLD_FLAG=15","SETTLE_DT",Company_desc!$A$1))</f>
        <v/>
      </c>
      <c r="M460" s="31">
        <f>IF($A460="","",K460-_xll.BDP($A460&amp;" Corp","YAS_BOND_YLD","YAS_YLD_FLAG=15","SETTLE_DT",Company_desc!$A$2))</f>
        <v/>
      </c>
      <c r="N460" s="79">
        <f>IF($A460="","",_xll.BDP($A460&amp;" Corp","YAS_OAS_SPRD"))</f>
        <v/>
      </c>
      <c r="O460" s="67">
        <f>IF($A460="","",_xll.BDP($A460&amp;" Corp","YAS_MOD_DUR"))</f>
        <v/>
      </c>
      <c r="P460" s="80">
        <f>IF($A460="","",IFERROR(INDEX(Sheet1!$P:$P,MATCH($A460,Sheet1!$A:$A,0)),""))</f>
        <v/>
      </c>
      <c r="Q460" s="75">
        <f>IF($A460="","",IFERROR(INDEX(Company_desc!$C:$C,MATCH($A460,Company_desc!$A:$A,0)),IFERROR(INDEX(Sheet1!$Q:$Q,MATCH($A460,Sheet1!$A:$A,0)),"")))</f>
        <v/>
      </c>
      <c r="R460" s="75">
        <f>IF($A460="","",_xll.BDP($A460&amp;" Corp","CRNCY"))</f>
        <v/>
      </c>
      <c r="S460" s="75">
        <f>IF($A460="","",IFERROR(INDEX(Sheet1!$S:$S,MATCH($A460,Sheet1!$A:$A,0)),""))</f>
        <v/>
      </c>
      <c r="T460" s="75">
        <f>IF($A460="","",IFERROR(INDEX(Sheet1!$T:$T,MATCH($A460,Sheet1!$A:$A,0)),_xll.BDP($A460&amp;" Corp","RTG_SP")))</f>
        <v/>
      </c>
      <c r="U460" s="75">
        <f>IF($A460="","",IFERROR(INDEX(Sheet1!$U:$U,MATCH($A460,Sheet1!$A:$A,0)),""))</f>
        <v/>
      </c>
      <c r="W460" s="81">
        <f>IF($A460="","",N460-_xll.BDP($A460&amp;" Corp","YAS_OAS_SPRD","SETTLE_DT",Company_desc!$A$1))</f>
        <v/>
      </c>
      <c r="X460" s="81">
        <f>IF($A460="","",N460-_xll.BDP($A460&amp;" Corp","YAS_OAS_SPRD","SETTLE_DT",Company_desc!$A$2))</f>
        <v/>
      </c>
      <c r="Y460" s="80">
        <f>IF($A460="","",N460-_xll.BDP($A460&amp;" Corp","YAS_OAS_SPRD","SETTLE_DT",Company_desc!$D$1))</f>
        <v/>
      </c>
      <c r="Z460" s="82">
        <f>IF($A460="","",K460-_xll.BDP($A460&amp;" Corp","YAS_BOND_YLD","YAS_YLD_FLAG=15","SETTLE_DT",Company_desc!$D$1))</f>
        <v/>
      </c>
      <c r="AA460" s="80">
        <f>IF($A460="","",_xll.BDP($A460&amp;" Corp","YAS_OAS_SPRD","SETTLE_DT",Company_desc!$D$1))</f>
        <v/>
      </c>
    </row>
    <row r="461">
      <c r="B461" s="75">
        <f>IF($A461="","",IFERROR(INDEX(Sheet1!$B:$B,MATCH($A461,Sheet1!$A:$A,0)),""))</f>
        <v/>
      </c>
      <c r="C461" s="75">
        <f>IF($A461="","",PROPER(_xll.BDP($A461&amp;" Corp","NAME")))</f>
        <v/>
      </c>
      <c r="D461" s="76">
        <f>IF($A461="","",_xll.BDP($A461&amp;" Corp","CPN"))</f>
        <v/>
      </c>
      <c r="E461" s="75">
        <f>IF($A461="","",_xll.BDP($A461&amp;" Corp","PAYMENT_RANK"))</f>
        <v/>
      </c>
      <c r="F461" s="100">
        <f>IF($A461="","",_xll.BDP($A461&amp;" Corp","MATURITY"))</f>
        <v/>
      </c>
      <c r="G461" s="75">
        <f>IF($A461="","",PROPER(_xll.BDP($A461&amp;" Corp","COUNTRY_FULL_NAME")))</f>
        <v/>
      </c>
      <c r="H461" s="75">
        <f>IF($A461="","",_xll.BDP($A461&amp;" Corp","INDUSTRY_SECTOR"))</f>
        <v/>
      </c>
      <c r="I461" s="101">
        <f>IF($A461="","",IFERROR(_xll.BDP($A461&amp;" Corp","MIN_PIECE")/1000,""))</f>
        <v/>
      </c>
      <c r="J461" s="31">
        <f>IF($A461="","",_xll.BDP($A461&amp;" Corp","PX_LAST"))</f>
        <v/>
      </c>
      <c r="K461" s="31">
        <f>IF($A461="","",_xll.BDP($A461&amp;" Corp","YAS_BOND_YLD","YAS_YLD_FLAG=15"))</f>
        <v/>
      </c>
      <c r="L461" s="31">
        <f>IF($A461="","",K461-_xll.BDP($A461&amp;" Corp","YAS_BOND_YLD","YAS_YLD_FLAG=15","SETTLE_DT",Company_desc!$A$1))</f>
        <v/>
      </c>
      <c r="M461" s="31">
        <f>IF($A461="","",K461-_xll.BDP($A461&amp;" Corp","YAS_BOND_YLD","YAS_YLD_FLAG=15","SETTLE_DT",Company_desc!$A$2))</f>
        <v/>
      </c>
      <c r="N461" s="79">
        <f>IF($A461="","",_xll.BDP($A461&amp;" Corp","YAS_OAS_SPRD"))</f>
        <v/>
      </c>
      <c r="O461" s="67">
        <f>IF($A461="","",_xll.BDP($A461&amp;" Corp","YAS_MOD_DUR"))</f>
        <v/>
      </c>
      <c r="P461" s="80">
        <f>IF($A461="","",IFERROR(INDEX(Sheet1!$P:$P,MATCH($A461,Sheet1!$A:$A,0)),""))</f>
        <v/>
      </c>
      <c r="Q461" s="75">
        <f>IF($A461="","",IFERROR(INDEX(Company_desc!$C:$C,MATCH($A461,Company_desc!$A:$A,0)),IFERROR(INDEX(Sheet1!$Q:$Q,MATCH($A461,Sheet1!$A:$A,0)),"")))</f>
        <v/>
      </c>
      <c r="R461" s="75">
        <f>IF($A461="","",_xll.BDP($A461&amp;" Corp","CRNCY"))</f>
        <v/>
      </c>
      <c r="S461" s="75">
        <f>IF($A461="","",IFERROR(INDEX(Sheet1!$S:$S,MATCH($A461,Sheet1!$A:$A,0)),""))</f>
        <v/>
      </c>
      <c r="T461" s="75">
        <f>IF($A461="","",IFERROR(INDEX(Sheet1!$T:$T,MATCH($A461,Sheet1!$A:$A,0)),_xll.BDP($A461&amp;" Corp","RTG_SP")))</f>
        <v/>
      </c>
      <c r="U461" s="75">
        <f>IF($A461="","",IFERROR(INDEX(Sheet1!$U:$U,MATCH($A461,Sheet1!$A:$A,0)),""))</f>
        <v/>
      </c>
      <c r="W461" s="81">
        <f>IF($A461="","",N461-_xll.BDP($A461&amp;" Corp","YAS_OAS_SPRD","SETTLE_DT",Company_desc!$A$1))</f>
        <v/>
      </c>
      <c r="X461" s="81">
        <f>IF($A461="","",N461-_xll.BDP($A461&amp;" Corp","YAS_OAS_SPRD","SETTLE_DT",Company_desc!$A$2))</f>
        <v/>
      </c>
      <c r="Y461" s="80">
        <f>IF($A461="","",N461-_xll.BDP($A461&amp;" Corp","YAS_OAS_SPRD","SETTLE_DT",Company_desc!$D$1))</f>
        <v/>
      </c>
      <c r="Z461" s="82">
        <f>IF($A461="","",K461-_xll.BDP($A461&amp;" Corp","YAS_BOND_YLD","YAS_YLD_FLAG=15","SETTLE_DT",Company_desc!$D$1))</f>
        <v/>
      </c>
      <c r="AA461" s="80">
        <f>IF($A461="","",_xll.BDP($A461&amp;" Corp","YAS_OAS_SPRD","SETTLE_DT",Company_desc!$D$1))</f>
        <v/>
      </c>
    </row>
    <row r="462">
      <c r="B462" s="75">
        <f>IF($A462="","",IFERROR(INDEX(Sheet1!$B:$B,MATCH($A462,Sheet1!$A:$A,0)),""))</f>
        <v/>
      </c>
      <c r="C462" s="75">
        <f>IF($A462="","",PROPER(_xll.BDP($A462&amp;" Corp","NAME")))</f>
        <v/>
      </c>
      <c r="D462" s="76">
        <f>IF($A462="","",_xll.BDP($A462&amp;" Corp","CPN"))</f>
        <v/>
      </c>
      <c r="E462" s="75">
        <f>IF($A462="","",_xll.BDP($A462&amp;" Corp","PAYMENT_RANK"))</f>
        <v/>
      </c>
      <c r="F462" s="100">
        <f>IF($A462="","",_xll.BDP($A462&amp;" Corp","MATURITY"))</f>
        <v/>
      </c>
      <c r="G462" s="75">
        <f>IF($A462="","",PROPER(_xll.BDP($A462&amp;" Corp","COUNTRY_FULL_NAME")))</f>
        <v/>
      </c>
      <c r="H462" s="75">
        <f>IF($A462="","",_xll.BDP($A462&amp;" Corp","INDUSTRY_SECTOR"))</f>
        <v/>
      </c>
      <c r="I462" s="101">
        <f>IF($A462="","",IFERROR(_xll.BDP($A462&amp;" Corp","MIN_PIECE")/1000,""))</f>
        <v/>
      </c>
      <c r="J462" s="31">
        <f>IF($A462="","",_xll.BDP($A462&amp;" Corp","PX_LAST"))</f>
        <v/>
      </c>
      <c r="K462" s="31">
        <f>IF($A462="","",_xll.BDP($A462&amp;" Corp","YAS_BOND_YLD","YAS_YLD_FLAG=15"))</f>
        <v/>
      </c>
      <c r="L462" s="31">
        <f>IF($A462="","",K462-_xll.BDP($A462&amp;" Corp","YAS_BOND_YLD","YAS_YLD_FLAG=15","SETTLE_DT",Company_desc!$A$1))</f>
        <v/>
      </c>
      <c r="M462" s="31">
        <f>IF($A462="","",K462-_xll.BDP($A462&amp;" Corp","YAS_BOND_YLD","YAS_YLD_FLAG=15","SETTLE_DT",Company_desc!$A$2))</f>
        <v/>
      </c>
      <c r="N462" s="79">
        <f>IF($A462="","",_xll.BDP($A462&amp;" Corp","YAS_OAS_SPRD"))</f>
        <v/>
      </c>
      <c r="O462" s="67">
        <f>IF($A462="","",_xll.BDP($A462&amp;" Corp","YAS_MOD_DUR"))</f>
        <v/>
      </c>
      <c r="P462" s="80">
        <f>IF($A462="","",IFERROR(INDEX(Sheet1!$P:$P,MATCH($A462,Sheet1!$A:$A,0)),""))</f>
        <v/>
      </c>
      <c r="Q462" s="75">
        <f>IF($A462="","",IFERROR(INDEX(Company_desc!$C:$C,MATCH($A462,Company_desc!$A:$A,0)),IFERROR(INDEX(Sheet1!$Q:$Q,MATCH($A462,Sheet1!$A:$A,0)),"")))</f>
        <v/>
      </c>
      <c r="R462" s="75">
        <f>IF($A462="","",_xll.BDP($A462&amp;" Corp","CRNCY"))</f>
        <v/>
      </c>
      <c r="S462" s="75">
        <f>IF($A462="","",IFERROR(INDEX(Sheet1!$S:$S,MATCH($A462,Sheet1!$A:$A,0)),""))</f>
        <v/>
      </c>
      <c r="T462" s="75">
        <f>IF($A462="","",IFERROR(INDEX(Sheet1!$T:$T,MATCH($A462,Sheet1!$A:$A,0)),_xll.BDP($A462&amp;" Corp","RTG_SP")))</f>
        <v/>
      </c>
      <c r="U462" s="75">
        <f>IF($A462="","",IFERROR(INDEX(Sheet1!$U:$U,MATCH($A462,Sheet1!$A:$A,0)),""))</f>
        <v/>
      </c>
      <c r="W462" s="81">
        <f>IF($A462="","",N462-_xll.BDP($A462&amp;" Corp","YAS_OAS_SPRD","SETTLE_DT",Company_desc!$A$1))</f>
        <v/>
      </c>
      <c r="X462" s="81">
        <f>IF($A462="","",N462-_xll.BDP($A462&amp;" Corp","YAS_OAS_SPRD","SETTLE_DT",Company_desc!$A$2))</f>
        <v/>
      </c>
      <c r="Y462" s="80">
        <f>IF($A462="","",N462-_xll.BDP($A462&amp;" Corp","YAS_OAS_SPRD","SETTLE_DT",Company_desc!$D$1))</f>
        <v/>
      </c>
      <c r="Z462" s="82">
        <f>IF($A462="","",K462-_xll.BDP($A462&amp;" Corp","YAS_BOND_YLD","YAS_YLD_FLAG=15","SETTLE_DT",Company_desc!$D$1))</f>
        <v/>
      </c>
      <c r="AA462" s="80">
        <f>IF($A462="","",_xll.BDP($A462&amp;" Corp","YAS_OAS_SPRD","SETTLE_DT",Company_desc!$D$1))</f>
        <v/>
      </c>
    </row>
    <row r="463">
      <c r="B463" s="75">
        <f>IF($A463="","",IFERROR(INDEX(Sheet1!$B:$B,MATCH($A463,Sheet1!$A:$A,0)),""))</f>
        <v/>
      </c>
      <c r="C463" s="75">
        <f>IF($A463="","",PROPER(_xll.BDP($A463&amp;" Corp","NAME")))</f>
        <v/>
      </c>
      <c r="D463" s="76">
        <f>IF($A463="","",_xll.BDP($A463&amp;" Corp","CPN"))</f>
        <v/>
      </c>
      <c r="E463" s="75">
        <f>IF($A463="","",_xll.BDP($A463&amp;" Corp","PAYMENT_RANK"))</f>
        <v/>
      </c>
      <c r="F463" s="100">
        <f>IF($A463="","",_xll.BDP($A463&amp;" Corp","MATURITY"))</f>
        <v/>
      </c>
      <c r="G463" s="75">
        <f>IF($A463="","",PROPER(_xll.BDP($A463&amp;" Corp","COUNTRY_FULL_NAME")))</f>
        <v/>
      </c>
      <c r="H463" s="75">
        <f>IF($A463="","",_xll.BDP($A463&amp;" Corp","INDUSTRY_SECTOR"))</f>
        <v/>
      </c>
      <c r="I463" s="101">
        <f>IF($A463="","",IFERROR(_xll.BDP($A463&amp;" Corp","MIN_PIECE")/1000,""))</f>
        <v/>
      </c>
      <c r="J463" s="31">
        <f>IF($A463="","",_xll.BDP($A463&amp;" Corp","PX_LAST"))</f>
        <v/>
      </c>
      <c r="K463" s="31">
        <f>IF($A463="","",_xll.BDP($A463&amp;" Corp","YAS_BOND_YLD","YAS_YLD_FLAG=15"))</f>
        <v/>
      </c>
      <c r="L463" s="31">
        <f>IF($A463="","",K463-_xll.BDP($A463&amp;" Corp","YAS_BOND_YLD","YAS_YLD_FLAG=15","SETTLE_DT",Company_desc!$A$1))</f>
        <v/>
      </c>
      <c r="M463" s="31">
        <f>IF($A463="","",K463-_xll.BDP($A463&amp;" Corp","YAS_BOND_YLD","YAS_YLD_FLAG=15","SETTLE_DT",Company_desc!$A$2))</f>
        <v/>
      </c>
      <c r="N463" s="79">
        <f>IF($A463="","",_xll.BDP($A463&amp;" Corp","YAS_OAS_SPRD"))</f>
        <v/>
      </c>
      <c r="O463" s="67">
        <f>IF($A463="","",_xll.BDP($A463&amp;" Corp","YAS_MOD_DUR"))</f>
        <v/>
      </c>
      <c r="P463" s="80">
        <f>IF($A463="","",IFERROR(INDEX(Sheet1!$P:$P,MATCH($A463,Sheet1!$A:$A,0)),""))</f>
        <v/>
      </c>
      <c r="Q463" s="75">
        <f>IF($A463="","",IFERROR(INDEX(Company_desc!$C:$C,MATCH($A463,Company_desc!$A:$A,0)),IFERROR(INDEX(Sheet1!$Q:$Q,MATCH($A463,Sheet1!$A:$A,0)),"")))</f>
        <v/>
      </c>
      <c r="R463" s="75">
        <f>IF($A463="","",_xll.BDP($A463&amp;" Corp","CRNCY"))</f>
        <v/>
      </c>
      <c r="S463" s="75">
        <f>IF($A463="","",IFERROR(INDEX(Sheet1!$S:$S,MATCH($A463,Sheet1!$A:$A,0)),""))</f>
        <v/>
      </c>
      <c r="T463" s="75">
        <f>IF($A463="","",IFERROR(INDEX(Sheet1!$T:$T,MATCH($A463,Sheet1!$A:$A,0)),_xll.BDP($A463&amp;" Corp","RTG_SP")))</f>
        <v/>
      </c>
      <c r="U463" s="75">
        <f>IF($A463="","",IFERROR(INDEX(Sheet1!$U:$U,MATCH($A463,Sheet1!$A:$A,0)),""))</f>
        <v/>
      </c>
      <c r="W463" s="81">
        <f>IF($A463="","",N463-_xll.BDP($A463&amp;" Corp","YAS_OAS_SPRD","SETTLE_DT",Company_desc!$A$1))</f>
        <v/>
      </c>
      <c r="X463" s="81">
        <f>IF($A463="","",N463-_xll.BDP($A463&amp;" Corp","YAS_OAS_SPRD","SETTLE_DT",Company_desc!$A$2))</f>
        <v/>
      </c>
      <c r="Y463" s="80">
        <f>IF($A463="","",N463-_xll.BDP($A463&amp;" Corp","YAS_OAS_SPRD","SETTLE_DT",Company_desc!$D$1))</f>
        <v/>
      </c>
      <c r="Z463" s="82">
        <f>IF($A463="","",K463-_xll.BDP($A463&amp;" Corp","YAS_BOND_YLD","YAS_YLD_FLAG=15","SETTLE_DT",Company_desc!$D$1))</f>
        <v/>
      </c>
      <c r="AA463" s="80">
        <f>IF($A463="","",_xll.BDP($A463&amp;" Corp","YAS_OAS_SPRD","SETTLE_DT",Company_desc!$D$1))</f>
        <v/>
      </c>
    </row>
    <row r="464">
      <c r="B464" s="75">
        <f>IF($A464="","",IFERROR(INDEX(Sheet1!$B:$B,MATCH($A464,Sheet1!$A:$A,0)),""))</f>
        <v/>
      </c>
      <c r="C464" s="75">
        <f>IF($A464="","",PROPER(_xll.BDP($A464&amp;" Corp","NAME")))</f>
        <v/>
      </c>
      <c r="D464" s="76">
        <f>IF($A464="","",_xll.BDP($A464&amp;" Corp","CPN"))</f>
        <v/>
      </c>
      <c r="E464" s="75">
        <f>IF($A464="","",_xll.BDP($A464&amp;" Corp","PAYMENT_RANK"))</f>
        <v/>
      </c>
      <c r="F464" s="100">
        <f>IF($A464="","",_xll.BDP($A464&amp;" Corp","MATURITY"))</f>
        <v/>
      </c>
      <c r="G464" s="75">
        <f>IF($A464="","",PROPER(_xll.BDP($A464&amp;" Corp","COUNTRY_FULL_NAME")))</f>
        <v/>
      </c>
      <c r="H464" s="75">
        <f>IF($A464="","",_xll.BDP($A464&amp;" Corp","INDUSTRY_SECTOR"))</f>
        <v/>
      </c>
      <c r="I464" s="101">
        <f>IF($A464="","",IFERROR(_xll.BDP($A464&amp;" Corp","MIN_PIECE")/1000,""))</f>
        <v/>
      </c>
      <c r="J464" s="31">
        <f>IF($A464="","",_xll.BDP($A464&amp;" Corp","PX_LAST"))</f>
        <v/>
      </c>
      <c r="K464" s="31">
        <f>IF($A464="","",_xll.BDP($A464&amp;" Corp","YAS_BOND_YLD","YAS_YLD_FLAG=15"))</f>
        <v/>
      </c>
      <c r="L464" s="31">
        <f>IF($A464="","",K464-_xll.BDP($A464&amp;" Corp","YAS_BOND_YLD","YAS_YLD_FLAG=15","SETTLE_DT",Company_desc!$A$1))</f>
        <v/>
      </c>
      <c r="M464" s="31">
        <f>IF($A464="","",K464-_xll.BDP($A464&amp;" Corp","YAS_BOND_YLD","YAS_YLD_FLAG=15","SETTLE_DT",Company_desc!$A$2))</f>
        <v/>
      </c>
      <c r="N464" s="79">
        <f>IF($A464="","",_xll.BDP($A464&amp;" Corp","YAS_OAS_SPRD"))</f>
        <v/>
      </c>
      <c r="O464" s="67">
        <f>IF($A464="","",_xll.BDP($A464&amp;" Corp","YAS_MOD_DUR"))</f>
        <v/>
      </c>
      <c r="P464" s="80">
        <f>IF($A464="","",IFERROR(INDEX(Sheet1!$P:$P,MATCH($A464,Sheet1!$A:$A,0)),""))</f>
        <v/>
      </c>
      <c r="Q464" s="75">
        <f>IF($A464="","",IFERROR(INDEX(Company_desc!$C:$C,MATCH($A464,Company_desc!$A:$A,0)),IFERROR(INDEX(Sheet1!$Q:$Q,MATCH($A464,Sheet1!$A:$A,0)),"")))</f>
        <v/>
      </c>
      <c r="R464" s="75">
        <f>IF($A464="","",_xll.BDP($A464&amp;" Corp","CRNCY"))</f>
        <v/>
      </c>
      <c r="S464" s="75">
        <f>IF($A464="","",IFERROR(INDEX(Sheet1!$S:$S,MATCH($A464,Sheet1!$A:$A,0)),""))</f>
        <v/>
      </c>
      <c r="T464" s="75">
        <f>IF($A464="","",IFERROR(INDEX(Sheet1!$T:$T,MATCH($A464,Sheet1!$A:$A,0)),_xll.BDP($A464&amp;" Corp","RTG_SP")))</f>
        <v/>
      </c>
      <c r="U464" s="75">
        <f>IF($A464="","",IFERROR(INDEX(Sheet1!$U:$U,MATCH($A464,Sheet1!$A:$A,0)),""))</f>
        <v/>
      </c>
      <c r="W464" s="81">
        <f>IF($A464="","",N464-_xll.BDP($A464&amp;" Corp","YAS_OAS_SPRD","SETTLE_DT",Company_desc!$A$1))</f>
        <v/>
      </c>
      <c r="X464" s="81">
        <f>IF($A464="","",N464-_xll.BDP($A464&amp;" Corp","YAS_OAS_SPRD","SETTLE_DT",Company_desc!$A$2))</f>
        <v/>
      </c>
      <c r="Y464" s="80">
        <f>IF($A464="","",N464-_xll.BDP($A464&amp;" Corp","YAS_OAS_SPRD","SETTLE_DT",Company_desc!$D$1))</f>
        <v/>
      </c>
      <c r="Z464" s="82">
        <f>IF($A464="","",K464-_xll.BDP($A464&amp;" Corp","YAS_BOND_YLD","YAS_YLD_FLAG=15","SETTLE_DT",Company_desc!$D$1))</f>
        <v/>
      </c>
      <c r="AA464" s="80">
        <f>IF($A464="","",_xll.BDP($A464&amp;" Corp","YAS_OAS_SPRD","SETTLE_DT",Company_desc!$D$1))</f>
        <v/>
      </c>
    </row>
    <row r="465">
      <c r="B465" s="75">
        <f>IF($A465="","",IFERROR(INDEX(Sheet1!$B:$B,MATCH($A465,Sheet1!$A:$A,0)),""))</f>
        <v/>
      </c>
      <c r="C465" s="75">
        <f>IF($A465="","",PROPER(_xll.BDP($A465&amp;" Corp","NAME")))</f>
        <v/>
      </c>
      <c r="D465" s="76">
        <f>IF($A465="","",_xll.BDP($A465&amp;" Corp","CPN"))</f>
        <v/>
      </c>
      <c r="E465" s="75">
        <f>IF($A465="","",_xll.BDP($A465&amp;" Corp","PAYMENT_RANK"))</f>
        <v/>
      </c>
      <c r="F465" s="100">
        <f>IF($A465="","",_xll.BDP($A465&amp;" Corp","MATURITY"))</f>
        <v/>
      </c>
      <c r="G465" s="75">
        <f>IF($A465="","",PROPER(_xll.BDP($A465&amp;" Corp","COUNTRY_FULL_NAME")))</f>
        <v/>
      </c>
      <c r="H465" s="75">
        <f>IF($A465="","",_xll.BDP($A465&amp;" Corp","INDUSTRY_SECTOR"))</f>
        <v/>
      </c>
      <c r="I465" s="101">
        <f>IF($A465="","",IFERROR(_xll.BDP($A465&amp;" Corp","MIN_PIECE")/1000,""))</f>
        <v/>
      </c>
      <c r="J465" s="31">
        <f>IF($A465="","",_xll.BDP($A465&amp;" Corp","PX_LAST"))</f>
        <v/>
      </c>
      <c r="K465" s="31">
        <f>IF($A465="","",_xll.BDP($A465&amp;" Corp","YAS_BOND_YLD","YAS_YLD_FLAG=15"))</f>
        <v/>
      </c>
      <c r="L465" s="31">
        <f>IF($A465="","",K465-_xll.BDP($A465&amp;" Corp","YAS_BOND_YLD","YAS_YLD_FLAG=15","SETTLE_DT",Company_desc!$A$1))</f>
        <v/>
      </c>
      <c r="M465" s="31">
        <f>IF($A465="","",K465-_xll.BDP($A465&amp;" Corp","YAS_BOND_YLD","YAS_YLD_FLAG=15","SETTLE_DT",Company_desc!$A$2))</f>
        <v/>
      </c>
      <c r="N465" s="79">
        <f>IF($A465="","",_xll.BDP($A465&amp;" Corp","YAS_OAS_SPRD"))</f>
        <v/>
      </c>
      <c r="O465" s="67">
        <f>IF($A465="","",_xll.BDP($A465&amp;" Corp","YAS_MOD_DUR"))</f>
        <v/>
      </c>
      <c r="P465" s="80">
        <f>IF($A465="","",IFERROR(INDEX(Sheet1!$P:$P,MATCH($A465,Sheet1!$A:$A,0)),""))</f>
        <v/>
      </c>
      <c r="Q465" s="75">
        <f>IF($A465="","",IFERROR(INDEX(Company_desc!$C:$C,MATCH($A465,Company_desc!$A:$A,0)),IFERROR(INDEX(Sheet1!$Q:$Q,MATCH($A465,Sheet1!$A:$A,0)),"")))</f>
        <v/>
      </c>
      <c r="R465" s="75">
        <f>IF($A465="","",_xll.BDP($A465&amp;" Corp","CRNCY"))</f>
        <v/>
      </c>
      <c r="S465" s="75">
        <f>IF($A465="","",IFERROR(INDEX(Sheet1!$S:$S,MATCH($A465,Sheet1!$A:$A,0)),""))</f>
        <v/>
      </c>
      <c r="T465" s="75">
        <f>IF($A465="","",IFERROR(INDEX(Sheet1!$T:$T,MATCH($A465,Sheet1!$A:$A,0)),_xll.BDP($A465&amp;" Corp","RTG_SP")))</f>
        <v/>
      </c>
      <c r="U465" s="75">
        <f>IF($A465="","",IFERROR(INDEX(Sheet1!$U:$U,MATCH($A465,Sheet1!$A:$A,0)),""))</f>
        <v/>
      </c>
      <c r="W465" s="81">
        <f>IF($A465="","",N465-_xll.BDP($A465&amp;" Corp","YAS_OAS_SPRD","SETTLE_DT",Company_desc!$A$1))</f>
        <v/>
      </c>
      <c r="X465" s="81">
        <f>IF($A465="","",N465-_xll.BDP($A465&amp;" Corp","YAS_OAS_SPRD","SETTLE_DT",Company_desc!$A$2))</f>
        <v/>
      </c>
      <c r="Y465" s="80">
        <f>IF($A465="","",N465-_xll.BDP($A465&amp;" Corp","YAS_OAS_SPRD","SETTLE_DT",Company_desc!$D$1))</f>
        <v/>
      </c>
      <c r="Z465" s="82">
        <f>IF($A465="","",K465-_xll.BDP($A465&amp;" Corp","YAS_BOND_YLD","YAS_YLD_FLAG=15","SETTLE_DT",Company_desc!$D$1))</f>
        <v/>
      </c>
      <c r="AA465" s="80">
        <f>IF($A465="","",_xll.BDP($A465&amp;" Corp","YAS_OAS_SPRD","SETTLE_DT",Company_desc!$D$1))</f>
        <v/>
      </c>
    </row>
    <row r="466">
      <c r="B466" s="75">
        <f>IF($A466="","",IFERROR(INDEX(Sheet1!$B:$B,MATCH($A466,Sheet1!$A:$A,0)),""))</f>
        <v/>
      </c>
      <c r="C466" s="75">
        <f>IF($A466="","",PROPER(_xll.BDP($A466&amp;" Corp","NAME")))</f>
        <v/>
      </c>
      <c r="D466" s="76">
        <f>IF($A466="","",_xll.BDP($A466&amp;" Corp","CPN"))</f>
        <v/>
      </c>
      <c r="E466" s="75">
        <f>IF($A466="","",_xll.BDP($A466&amp;" Corp","PAYMENT_RANK"))</f>
        <v/>
      </c>
      <c r="F466" s="100">
        <f>IF($A466="","",_xll.BDP($A466&amp;" Corp","MATURITY"))</f>
        <v/>
      </c>
      <c r="G466" s="75">
        <f>IF($A466="","",PROPER(_xll.BDP($A466&amp;" Corp","COUNTRY_FULL_NAME")))</f>
        <v/>
      </c>
      <c r="H466" s="75">
        <f>IF($A466="","",_xll.BDP($A466&amp;" Corp","INDUSTRY_SECTOR"))</f>
        <v/>
      </c>
      <c r="I466" s="101">
        <f>IF($A466="","",IFERROR(_xll.BDP($A466&amp;" Corp","MIN_PIECE")/1000,""))</f>
        <v/>
      </c>
      <c r="J466" s="31">
        <f>IF($A466="","",_xll.BDP($A466&amp;" Corp","PX_LAST"))</f>
        <v/>
      </c>
      <c r="K466" s="31">
        <f>IF($A466="","",_xll.BDP($A466&amp;" Corp","YAS_BOND_YLD","YAS_YLD_FLAG=15"))</f>
        <v/>
      </c>
      <c r="L466" s="31">
        <f>IF($A466="","",K466-_xll.BDP($A466&amp;" Corp","YAS_BOND_YLD","YAS_YLD_FLAG=15","SETTLE_DT",Company_desc!$A$1))</f>
        <v/>
      </c>
      <c r="M466" s="31">
        <f>IF($A466="","",K466-_xll.BDP($A466&amp;" Corp","YAS_BOND_YLD","YAS_YLD_FLAG=15","SETTLE_DT",Company_desc!$A$2))</f>
        <v/>
      </c>
      <c r="N466" s="79">
        <f>IF($A466="","",_xll.BDP($A466&amp;" Corp","YAS_OAS_SPRD"))</f>
        <v/>
      </c>
      <c r="O466" s="67">
        <f>IF($A466="","",_xll.BDP($A466&amp;" Corp","YAS_MOD_DUR"))</f>
        <v/>
      </c>
      <c r="P466" s="80">
        <f>IF($A466="","",IFERROR(INDEX(Sheet1!$P:$P,MATCH($A466,Sheet1!$A:$A,0)),""))</f>
        <v/>
      </c>
      <c r="Q466" s="75">
        <f>IF($A466="","",IFERROR(INDEX(Company_desc!$C:$C,MATCH($A466,Company_desc!$A:$A,0)),IFERROR(INDEX(Sheet1!$Q:$Q,MATCH($A466,Sheet1!$A:$A,0)),"")))</f>
        <v/>
      </c>
      <c r="R466" s="75">
        <f>IF($A466="","",_xll.BDP($A466&amp;" Corp","CRNCY"))</f>
        <v/>
      </c>
      <c r="S466" s="75">
        <f>IF($A466="","",IFERROR(INDEX(Sheet1!$S:$S,MATCH($A466,Sheet1!$A:$A,0)),""))</f>
        <v/>
      </c>
      <c r="T466" s="75">
        <f>IF($A466="","",IFERROR(INDEX(Sheet1!$T:$T,MATCH($A466,Sheet1!$A:$A,0)),_xll.BDP($A466&amp;" Corp","RTG_SP")))</f>
        <v/>
      </c>
      <c r="U466" s="75">
        <f>IF($A466="","",IFERROR(INDEX(Sheet1!$U:$U,MATCH($A466,Sheet1!$A:$A,0)),""))</f>
        <v/>
      </c>
      <c r="W466" s="81">
        <f>IF($A466="","",N466-_xll.BDP($A466&amp;" Corp","YAS_OAS_SPRD","SETTLE_DT",Company_desc!$A$1))</f>
        <v/>
      </c>
      <c r="X466" s="81">
        <f>IF($A466="","",N466-_xll.BDP($A466&amp;" Corp","YAS_OAS_SPRD","SETTLE_DT",Company_desc!$A$2))</f>
        <v/>
      </c>
      <c r="Y466" s="80">
        <f>IF($A466="","",N466-_xll.BDP($A466&amp;" Corp","YAS_OAS_SPRD","SETTLE_DT",Company_desc!$D$1))</f>
        <v/>
      </c>
      <c r="Z466" s="82">
        <f>IF($A466="","",K466-_xll.BDP($A466&amp;" Corp","YAS_BOND_YLD","YAS_YLD_FLAG=15","SETTLE_DT",Company_desc!$D$1))</f>
        <v/>
      </c>
      <c r="AA466" s="80">
        <f>IF($A466="","",_xll.BDP($A466&amp;" Corp","YAS_OAS_SPRD","SETTLE_DT",Company_desc!$D$1))</f>
        <v/>
      </c>
    </row>
    <row r="467">
      <c r="B467" s="75">
        <f>IF($A467="","",IFERROR(INDEX(Sheet1!$B:$B,MATCH($A467,Sheet1!$A:$A,0)),""))</f>
        <v/>
      </c>
      <c r="C467" s="75">
        <f>IF($A467="","",PROPER(_xll.BDP($A467&amp;" Corp","NAME")))</f>
        <v/>
      </c>
      <c r="D467" s="76">
        <f>IF($A467="","",_xll.BDP($A467&amp;" Corp","CPN"))</f>
        <v/>
      </c>
      <c r="E467" s="75">
        <f>IF($A467="","",_xll.BDP($A467&amp;" Corp","PAYMENT_RANK"))</f>
        <v/>
      </c>
      <c r="F467" s="100">
        <f>IF($A467="","",_xll.BDP($A467&amp;" Corp","MATURITY"))</f>
        <v/>
      </c>
      <c r="G467" s="75">
        <f>IF($A467="","",PROPER(_xll.BDP($A467&amp;" Corp","COUNTRY_FULL_NAME")))</f>
        <v/>
      </c>
      <c r="H467" s="75">
        <f>IF($A467="","",_xll.BDP($A467&amp;" Corp","INDUSTRY_SECTOR"))</f>
        <v/>
      </c>
      <c r="I467" s="101">
        <f>IF($A467="","",IFERROR(_xll.BDP($A467&amp;" Corp","MIN_PIECE")/1000,""))</f>
        <v/>
      </c>
      <c r="J467" s="31">
        <f>IF($A467="","",_xll.BDP($A467&amp;" Corp","PX_LAST"))</f>
        <v/>
      </c>
      <c r="K467" s="31">
        <f>IF($A467="","",_xll.BDP($A467&amp;" Corp","YAS_BOND_YLD","YAS_YLD_FLAG=15"))</f>
        <v/>
      </c>
      <c r="L467" s="31">
        <f>IF($A467="","",K467-_xll.BDP($A467&amp;" Corp","YAS_BOND_YLD","YAS_YLD_FLAG=15","SETTLE_DT",Company_desc!$A$1))</f>
        <v/>
      </c>
      <c r="M467" s="31">
        <f>IF($A467="","",K467-_xll.BDP($A467&amp;" Corp","YAS_BOND_YLD","YAS_YLD_FLAG=15","SETTLE_DT",Company_desc!$A$2))</f>
        <v/>
      </c>
      <c r="N467" s="79">
        <f>IF($A467="","",_xll.BDP($A467&amp;" Corp","YAS_OAS_SPRD"))</f>
        <v/>
      </c>
      <c r="O467" s="67">
        <f>IF($A467="","",_xll.BDP($A467&amp;" Corp","YAS_MOD_DUR"))</f>
        <v/>
      </c>
      <c r="P467" s="80">
        <f>IF($A467="","",IFERROR(INDEX(Sheet1!$P:$P,MATCH($A467,Sheet1!$A:$A,0)),""))</f>
        <v/>
      </c>
      <c r="Q467" s="75">
        <f>IF($A467="","",IFERROR(INDEX(Company_desc!$C:$C,MATCH($A467,Company_desc!$A:$A,0)),IFERROR(INDEX(Sheet1!$Q:$Q,MATCH($A467,Sheet1!$A:$A,0)),"")))</f>
        <v/>
      </c>
      <c r="R467" s="75">
        <f>IF($A467="","",_xll.BDP($A467&amp;" Corp","CRNCY"))</f>
        <v/>
      </c>
      <c r="S467" s="75">
        <f>IF($A467="","",IFERROR(INDEX(Sheet1!$S:$S,MATCH($A467,Sheet1!$A:$A,0)),""))</f>
        <v/>
      </c>
      <c r="T467" s="75">
        <f>IF($A467="","",IFERROR(INDEX(Sheet1!$T:$T,MATCH($A467,Sheet1!$A:$A,0)),_xll.BDP($A467&amp;" Corp","RTG_SP")))</f>
        <v/>
      </c>
      <c r="U467" s="75">
        <f>IF($A467="","",IFERROR(INDEX(Sheet1!$U:$U,MATCH($A467,Sheet1!$A:$A,0)),""))</f>
        <v/>
      </c>
      <c r="W467" s="81">
        <f>IF($A467="","",N467-_xll.BDP($A467&amp;" Corp","YAS_OAS_SPRD","SETTLE_DT",Company_desc!$A$1))</f>
        <v/>
      </c>
      <c r="X467" s="81">
        <f>IF($A467="","",N467-_xll.BDP($A467&amp;" Corp","YAS_OAS_SPRD","SETTLE_DT",Company_desc!$A$2))</f>
        <v/>
      </c>
      <c r="Y467" s="80">
        <f>IF($A467="","",N467-_xll.BDP($A467&amp;" Corp","YAS_OAS_SPRD","SETTLE_DT",Company_desc!$D$1))</f>
        <v/>
      </c>
      <c r="Z467" s="82">
        <f>IF($A467="","",K467-_xll.BDP($A467&amp;" Corp","YAS_BOND_YLD","YAS_YLD_FLAG=15","SETTLE_DT",Company_desc!$D$1))</f>
        <v/>
      </c>
      <c r="AA467" s="80">
        <f>IF($A467="","",_xll.BDP($A467&amp;" Corp","YAS_OAS_SPRD","SETTLE_DT",Company_desc!$D$1))</f>
        <v/>
      </c>
    </row>
    <row r="468">
      <c r="B468" s="75">
        <f>IF($A468="","",IFERROR(INDEX(Sheet1!$B:$B,MATCH($A468,Sheet1!$A:$A,0)),""))</f>
        <v/>
      </c>
      <c r="C468" s="75">
        <f>IF($A468="","",PROPER(_xll.BDP($A468&amp;" Corp","NAME")))</f>
        <v/>
      </c>
      <c r="D468" s="76">
        <f>IF($A468="","",_xll.BDP($A468&amp;" Corp","CPN"))</f>
        <v/>
      </c>
      <c r="E468" s="75">
        <f>IF($A468="","",_xll.BDP($A468&amp;" Corp","PAYMENT_RANK"))</f>
        <v/>
      </c>
      <c r="F468" s="100">
        <f>IF($A468="","",_xll.BDP($A468&amp;" Corp","MATURITY"))</f>
        <v/>
      </c>
      <c r="G468" s="75">
        <f>IF($A468="","",PROPER(_xll.BDP($A468&amp;" Corp","COUNTRY_FULL_NAME")))</f>
        <v/>
      </c>
      <c r="H468" s="75">
        <f>IF($A468="","",_xll.BDP($A468&amp;" Corp","INDUSTRY_SECTOR"))</f>
        <v/>
      </c>
      <c r="I468" s="101">
        <f>IF($A468="","",IFERROR(_xll.BDP($A468&amp;" Corp","MIN_PIECE")/1000,""))</f>
        <v/>
      </c>
      <c r="J468" s="31">
        <f>IF($A468="","",_xll.BDP($A468&amp;" Corp","PX_LAST"))</f>
        <v/>
      </c>
      <c r="K468" s="31">
        <f>IF($A468="","",_xll.BDP($A468&amp;" Corp","YAS_BOND_YLD","YAS_YLD_FLAG=15"))</f>
        <v/>
      </c>
      <c r="L468" s="31">
        <f>IF($A468="","",K468-_xll.BDP($A468&amp;" Corp","YAS_BOND_YLD","YAS_YLD_FLAG=15","SETTLE_DT",Company_desc!$A$1))</f>
        <v/>
      </c>
      <c r="M468" s="31">
        <f>IF($A468="","",K468-_xll.BDP($A468&amp;" Corp","YAS_BOND_YLD","YAS_YLD_FLAG=15","SETTLE_DT",Company_desc!$A$2))</f>
        <v/>
      </c>
      <c r="N468" s="79">
        <f>IF($A468="","",_xll.BDP($A468&amp;" Corp","YAS_OAS_SPRD"))</f>
        <v/>
      </c>
      <c r="O468" s="67">
        <f>IF($A468="","",_xll.BDP($A468&amp;" Corp","YAS_MOD_DUR"))</f>
        <v/>
      </c>
      <c r="P468" s="80">
        <f>IF($A468="","",IFERROR(INDEX(Sheet1!$P:$P,MATCH($A468,Sheet1!$A:$A,0)),""))</f>
        <v/>
      </c>
      <c r="Q468" s="75">
        <f>IF($A468="","",IFERROR(INDEX(Company_desc!$C:$C,MATCH($A468,Company_desc!$A:$A,0)),IFERROR(INDEX(Sheet1!$Q:$Q,MATCH($A468,Sheet1!$A:$A,0)),"")))</f>
        <v/>
      </c>
      <c r="R468" s="75">
        <f>IF($A468="","",_xll.BDP($A468&amp;" Corp","CRNCY"))</f>
        <v/>
      </c>
      <c r="S468" s="75">
        <f>IF($A468="","",IFERROR(INDEX(Sheet1!$S:$S,MATCH($A468,Sheet1!$A:$A,0)),""))</f>
        <v/>
      </c>
      <c r="T468" s="75">
        <f>IF($A468="","",IFERROR(INDEX(Sheet1!$T:$T,MATCH($A468,Sheet1!$A:$A,0)),_xll.BDP($A468&amp;" Corp","RTG_SP")))</f>
        <v/>
      </c>
      <c r="U468" s="75">
        <f>IF($A468="","",IFERROR(INDEX(Sheet1!$U:$U,MATCH($A468,Sheet1!$A:$A,0)),""))</f>
        <v/>
      </c>
      <c r="W468" s="81">
        <f>IF($A468="","",N468-_xll.BDP($A468&amp;" Corp","YAS_OAS_SPRD","SETTLE_DT",Company_desc!$A$1))</f>
        <v/>
      </c>
      <c r="X468" s="81">
        <f>IF($A468="","",N468-_xll.BDP($A468&amp;" Corp","YAS_OAS_SPRD","SETTLE_DT",Company_desc!$A$2))</f>
        <v/>
      </c>
      <c r="Y468" s="80">
        <f>IF($A468="","",N468-_xll.BDP($A468&amp;" Corp","YAS_OAS_SPRD","SETTLE_DT",Company_desc!$D$1))</f>
        <v/>
      </c>
      <c r="Z468" s="82">
        <f>IF($A468="","",K468-_xll.BDP($A468&amp;" Corp","YAS_BOND_YLD","YAS_YLD_FLAG=15","SETTLE_DT",Company_desc!$D$1))</f>
        <v/>
      </c>
      <c r="AA468" s="80">
        <f>IF($A468="","",_xll.BDP($A468&amp;" Corp","YAS_OAS_SPRD","SETTLE_DT",Company_desc!$D$1))</f>
        <v/>
      </c>
    </row>
    <row r="469">
      <c r="B469" s="75">
        <f>IF($A469="","",IFERROR(INDEX(Sheet1!$B:$B,MATCH($A469,Sheet1!$A:$A,0)),""))</f>
        <v/>
      </c>
      <c r="C469" s="75">
        <f>IF($A469="","",PROPER(_xll.BDP($A469&amp;" Corp","NAME")))</f>
        <v/>
      </c>
      <c r="D469" s="76">
        <f>IF($A469="","",_xll.BDP($A469&amp;" Corp","CPN"))</f>
        <v/>
      </c>
      <c r="E469" s="75">
        <f>IF($A469="","",_xll.BDP($A469&amp;" Corp","PAYMENT_RANK"))</f>
        <v/>
      </c>
      <c r="F469" s="100">
        <f>IF($A469="","",_xll.BDP($A469&amp;" Corp","MATURITY"))</f>
        <v/>
      </c>
      <c r="G469" s="75">
        <f>IF($A469="","",PROPER(_xll.BDP($A469&amp;" Corp","COUNTRY_FULL_NAME")))</f>
        <v/>
      </c>
      <c r="H469" s="75">
        <f>IF($A469="","",_xll.BDP($A469&amp;" Corp","INDUSTRY_SECTOR"))</f>
        <v/>
      </c>
      <c r="I469" s="101">
        <f>IF($A469="","",IFERROR(_xll.BDP($A469&amp;" Corp","MIN_PIECE")/1000,""))</f>
        <v/>
      </c>
      <c r="J469" s="31">
        <f>IF($A469="","",_xll.BDP($A469&amp;" Corp","PX_LAST"))</f>
        <v/>
      </c>
      <c r="K469" s="31">
        <f>IF($A469="","",_xll.BDP($A469&amp;" Corp","YAS_BOND_YLD","YAS_YLD_FLAG=15"))</f>
        <v/>
      </c>
      <c r="L469" s="31">
        <f>IF($A469="","",K469-_xll.BDP($A469&amp;" Corp","YAS_BOND_YLD","YAS_YLD_FLAG=15","SETTLE_DT",Company_desc!$A$1))</f>
        <v/>
      </c>
      <c r="M469" s="31">
        <f>IF($A469="","",K469-_xll.BDP($A469&amp;" Corp","YAS_BOND_YLD","YAS_YLD_FLAG=15","SETTLE_DT",Company_desc!$A$2))</f>
        <v/>
      </c>
      <c r="N469" s="79">
        <f>IF($A469="","",_xll.BDP($A469&amp;" Corp","YAS_OAS_SPRD"))</f>
        <v/>
      </c>
      <c r="O469" s="67">
        <f>IF($A469="","",_xll.BDP($A469&amp;" Corp","YAS_MOD_DUR"))</f>
        <v/>
      </c>
      <c r="P469" s="80">
        <f>IF($A469="","",IFERROR(INDEX(Sheet1!$P:$P,MATCH($A469,Sheet1!$A:$A,0)),""))</f>
        <v/>
      </c>
      <c r="Q469" s="75">
        <f>IF($A469="","",IFERROR(INDEX(Company_desc!$C:$C,MATCH($A469,Company_desc!$A:$A,0)),IFERROR(INDEX(Sheet1!$Q:$Q,MATCH($A469,Sheet1!$A:$A,0)),"")))</f>
        <v/>
      </c>
      <c r="R469" s="75">
        <f>IF($A469="","",_xll.BDP($A469&amp;" Corp","CRNCY"))</f>
        <v/>
      </c>
      <c r="S469" s="75">
        <f>IF($A469="","",IFERROR(INDEX(Sheet1!$S:$S,MATCH($A469,Sheet1!$A:$A,0)),""))</f>
        <v/>
      </c>
      <c r="T469" s="75">
        <f>IF($A469="","",IFERROR(INDEX(Sheet1!$T:$T,MATCH($A469,Sheet1!$A:$A,0)),_xll.BDP($A469&amp;" Corp","RTG_SP")))</f>
        <v/>
      </c>
      <c r="U469" s="75">
        <f>IF($A469="","",IFERROR(INDEX(Sheet1!$U:$U,MATCH($A469,Sheet1!$A:$A,0)),""))</f>
        <v/>
      </c>
      <c r="W469" s="81">
        <f>IF($A469="","",N469-_xll.BDP($A469&amp;" Corp","YAS_OAS_SPRD","SETTLE_DT",Company_desc!$A$1))</f>
        <v/>
      </c>
      <c r="X469" s="81">
        <f>IF($A469="","",N469-_xll.BDP($A469&amp;" Corp","YAS_OAS_SPRD","SETTLE_DT",Company_desc!$A$2))</f>
        <v/>
      </c>
      <c r="Y469" s="80">
        <f>IF($A469="","",N469-_xll.BDP($A469&amp;" Corp","YAS_OAS_SPRD","SETTLE_DT",Company_desc!$D$1))</f>
        <v/>
      </c>
      <c r="Z469" s="82">
        <f>IF($A469="","",K469-_xll.BDP($A469&amp;" Corp","YAS_BOND_YLD","YAS_YLD_FLAG=15","SETTLE_DT",Company_desc!$D$1))</f>
        <v/>
      </c>
      <c r="AA469" s="80">
        <f>IF($A469="","",_xll.BDP($A469&amp;" Corp","YAS_OAS_SPRD","SETTLE_DT",Company_desc!$D$1))</f>
        <v/>
      </c>
    </row>
    <row r="470">
      <c r="B470" s="75">
        <f>IF($A470="","",IFERROR(INDEX(Sheet1!$B:$B,MATCH($A470,Sheet1!$A:$A,0)),""))</f>
        <v/>
      </c>
      <c r="C470" s="75">
        <f>IF($A470="","",PROPER(_xll.BDP($A470&amp;" Corp","NAME")))</f>
        <v/>
      </c>
      <c r="D470" s="76">
        <f>IF($A470="","",_xll.BDP($A470&amp;" Corp","CPN"))</f>
        <v/>
      </c>
      <c r="E470" s="75">
        <f>IF($A470="","",_xll.BDP($A470&amp;" Corp","PAYMENT_RANK"))</f>
        <v/>
      </c>
      <c r="F470" s="100">
        <f>IF($A470="","",_xll.BDP($A470&amp;" Corp","MATURITY"))</f>
        <v/>
      </c>
      <c r="G470" s="75">
        <f>IF($A470="","",PROPER(_xll.BDP($A470&amp;" Corp","COUNTRY_FULL_NAME")))</f>
        <v/>
      </c>
      <c r="H470" s="75">
        <f>IF($A470="","",_xll.BDP($A470&amp;" Corp","INDUSTRY_SECTOR"))</f>
        <v/>
      </c>
      <c r="I470" s="101">
        <f>IF($A470="","",IFERROR(_xll.BDP($A470&amp;" Corp","MIN_PIECE")/1000,""))</f>
        <v/>
      </c>
      <c r="J470" s="31">
        <f>IF($A470="","",_xll.BDP($A470&amp;" Corp","PX_LAST"))</f>
        <v/>
      </c>
      <c r="K470" s="31">
        <f>IF($A470="","",_xll.BDP($A470&amp;" Corp","YAS_BOND_YLD","YAS_YLD_FLAG=15"))</f>
        <v/>
      </c>
      <c r="L470" s="31">
        <f>IF($A470="","",K470-_xll.BDP($A470&amp;" Corp","YAS_BOND_YLD","YAS_YLD_FLAG=15","SETTLE_DT",Company_desc!$A$1))</f>
        <v/>
      </c>
      <c r="M470" s="31">
        <f>IF($A470="","",K470-_xll.BDP($A470&amp;" Corp","YAS_BOND_YLD","YAS_YLD_FLAG=15","SETTLE_DT",Company_desc!$A$2))</f>
        <v/>
      </c>
      <c r="N470" s="79">
        <f>IF($A470="","",_xll.BDP($A470&amp;" Corp","YAS_OAS_SPRD"))</f>
        <v/>
      </c>
      <c r="O470" s="67">
        <f>IF($A470="","",_xll.BDP($A470&amp;" Corp","YAS_MOD_DUR"))</f>
        <v/>
      </c>
      <c r="P470" s="80">
        <f>IF($A470="","",IFERROR(INDEX(Sheet1!$P:$P,MATCH($A470,Sheet1!$A:$A,0)),""))</f>
        <v/>
      </c>
      <c r="Q470" s="75">
        <f>IF($A470="","",IFERROR(INDEX(Company_desc!$C:$C,MATCH($A470,Company_desc!$A:$A,0)),IFERROR(INDEX(Sheet1!$Q:$Q,MATCH($A470,Sheet1!$A:$A,0)),"")))</f>
        <v/>
      </c>
      <c r="R470" s="75">
        <f>IF($A470="","",_xll.BDP($A470&amp;" Corp","CRNCY"))</f>
        <v/>
      </c>
      <c r="S470" s="75">
        <f>IF($A470="","",IFERROR(INDEX(Sheet1!$S:$S,MATCH($A470,Sheet1!$A:$A,0)),""))</f>
        <v/>
      </c>
      <c r="T470" s="75">
        <f>IF($A470="","",IFERROR(INDEX(Sheet1!$T:$T,MATCH($A470,Sheet1!$A:$A,0)),_xll.BDP($A470&amp;" Corp","RTG_SP")))</f>
        <v/>
      </c>
      <c r="U470" s="75">
        <f>IF($A470="","",IFERROR(INDEX(Sheet1!$U:$U,MATCH($A470,Sheet1!$A:$A,0)),""))</f>
        <v/>
      </c>
      <c r="W470" s="81">
        <f>IF($A470="","",N470-_xll.BDP($A470&amp;" Corp","YAS_OAS_SPRD","SETTLE_DT",Company_desc!$A$1))</f>
        <v/>
      </c>
      <c r="X470" s="81">
        <f>IF($A470="","",N470-_xll.BDP($A470&amp;" Corp","YAS_OAS_SPRD","SETTLE_DT",Company_desc!$A$2))</f>
        <v/>
      </c>
      <c r="Y470" s="80">
        <f>IF($A470="","",N470-_xll.BDP($A470&amp;" Corp","YAS_OAS_SPRD","SETTLE_DT",Company_desc!$D$1))</f>
        <v/>
      </c>
      <c r="Z470" s="82">
        <f>IF($A470="","",K470-_xll.BDP($A470&amp;" Corp","YAS_BOND_YLD","YAS_YLD_FLAG=15","SETTLE_DT",Company_desc!$D$1))</f>
        <v/>
      </c>
      <c r="AA470" s="80">
        <f>IF($A470="","",_xll.BDP($A470&amp;" Corp","YAS_OAS_SPRD","SETTLE_DT",Company_desc!$D$1))</f>
        <v/>
      </c>
    </row>
    <row r="471">
      <c r="B471" s="75">
        <f>IF($A471="","",IFERROR(INDEX(Sheet1!$B:$B,MATCH($A471,Sheet1!$A:$A,0)),""))</f>
        <v/>
      </c>
      <c r="C471" s="75">
        <f>IF($A471="","",PROPER(_xll.BDP($A471&amp;" Corp","NAME")))</f>
        <v/>
      </c>
      <c r="D471" s="76">
        <f>IF($A471="","",_xll.BDP($A471&amp;" Corp","CPN"))</f>
        <v/>
      </c>
      <c r="E471" s="75">
        <f>IF($A471="","",_xll.BDP($A471&amp;" Corp","PAYMENT_RANK"))</f>
        <v/>
      </c>
      <c r="F471" s="100">
        <f>IF($A471="","",_xll.BDP($A471&amp;" Corp","MATURITY"))</f>
        <v/>
      </c>
      <c r="G471" s="75">
        <f>IF($A471="","",PROPER(_xll.BDP($A471&amp;" Corp","COUNTRY_FULL_NAME")))</f>
        <v/>
      </c>
      <c r="H471" s="75">
        <f>IF($A471="","",_xll.BDP($A471&amp;" Corp","INDUSTRY_SECTOR"))</f>
        <v/>
      </c>
      <c r="I471" s="101">
        <f>IF($A471="","",IFERROR(_xll.BDP($A471&amp;" Corp","MIN_PIECE")/1000,""))</f>
        <v/>
      </c>
      <c r="J471" s="31">
        <f>IF($A471="","",_xll.BDP($A471&amp;" Corp","PX_LAST"))</f>
        <v/>
      </c>
      <c r="K471" s="31">
        <f>IF($A471="","",_xll.BDP($A471&amp;" Corp","YAS_BOND_YLD","YAS_YLD_FLAG=15"))</f>
        <v/>
      </c>
      <c r="L471" s="31">
        <f>IF($A471="","",K471-_xll.BDP($A471&amp;" Corp","YAS_BOND_YLD","YAS_YLD_FLAG=15","SETTLE_DT",Company_desc!$A$1))</f>
        <v/>
      </c>
      <c r="M471" s="31">
        <f>IF($A471="","",K471-_xll.BDP($A471&amp;" Corp","YAS_BOND_YLD","YAS_YLD_FLAG=15","SETTLE_DT",Company_desc!$A$2))</f>
        <v/>
      </c>
      <c r="N471" s="79">
        <f>IF($A471="","",_xll.BDP($A471&amp;" Corp","YAS_OAS_SPRD"))</f>
        <v/>
      </c>
      <c r="O471" s="67">
        <f>IF($A471="","",_xll.BDP($A471&amp;" Corp","YAS_MOD_DUR"))</f>
        <v/>
      </c>
      <c r="P471" s="80">
        <f>IF($A471="","",IFERROR(INDEX(Sheet1!$P:$P,MATCH($A471,Sheet1!$A:$A,0)),""))</f>
        <v/>
      </c>
      <c r="Q471" s="75">
        <f>IF($A471="","",IFERROR(INDEX(Company_desc!$C:$C,MATCH($A471,Company_desc!$A:$A,0)),IFERROR(INDEX(Sheet1!$Q:$Q,MATCH($A471,Sheet1!$A:$A,0)),"")))</f>
        <v/>
      </c>
      <c r="R471" s="75">
        <f>IF($A471="","",_xll.BDP($A471&amp;" Corp","CRNCY"))</f>
        <v/>
      </c>
      <c r="S471" s="75">
        <f>IF($A471="","",IFERROR(INDEX(Sheet1!$S:$S,MATCH($A471,Sheet1!$A:$A,0)),""))</f>
        <v/>
      </c>
      <c r="T471" s="75">
        <f>IF($A471="","",IFERROR(INDEX(Sheet1!$T:$T,MATCH($A471,Sheet1!$A:$A,0)),_xll.BDP($A471&amp;" Corp","RTG_SP")))</f>
        <v/>
      </c>
      <c r="U471" s="75">
        <f>IF($A471="","",IFERROR(INDEX(Sheet1!$U:$U,MATCH($A471,Sheet1!$A:$A,0)),""))</f>
        <v/>
      </c>
      <c r="W471" s="81">
        <f>IF($A471="","",N471-_xll.BDP($A471&amp;" Corp","YAS_OAS_SPRD","SETTLE_DT",Company_desc!$A$1))</f>
        <v/>
      </c>
      <c r="X471" s="81">
        <f>IF($A471="","",N471-_xll.BDP($A471&amp;" Corp","YAS_OAS_SPRD","SETTLE_DT",Company_desc!$A$2))</f>
        <v/>
      </c>
      <c r="Y471" s="80">
        <f>IF($A471="","",N471-_xll.BDP($A471&amp;" Corp","YAS_OAS_SPRD","SETTLE_DT",Company_desc!$D$1))</f>
        <v/>
      </c>
      <c r="Z471" s="82">
        <f>IF($A471="","",K471-_xll.BDP($A471&amp;" Corp","YAS_BOND_YLD","YAS_YLD_FLAG=15","SETTLE_DT",Company_desc!$D$1))</f>
        <v/>
      </c>
      <c r="AA471" s="80">
        <f>IF($A471="","",_xll.BDP($A471&amp;" Corp","YAS_OAS_SPRD","SETTLE_DT",Company_desc!$D$1))</f>
        <v/>
      </c>
    </row>
    <row r="472">
      <c r="B472" s="75">
        <f>IF($A472="","",IFERROR(INDEX(Sheet1!$B:$B,MATCH($A472,Sheet1!$A:$A,0)),""))</f>
        <v/>
      </c>
      <c r="C472" s="75">
        <f>IF($A472="","",PROPER(_xll.BDP($A472&amp;" Corp","NAME")))</f>
        <v/>
      </c>
      <c r="D472" s="76">
        <f>IF($A472="","",_xll.BDP($A472&amp;" Corp","CPN"))</f>
        <v/>
      </c>
      <c r="E472" s="75">
        <f>IF($A472="","",_xll.BDP($A472&amp;" Corp","PAYMENT_RANK"))</f>
        <v/>
      </c>
      <c r="F472" s="100">
        <f>IF($A472="","",_xll.BDP($A472&amp;" Corp","MATURITY"))</f>
        <v/>
      </c>
      <c r="G472" s="75">
        <f>IF($A472="","",PROPER(_xll.BDP($A472&amp;" Corp","COUNTRY_FULL_NAME")))</f>
        <v/>
      </c>
      <c r="H472" s="75">
        <f>IF($A472="","",_xll.BDP($A472&amp;" Corp","INDUSTRY_SECTOR"))</f>
        <v/>
      </c>
      <c r="I472" s="101">
        <f>IF($A472="","",IFERROR(_xll.BDP($A472&amp;" Corp","MIN_PIECE")/1000,""))</f>
        <v/>
      </c>
      <c r="J472" s="31">
        <f>IF($A472="","",_xll.BDP($A472&amp;" Corp","PX_LAST"))</f>
        <v/>
      </c>
      <c r="K472" s="31">
        <f>IF($A472="","",_xll.BDP($A472&amp;" Corp","YAS_BOND_YLD","YAS_YLD_FLAG=15"))</f>
        <v/>
      </c>
      <c r="L472" s="31">
        <f>IF($A472="","",K472-_xll.BDP($A472&amp;" Corp","YAS_BOND_YLD","YAS_YLD_FLAG=15","SETTLE_DT",Company_desc!$A$1))</f>
        <v/>
      </c>
      <c r="M472" s="31">
        <f>IF($A472="","",K472-_xll.BDP($A472&amp;" Corp","YAS_BOND_YLD","YAS_YLD_FLAG=15","SETTLE_DT",Company_desc!$A$2))</f>
        <v/>
      </c>
      <c r="N472" s="79">
        <f>IF($A472="","",_xll.BDP($A472&amp;" Corp","YAS_OAS_SPRD"))</f>
        <v/>
      </c>
      <c r="O472" s="67">
        <f>IF($A472="","",_xll.BDP($A472&amp;" Corp","YAS_MOD_DUR"))</f>
        <v/>
      </c>
      <c r="P472" s="80">
        <f>IF($A472="","",IFERROR(INDEX(Sheet1!$P:$P,MATCH($A472,Sheet1!$A:$A,0)),""))</f>
        <v/>
      </c>
      <c r="Q472" s="75">
        <f>IF($A472="","",IFERROR(INDEX(Company_desc!$C:$C,MATCH($A472,Company_desc!$A:$A,0)),IFERROR(INDEX(Sheet1!$Q:$Q,MATCH($A472,Sheet1!$A:$A,0)),"")))</f>
        <v/>
      </c>
      <c r="R472" s="75">
        <f>IF($A472="","",_xll.BDP($A472&amp;" Corp","CRNCY"))</f>
        <v/>
      </c>
      <c r="S472" s="75">
        <f>IF($A472="","",IFERROR(INDEX(Sheet1!$S:$S,MATCH($A472,Sheet1!$A:$A,0)),""))</f>
        <v/>
      </c>
      <c r="T472" s="75">
        <f>IF($A472="","",IFERROR(INDEX(Sheet1!$T:$T,MATCH($A472,Sheet1!$A:$A,0)),_xll.BDP($A472&amp;" Corp","RTG_SP")))</f>
        <v/>
      </c>
      <c r="U472" s="75">
        <f>IF($A472="","",IFERROR(INDEX(Sheet1!$U:$U,MATCH($A472,Sheet1!$A:$A,0)),""))</f>
        <v/>
      </c>
      <c r="W472" s="81">
        <f>IF($A472="","",N472-_xll.BDP($A472&amp;" Corp","YAS_OAS_SPRD","SETTLE_DT",Company_desc!$A$1))</f>
        <v/>
      </c>
      <c r="X472" s="81">
        <f>IF($A472="","",N472-_xll.BDP($A472&amp;" Corp","YAS_OAS_SPRD","SETTLE_DT",Company_desc!$A$2))</f>
        <v/>
      </c>
      <c r="Y472" s="80">
        <f>IF($A472="","",N472-_xll.BDP($A472&amp;" Corp","YAS_OAS_SPRD","SETTLE_DT",Company_desc!$D$1))</f>
        <v/>
      </c>
      <c r="Z472" s="82">
        <f>IF($A472="","",K472-_xll.BDP($A472&amp;" Corp","YAS_BOND_YLD","YAS_YLD_FLAG=15","SETTLE_DT",Company_desc!$D$1))</f>
        <v/>
      </c>
      <c r="AA472" s="80">
        <f>IF($A472="","",_xll.BDP($A472&amp;" Corp","YAS_OAS_SPRD","SETTLE_DT",Company_desc!$D$1))</f>
        <v/>
      </c>
    </row>
    <row r="473">
      <c r="B473" s="75">
        <f>IF($A473="","",IFERROR(INDEX(Sheet1!$B:$B,MATCH($A473,Sheet1!$A:$A,0)),""))</f>
        <v/>
      </c>
      <c r="C473" s="75">
        <f>IF($A473="","",PROPER(_xll.BDP($A473&amp;" Corp","NAME")))</f>
        <v/>
      </c>
      <c r="D473" s="76">
        <f>IF($A473="","",_xll.BDP($A473&amp;" Corp","CPN"))</f>
        <v/>
      </c>
      <c r="E473" s="75">
        <f>IF($A473="","",_xll.BDP($A473&amp;" Corp","PAYMENT_RANK"))</f>
        <v/>
      </c>
      <c r="F473" s="100">
        <f>IF($A473="","",_xll.BDP($A473&amp;" Corp","MATURITY"))</f>
        <v/>
      </c>
      <c r="G473" s="75">
        <f>IF($A473="","",PROPER(_xll.BDP($A473&amp;" Corp","COUNTRY_FULL_NAME")))</f>
        <v/>
      </c>
      <c r="H473" s="75">
        <f>IF($A473="","",_xll.BDP($A473&amp;" Corp","INDUSTRY_SECTOR"))</f>
        <v/>
      </c>
      <c r="I473" s="101">
        <f>IF($A473="","",IFERROR(_xll.BDP($A473&amp;" Corp","MIN_PIECE")/1000,""))</f>
        <v/>
      </c>
      <c r="J473" s="31">
        <f>IF($A473="","",_xll.BDP($A473&amp;" Corp","PX_LAST"))</f>
        <v/>
      </c>
      <c r="K473" s="31">
        <f>IF($A473="","",_xll.BDP($A473&amp;" Corp","YAS_BOND_YLD","YAS_YLD_FLAG=15"))</f>
        <v/>
      </c>
      <c r="L473" s="31">
        <f>IF($A473="","",K473-_xll.BDP($A473&amp;" Corp","YAS_BOND_YLD","YAS_YLD_FLAG=15","SETTLE_DT",Company_desc!$A$1))</f>
        <v/>
      </c>
      <c r="M473" s="31">
        <f>IF($A473="","",K473-_xll.BDP($A473&amp;" Corp","YAS_BOND_YLD","YAS_YLD_FLAG=15","SETTLE_DT",Company_desc!$A$2))</f>
        <v/>
      </c>
      <c r="N473" s="79">
        <f>IF($A473="","",_xll.BDP($A473&amp;" Corp","YAS_OAS_SPRD"))</f>
        <v/>
      </c>
      <c r="O473" s="67">
        <f>IF($A473="","",_xll.BDP($A473&amp;" Corp","YAS_MOD_DUR"))</f>
        <v/>
      </c>
      <c r="P473" s="80">
        <f>IF($A473="","",IFERROR(INDEX(Sheet1!$P:$P,MATCH($A473,Sheet1!$A:$A,0)),""))</f>
        <v/>
      </c>
      <c r="Q473" s="75">
        <f>IF($A473="","",IFERROR(INDEX(Company_desc!$C:$C,MATCH($A473,Company_desc!$A:$A,0)),IFERROR(INDEX(Sheet1!$Q:$Q,MATCH($A473,Sheet1!$A:$A,0)),"")))</f>
        <v/>
      </c>
      <c r="R473" s="75">
        <f>IF($A473="","",_xll.BDP($A473&amp;" Corp","CRNCY"))</f>
        <v/>
      </c>
      <c r="S473" s="75">
        <f>IF($A473="","",IFERROR(INDEX(Sheet1!$S:$S,MATCH($A473,Sheet1!$A:$A,0)),""))</f>
        <v/>
      </c>
      <c r="T473" s="75">
        <f>IF($A473="","",IFERROR(INDEX(Sheet1!$T:$T,MATCH($A473,Sheet1!$A:$A,0)),_xll.BDP($A473&amp;" Corp","RTG_SP")))</f>
        <v/>
      </c>
      <c r="U473" s="75">
        <f>IF($A473="","",IFERROR(INDEX(Sheet1!$U:$U,MATCH($A473,Sheet1!$A:$A,0)),""))</f>
        <v/>
      </c>
      <c r="W473" s="81">
        <f>IF($A473="","",N473-_xll.BDP($A473&amp;" Corp","YAS_OAS_SPRD","SETTLE_DT",Company_desc!$A$1))</f>
        <v/>
      </c>
      <c r="X473" s="81">
        <f>IF($A473="","",N473-_xll.BDP($A473&amp;" Corp","YAS_OAS_SPRD","SETTLE_DT",Company_desc!$A$2))</f>
        <v/>
      </c>
      <c r="Y473" s="80">
        <f>IF($A473="","",N473-_xll.BDP($A473&amp;" Corp","YAS_OAS_SPRD","SETTLE_DT",Company_desc!$D$1))</f>
        <v/>
      </c>
      <c r="Z473" s="82">
        <f>IF($A473="","",K473-_xll.BDP($A473&amp;" Corp","YAS_BOND_YLD","YAS_YLD_FLAG=15","SETTLE_DT",Company_desc!$D$1))</f>
        <v/>
      </c>
      <c r="AA473" s="80">
        <f>IF($A473="","",_xll.BDP($A473&amp;" Corp","YAS_OAS_SPRD","SETTLE_DT",Company_desc!$D$1))</f>
        <v/>
      </c>
    </row>
    <row r="474">
      <c r="B474" s="75">
        <f>IF($A474="","",IFERROR(INDEX(Sheet1!$B:$B,MATCH($A474,Sheet1!$A:$A,0)),""))</f>
        <v/>
      </c>
      <c r="C474" s="75">
        <f>IF($A474="","",PROPER(_xll.BDP($A474&amp;" Corp","NAME")))</f>
        <v/>
      </c>
      <c r="D474" s="76">
        <f>IF($A474="","",_xll.BDP($A474&amp;" Corp","CPN"))</f>
        <v/>
      </c>
      <c r="E474" s="75">
        <f>IF($A474="","",_xll.BDP($A474&amp;" Corp","PAYMENT_RANK"))</f>
        <v/>
      </c>
      <c r="F474" s="100">
        <f>IF($A474="","",_xll.BDP($A474&amp;" Corp","MATURITY"))</f>
        <v/>
      </c>
      <c r="G474" s="75">
        <f>IF($A474="","",PROPER(_xll.BDP($A474&amp;" Corp","COUNTRY_FULL_NAME")))</f>
        <v/>
      </c>
      <c r="H474" s="75">
        <f>IF($A474="","",_xll.BDP($A474&amp;" Corp","INDUSTRY_SECTOR"))</f>
        <v/>
      </c>
      <c r="I474" s="101">
        <f>IF($A474="","",IFERROR(_xll.BDP($A474&amp;" Corp","MIN_PIECE")/1000,""))</f>
        <v/>
      </c>
      <c r="J474" s="31">
        <f>IF($A474="","",_xll.BDP($A474&amp;" Corp","PX_LAST"))</f>
        <v/>
      </c>
      <c r="K474" s="31">
        <f>IF($A474="","",_xll.BDP($A474&amp;" Corp","YAS_BOND_YLD","YAS_YLD_FLAG=15"))</f>
        <v/>
      </c>
      <c r="L474" s="31">
        <f>IF($A474="","",K474-_xll.BDP($A474&amp;" Corp","YAS_BOND_YLD","YAS_YLD_FLAG=15","SETTLE_DT",Company_desc!$A$1))</f>
        <v/>
      </c>
      <c r="M474" s="31">
        <f>IF($A474="","",K474-_xll.BDP($A474&amp;" Corp","YAS_BOND_YLD","YAS_YLD_FLAG=15","SETTLE_DT",Company_desc!$A$2))</f>
        <v/>
      </c>
      <c r="N474" s="79">
        <f>IF($A474="","",_xll.BDP($A474&amp;" Corp","YAS_OAS_SPRD"))</f>
        <v/>
      </c>
      <c r="O474" s="67">
        <f>IF($A474="","",_xll.BDP($A474&amp;" Corp","YAS_MOD_DUR"))</f>
        <v/>
      </c>
      <c r="P474" s="80">
        <f>IF($A474="","",IFERROR(INDEX(Sheet1!$P:$P,MATCH($A474,Sheet1!$A:$A,0)),""))</f>
        <v/>
      </c>
      <c r="Q474" s="75">
        <f>IF($A474="","",IFERROR(INDEX(Company_desc!$C:$C,MATCH($A474,Company_desc!$A:$A,0)),IFERROR(INDEX(Sheet1!$Q:$Q,MATCH($A474,Sheet1!$A:$A,0)),"")))</f>
        <v/>
      </c>
      <c r="R474" s="75">
        <f>IF($A474="","",_xll.BDP($A474&amp;" Corp","CRNCY"))</f>
        <v/>
      </c>
      <c r="S474" s="75">
        <f>IF($A474="","",IFERROR(INDEX(Sheet1!$S:$S,MATCH($A474,Sheet1!$A:$A,0)),""))</f>
        <v/>
      </c>
      <c r="T474" s="75">
        <f>IF($A474="","",IFERROR(INDEX(Sheet1!$T:$T,MATCH($A474,Sheet1!$A:$A,0)),_xll.BDP($A474&amp;" Corp","RTG_SP")))</f>
        <v/>
      </c>
      <c r="U474" s="75">
        <f>IF($A474="","",IFERROR(INDEX(Sheet1!$U:$U,MATCH($A474,Sheet1!$A:$A,0)),""))</f>
        <v/>
      </c>
      <c r="W474" s="81">
        <f>IF($A474="","",N474-_xll.BDP($A474&amp;" Corp","YAS_OAS_SPRD","SETTLE_DT",Company_desc!$A$1))</f>
        <v/>
      </c>
      <c r="X474" s="81">
        <f>IF($A474="","",N474-_xll.BDP($A474&amp;" Corp","YAS_OAS_SPRD","SETTLE_DT",Company_desc!$A$2))</f>
        <v/>
      </c>
      <c r="Y474" s="80">
        <f>IF($A474="","",N474-_xll.BDP($A474&amp;" Corp","YAS_OAS_SPRD","SETTLE_DT",Company_desc!$D$1))</f>
        <v/>
      </c>
      <c r="Z474" s="82">
        <f>IF($A474="","",K474-_xll.BDP($A474&amp;" Corp","YAS_BOND_YLD","YAS_YLD_FLAG=15","SETTLE_DT",Company_desc!$D$1))</f>
        <v/>
      </c>
      <c r="AA474" s="80">
        <f>IF($A474="","",_xll.BDP($A474&amp;" Corp","YAS_OAS_SPRD","SETTLE_DT",Company_desc!$D$1))</f>
        <v/>
      </c>
    </row>
    <row r="475">
      <c r="B475" s="75">
        <f>IF($A475="","",IFERROR(INDEX(Sheet1!$B:$B,MATCH($A475,Sheet1!$A:$A,0)),""))</f>
        <v/>
      </c>
      <c r="C475" s="75">
        <f>IF($A475="","",PROPER(_xll.BDP($A475&amp;" Corp","NAME")))</f>
        <v/>
      </c>
      <c r="D475" s="76">
        <f>IF($A475="","",_xll.BDP($A475&amp;" Corp","CPN"))</f>
        <v/>
      </c>
      <c r="E475" s="75">
        <f>IF($A475="","",_xll.BDP($A475&amp;" Corp","PAYMENT_RANK"))</f>
        <v/>
      </c>
      <c r="F475" s="100">
        <f>IF($A475="","",_xll.BDP($A475&amp;" Corp","MATURITY"))</f>
        <v/>
      </c>
      <c r="G475" s="75">
        <f>IF($A475="","",PROPER(_xll.BDP($A475&amp;" Corp","COUNTRY_FULL_NAME")))</f>
        <v/>
      </c>
      <c r="H475" s="75">
        <f>IF($A475="","",_xll.BDP($A475&amp;" Corp","INDUSTRY_SECTOR"))</f>
        <v/>
      </c>
      <c r="I475" s="101">
        <f>IF($A475="","",IFERROR(_xll.BDP($A475&amp;" Corp","MIN_PIECE")/1000,""))</f>
        <v/>
      </c>
      <c r="J475" s="31">
        <f>IF($A475="","",_xll.BDP($A475&amp;" Corp","PX_LAST"))</f>
        <v/>
      </c>
      <c r="K475" s="31">
        <f>IF($A475="","",_xll.BDP($A475&amp;" Corp","YAS_BOND_YLD","YAS_YLD_FLAG=15"))</f>
        <v/>
      </c>
      <c r="L475" s="31">
        <f>IF($A475="","",K475-_xll.BDP($A475&amp;" Corp","YAS_BOND_YLD","YAS_YLD_FLAG=15","SETTLE_DT",Company_desc!$A$1))</f>
        <v/>
      </c>
      <c r="M475" s="31">
        <f>IF($A475="","",K475-_xll.BDP($A475&amp;" Corp","YAS_BOND_YLD","YAS_YLD_FLAG=15","SETTLE_DT",Company_desc!$A$2))</f>
        <v/>
      </c>
      <c r="N475" s="79">
        <f>IF($A475="","",_xll.BDP($A475&amp;" Corp","YAS_OAS_SPRD"))</f>
        <v/>
      </c>
      <c r="O475" s="67">
        <f>IF($A475="","",_xll.BDP($A475&amp;" Corp","YAS_MOD_DUR"))</f>
        <v/>
      </c>
      <c r="P475" s="80">
        <f>IF($A475="","",IFERROR(INDEX(Sheet1!$P:$P,MATCH($A475,Sheet1!$A:$A,0)),""))</f>
        <v/>
      </c>
      <c r="Q475" s="75">
        <f>IF($A475="","",IFERROR(INDEX(Company_desc!$C:$C,MATCH($A475,Company_desc!$A:$A,0)),IFERROR(INDEX(Sheet1!$Q:$Q,MATCH($A475,Sheet1!$A:$A,0)),"")))</f>
        <v/>
      </c>
      <c r="R475" s="75">
        <f>IF($A475="","",_xll.BDP($A475&amp;" Corp","CRNCY"))</f>
        <v/>
      </c>
      <c r="S475" s="75">
        <f>IF($A475="","",IFERROR(INDEX(Sheet1!$S:$S,MATCH($A475,Sheet1!$A:$A,0)),""))</f>
        <v/>
      </c>
      <c r="T475" s="75">
        <f>IF($A475="","",IFERROR(INDEX(Sheet1!$T:$T,MATCH($A475,Sheet1!$A:$A,0)),_xll.BDP($A475&amp;" Corp","RTG_SP")))</f>
        <v/>
      </c>
      <c r="U475" s="75">
        <f>IF($A475="","",IFERROR(INDEX(Sheet1!$U:$U,MATCH($A475,Sheet1!$A:$A,0)),""))</f>
        <v/>
      </c>
      <c r="W475" s="81">
        <f>IF($A475="","",N475-_xll.BDP($A475&amp;" Corp","YAS_OAS_SPRD","SETTLE_DT",Company_desc!$A$1))</f>
        <v/>
      </c>
      <c r="X475" s="81">
        <f>IF($A475="","",N475-_xll.BDP($A475&amp;" Corp","YAS_OAS_SPRD","SETTLE_DT",Company_desc!$A$2))</f>
        <v/>
      </c>
      <c r="Y475" s="80">
        <f>IF($A475="","",N475-_xll.BDP($A475&amp;" Corp","YAS_OAS_SPRD","SETTLE_DT",Company_desc!$D$1))</f>
        <v/>
      </c>
      <c r="Z475" s="82">
        <f>IF($A475="","",K475-_xll.BDP($A475&amp;" Corp","YAS_BOND_YLD","YAS_YLD_FLAG=15","SETTLE_DT",Company_desc!$D$1))</f>
        <v/>
      </c>
      <c r="AA475" s="80">
        <f>IF($A475="","",_xll.BDP($A475&amp;" Corp","YAS_OAS_SPRD","SETTLE_DT",Company_desc!$D$1))</f>
        <v/>
      </c>
    </row>
    <row r="476">
      <c r="B476" s="75">
        <f>IF($A476="","",IFERROR(INDEX(Sheet1!$B:$B,MATCH($A476,Sheet1!$A:$A,0)),""))</f>
        <v/>
      </c>
      <c r="C476" s="75">
        <f>IF($A476="","",PROPER(_xll.BDP($A476&amp;" Corp","NAME")))</f>
        <v/>
      </c>
      <c r="D476" s="76">
        <f>IF($A476="","",_xll.BDP($A476&amp;" Corp","CPN"))</f>
        <v/>
      </c>
      <c r="E476" s="75">
        <f>IF($A476="","",_xll.BDP($A476&amp;" Corp","PAYMENT_RANK"))</f>
        <v/>
      </c>
      <c r="F476" s="100">
        <f>IF($A476="","",_xll.BDP($A476&amp;" Corp","MATURITY"))</f>
        <v/>
      </c>
      <c r="G476" s="75">
        <f>IF($A476="","",PROPER(_xll.BDP($A476&amp;" Corp","COUNTRY_FULL_NAME")))</f>
        <v/>
      </c>
      <c r="H476" s="75">
        <f>IF($A476="","",_xll.BDP($A476&amp;" Corp","INDUSTRY_SECTOR"))</f>
        <v/>
      </c>
      <c r="I476" s="101">
        <f>IF($A476="","",IFERROR(_xll.BDP($A476&amp;" Corp","MIN_PIECE")/1000,""))</f>
        <v/>
      </c>
      <c r="J476" s="31">
        <f>IF($A476="","",_xll.BDP($A476&amp;" Corp","PX_LAST"))</f>
        <v/>
      </c>
      <c r="K476" s="31">
        <f>IF($A476="","",_xll.BDP($A476&amp;" Corp","YAS_BOND_YLD","YAS_YLD_FLAG=15"))</f>
        <v/>
      </c>
      <c r="L476" s="31">
        <f>IF($A476="","",K476-_xll.BDP($A476&amp;" Corp","YAS_BOND_YLD","YAS_YLD_FLAG=15","SETTLE_DT",Company_desc!$A$1))</f>
        <v/>
      </c>
      <c r="M476" s="31">
        <f>IF($A476="","",K476-_xll.BDP($A476&amp;" Corp","YAS_BOND_YLD","YAS_YLD_FLAG=15","SETTLE_DT",Company_desc!$A$2))</f>
        <v/>
      </c>
      <c r="N476" s="79">
        <f>IF($A476="","",_xll.BDP($A476&amp;" Corp","YAS_OAS_SPRD"))</f>
        <v/>
      </c>
      <c r="O476" s="67">
        <f>IF($A476="","",_xll.BDP($A476&amp;" Corp","YAS_MOD_DUR"))</f>
        <v/>
      </c>
      <c r="P476" s="80">
        <f>IF($A476="","",IFERROR(INDEX(Sheet1!$P:$P,MATCH($A476,Sheet1!$A:$A,0)),""))</f>
        <v/>
      </c>
      <c r="Q476" s="75">
        <f>IF($A476="","",IFERROR(INDEX(Company_desc!$C:$C,MATCH($A476,Company_desc!$A:$A,0)),IFERROR(INDEX(Sheet1!$Q:$Q,MATCH($A476,Sheet1!$A:$A,0)),"")))</f>
        <v/>
      </c>
      <c r="R476" s="75">
        <f>IF($A476="","",_xll.BDP($A476&amp;" Corp","CRNCY"))</f>
        <v/>
      </c>
      <c r="S476" s="75">
        <f>IF($A476="","",IFERROR(INDEX(Sheet1!$S:$S,MATCH($A476,Sheet1!$A:$A,0)),""))</f>
        <v/>
      </c>
      <c r="T476" s="75">
        <f>IF($A476="","",IFERROR(INDEX(Sheet1!$T:$T,MATCH($A476,Sheet1!$A:$A,0)),_xll.BDP($A476&amp;" Corp","RTG_SP")))</f>
        <v/>
      </c>
      <c r="U476" s="75">
        <f>IF($A476="","",IFERROR(INDEX(Sheet1!$U:$U,MATCH($A476,Sheet1!$A:$A,0)),""))</f>
        <v/>
      </c>
      <c r="W476" s="81">
        <f>IF($A476="","",N476-_xll.BDP($A476&amp;" Corp","YAS_OAS_SPRD","SETTLE_DT",Company_desc!$A$1))</f>
        <v/>
      </c>
      <c r="X476" s="81">
        <f>IF($A476="","",N476-_xll.BDP($A476&amp;" Corp","YAS_OAS_SPRD","SETTLE_DT",Company_desc!$A$2))</f>
        <v/>
      </c>
      <c r="Y476" s="80">
        <f>IF($A476="","",N476-_xll.BDP($A476&amp;" Corp","YAS_OAS_SPRD","SETTLE_DT",Company_desc!$D$1))</f>
        <v/>
      </c>
      <c r="Z476" s="82">
        <f>IF($A476="","",K476-_xll.BDP($A476&amp;" Corp","YAS_BOND_YLD","YAS_YLD_FLAG=15","SETTLE_DT",Company_desc!$D$1))</f>
        <v/>
      </c>
      <c r="AA476" s="80">
        <f>IF($A476="","",_xll.BDP($A476&amp;" Corp","YAS_OAS_SPRD","SETTLE_DT",Company_desc!$D$1))</f>
        <v/>
      </c>
    </row>
    <row r="477">
      <c r="B477" s="75">
        <f>IF($A477="","",IFERROR(INDEX(Sheet1!$B:$B,MATCH($A477,Sheet1!$A:$A,0)),""))</f>
        <v/>
      </c>
      <c r="C477" s="75">
        <f>IF($A477="","",PROPER(_xll.BDP($A477&amp;" Corp","NAME")))</f>
        <v/>
      </c>
      <c r="D477" s="76">
        <f>IF($A477="","",_xll.BDP($A477&amp;" Corp","CPN"))</f>
        <v/>
      </c>
      <c r="E477" s="75">
        <f>IF($A477="","",_xll.BDP($A477&amp;" Corp","PAYMENT_RANK"))</f>
        <v/>
      </c>
      <c r="F477" s="100">
        <f>IF($A477="","",_xll.BDP($A477&amp;" Corp","MATURITY"))</f>
        <v/>
      </c>
      <c r="G477" s="75">
        <f>IF($A477="","",PROPER(_xll.BDP($A477&amp;" Corp","COUNTRY_FULL_NAME")))</f>
        <v/>
      </c>
      <c r="H477" s="75">
        <f>IF($A477="","",_xll.BDP($A477&amp;" Corp","INDUSTRY_SECTOR"))</f>
        <v/>
      </c>
      <c r="I477" s="101">
        <f>IF($A477="","",IFERROR(_xll.BDP($A477&amp;" Corp","MIN_PIECE")/1000,""))</f>
        <v/>
      </c>
      <c r="J477" s="31">
        <f>IF($A477="","",_xll.BDP($A477&amp;" Corp","PX_LAST"))</f>
        <v/>
      </c>
      <c r="K477" s="31">
        <f>IF($A477="","",_xll.BDP($A477&amp;" Corp","YAS_BOND_YLD","YAS_YLD_FLAG=15"))</f>
        <v/>
      </c>
      <c r="L477" s="31">
        <f>IF($A477="","",K477-_xll.BDP($A477&amp;" Corp","YAS_BOND_YLD","YAS_YLD_FLAG=15","SETTLE_DT",Company_desc!$A$1))</f>
        <v/>
      </c>
      <c r="M477" s="31">
        <f>IF($A477="","",K477-_xll.BDP($A477&amp;" Corp","YAS_BOND_YLD","YAS_YLD_FLAG=15","SETTLE_DT",Company_desc!$A$2))</f>
        <v/>
      </c>
      <c r="N477" s="79">
        <f>IF($A477="","",_xll.BDP($A477&amp;" Corp","YAS_OAS_SPRD"))</f>
        <v/>
      </c>
      <c r="O477" s="67">
        <f>IF($A477="","",_xll.BDP($A477&amp;" Corp","YAS_MOD_DUR"))</f>
        <v/>
      </c>
      <c r="P477" s="80">
        <f>IF($A477="","",IFERROR(INDEX(Sheet1!$P:$P,MATCH($A477,Sheet1!$A:$A,0)),""))</f>
        <v/>
      </c>
      <c r="Q477" s="75">
        <f>IF($A477="","",IFERROR(INDEX(Company_desc!$C:$C,MATCH($A477,Company_desc!$A:$A,0)),IFERROR(INDEX(Sheet1!$Q:$Q,MATCH($A477,Sheet1!$A:$A,0)),"")))</f>
        <v/>
      </c>
      <c r="R477" s="75">
        <f>IF($A477="","",_xll.BDP($A477&amp;" Corp","CRNCY"))</f>
        <v/>
      </c>
      <c r="S477" s="75">
        <f>IF($A477="","",IFERROR(INDEX(Sheet1!$S:$S,MATCH($A477,Sheet1!$A:$A,0)),""))</f>
        <v/>
      </c>
      <c r="T477" s="75">
        <f>IF($A477="","",IFERROR(INDEX(Sheet1!$T:$T,MATCH($A477,Sheet1!$A:$A,0)),_xll.BDP($A477&amp;" Corp","RTG_SP")))</f>
        <v/>
      </c>
      <c r="U477" s="75">
        <f>IF($A477="","",IFERROR(INDEX(Sheet1!$U:$U,MATCH($A477,Sheet1!$A:$A,0)),""))</f>
        <v/>
      </c>
      <c r="W477" s="81">
        <f>IF($A477="","",N477-_xll.BDP($A477&amp;" Corp","YAS_OAS_SPRD","SETTLE_DT",Company_desc!$A$1))</f>
        <v/>
      </c>
      <c r="X477" s="81">
        <f>IF($A477="","",N477-_xll.BDP($A477&amp;" Corp","YAS_OAS_SPRD","SETTLE_DT",Company_desc!$A$2))</f>
        <v/>
      </c>
      <c r="Y477" s="80">
        <f>IF($A477="","",N477-_xll.BDP($A477&amp;" Corp","YAS_OAS_SPRD","SETTLE_DT",Company_desc!$D$1))</f>
        <v/>
      </c>
      <c r="Z477" s="82">
        <f>IF($A477="","",K477-_xll.BDP($A477&amp;" Corp","YAS_BOND_YLD","YAS_YLD_FLAG=15","SETTLE_DT",Company_desc!$D$1))</f>
        <v/>
      </c>
      <c r="AA477" s="80">
        <f>IF($A477="","",_xll.BDP($A477&amp;" Corp","YAS_OAS_SPRD","SETTLE_DT",Company_desc!$D$1))</f>
        <v/>
      </c>
    </row>
    <row r="478">
      <c r="B478" s="75">
        <f>IF($A478="","",IFERROR(INDEX(Sheet1!$B:$B,MATCH($A478,Sheet1!$A:$A,0)),""))</f>
        <v/>
      </c>
      <c r="C478" s="75">
        <f>IF($A478="","",PROPER(_xll.BDP($A478&amp;" Corp","NAME")))</f>
        <v/>
      </c>
      <c r="D478" s="76">
        <f>IF($A478="","",_xll.BDP($A478&amp;" Corp","CPN"))</f>
        <v/>
      </c>
      <c r="E478" s="75">
        <f>IF($A478="","",_xll.BDP($A478&amp;" Corp","PAYMENT_RANK"))</f>
        <v/>
      </c>
      <c r="F478" s="100">
        <f>IF($A478="","",_xll.BDP($A478&amp;" Corp","MATURITY"))</f>
        <v/>
      </c>
      <c r="G478" s="75">
        <f>IF($A478="","",PROPER(_xll.BDP($A478&amp;" Corp","COUNTRY_FULL_NAME")))</f>
        <v/>
      </c>
      <c r="H478" s="75">
        <f>IF($A478="","",_xll.BDP($A478&amp;" Corp","INDUSTRY_SECTOR"))</f>
        <v/>
      </c>
      <c r="I478" s="101">
        <f>IF($A478="","",IFERROR(_xll.BDP($A478&amp;" Corp","MIN_PIECE")/1000,""))</f>
        <v/>
      </c>
      <c r="J478" s="31">
        <f>IF($A478="","",_xll.BDP($A478&amp;" Corp","PX_LAST"))</f>
        <v/>
      </c>
      <c r="K478" s="31">
        <f>IF($A478="","",_xll.BDP($A478&amp;" Corp","YAS_BOND_YLD","YAS_YLD_FLAG=15"))</f>
        <v/>
      </c>
      <c r="L478" s="31">
        <f>IF($A478="","",K478-_xll.BDP($A478&amp;" Corp","YAS_BOND_YLD","YAS_YLD_FLAG=15","SETTLE_DT",Company_desc!$A$1))</f>
        <v/>
      </c>
      <c r="M478" s="31">
        <f>IF($A478="","",K478-_xll.BDP($A478&amp;" Corp","YAS_BOND_YLD","YAS_YLD_FLAG=15","SETTLE_DT",Company_desc!$A$2))</f>
        <v/>
      </c>
      <c r="N478" s="79">
        <f>IF($A478="","",_xll.BDP($A478&amp;" Corp","YAS_OAS_SPRD"))</f>
        <v/>
      </c>
      <c r="O478" s="67">
        <f>IF($A478="","",_xll.BDP($A478&amp;" Corp","YAS_MOD_DUR"))</f>
        <v/>
      </c>
      <c r="P478" s="80">
        <f>IF($A478="","",IFERROR(INDEX(Sheet1!$P:$P,MATCH($A478,Sheet1!$A:$A,0)),""))</f>
        <v/>
      </c>
      <c r="Q478" s="75">
        <f>IF($A478="","",IFERROR(INDEX(Company_desc!$C:$C,MATCH($A478,Company_desc!$A:$A,0)),IFERROR(INDEX(Sheet1!$Q:$Q,MATCH($A478,Sheet1!$A:$A,0)),"")))</f>
        <v/>
      </c>
      <c r="R478" s="75">
        <f>IF($A478="","",_xll.BDP($A478&amp;" Corp","CRNCY"))</f>
        <v/>
      </c>
      <c r="S478" s="75">
        <f>IF($A478="","",IFERROR(INDEX(Sheet1!$S:$S,MATCH($A478,Sheet1!$A:$A,0)),""))</f>
        <v/>
      </c>
      <c r="T478" s="75">
        <f>IF($A478="","",IFERROR(INDEX(Sheet1!$T:$T,MATCH($A478,Sheet1!$A:$A,0)),_xll.BDP($A478&amp;" Corp","RTG_SP")))</f>
        <v/>
      </c>
      <c r="U478" s="75">
        <f>IF($A478="","",IFERROR(INDEX(Sheet1!$U:$U,MATCH($A478,Sheet1!$A:$A,0)),""))</f>
        <v/>
      </c>
      <c r="W478" s="81">
        <f>IF($A478="","",N478-_xll.BDP($A478&amp;" Corp","YAS_OAS_SPRD","SETTLE_DT",Company_desc!$A$1))</f>
        <v/>
      </c>
      <c r="X478" s="81">
        <f>IF($A478="","",N478-_xll.BDP($A478&amp;" Corp","YAS_OAS_SPRD","SETTLE_DT",Company_desc!$A$2))</f>
        <v/>
      </c>
      <c r="Y478" s="80">
        <f>IF($A478="","",N478-_xll.BDP($A478&amp;" Corp","YAS_OAS_SPRD","SETTLE_DT",Company_desc!$D$1))</f>
        <v/>
      </c>
      <c r="Z478" s="82">
        <f>IF($A478="","",K478-_xll.BDP($A478&amp;" Corp","YAS_BOND_YLD","YAS_YLD_FLAG=15","SETTLE_DT",Company_desc!$D$1))</f>
        <v/>
      </c>
      <c r="AA478" s="80">
        <f>IF($A478="","",_xll.BDP($A478&amp;" Corp","YAS_OAS_SPRD","SETTLE_DT",Company_desc!$D$1))</f>
        <v/>
      </c>
    </row>
    <row r="479">
      <c r="B479" s="75">
        <f>IF($A479="","",IFERROR(INDEX(Sheet1!$B:$B,MATCH($A479,Sheet1!$A:$A,0)),""))</f>
        <v/>
      </c>
      <c r="C479" s="75">
        <f>IF($A479="","",PROPER(_xll.BDP($A479&amp;" Corp","NAME")))</f>
        <v/>
      </c>
      <c r="D479" s="76">
        <f>IF($A479="","",_xll.BDP($A479&amp;" Corp","CPN"))</f>
        <v/>
      </c>
      <c r="E479" s="75">
        <f>IF($A479="","",_xll.BDP($A479&amp;" Corp","PAYMENT_RANK"))</f>
        <v/>
      </c>
      <c r="F479" s="100">
        <f>IF($A479="","",_xll.BDP($A479&amp;" Corp","MATURITY"))</f>
        <v/>
      </c>
      <c r="G479" s="75">
        <f>IF($A479="","",PROPER(_xll.BDP($A479&amp;" Corp","COUNTRY_FULL_NAME")))</f>
        <v/>
      </c>
      <c r="H479" s="75">
        <f>IF($A479="","",_xll.BDP($A479&amp;" Corp","INDUSTRY_SECTOR"))</f>
        <v/>
      </c>
      <c r="I479" s="101">
        <f>IF($A479="","",IFERROR(_xll.BDP($A479&amp;" Corp","MIN_PIECE")/1000,""))</f>
        <v/>
      </c>
      <c r="J479" s="31">
        <f>IF($A479="","",_xll.BDP($A479&amp;" Corp","PX_LAST"))</f>
        <v/>
      </c>
      <c r="K479" s="31">
        <f>IF($A479="","",_xll.BDP($A479&amp;" Corp","YAS_BOND_YLD","YAS_YLD_FLAG=15"))</f>
        <v/>
      </c>
      <c r="L479" s="31">
        <f>IF($A479="","",K479-_xll.BDP($A479&amp;" Corp","YAS_BOND_YLD","YAS_YLD_FLAG=15","SETTLE_DT",Company_desc!$A$1))</f>
        <v/>
      </c>
      <c r="M479" s="31">
        <f>IF($A479="","",K479-_xll.BDP($A479&amp;" Corp","YAS_BOND_YLD","YAS_YLD_FLAG=15","SETTLE_DT",Company_desc!$A$2))</f>
        <v/>
      </c>
      <c r="N479" s="79">
        <f>IF($A479="","",_xll.BDP($A479&amp;" Corp","YAS_OAS_SPRD"))</f>
        <v/>
      </c>
      <c r="O479" s="67">
        <f>IF($A479="","",_xll.BDP($A479&amp;" Corp","YAS_MOD_DUR"))</f>
        <v/>
      </c>
      <c r="P479" s="80">
        <f>IF($A479="","",IFERROR(INDEX(Sheet1!$P:$P,MATCH($A479,Sheet1!$A:$A,0)),""))</f>
        <v/>
      </c>
      <c r="Q479" s="75">
        <f>IF($A479="","",IFERROR(INDEX(Company_desc!$C:$C,MATCH($A479,Company_desc!$A:$A,0)),IFERROR(INDEX(Sheet1!$Q:$Q,MATCH($A479,Sheet1!$A:$A,0)),"")))</f>
        <v/>
      </c>
      <c r="R479" s="75">
        <f>IF($A479="","",_xll.BDP($A479&amp;" Corp","CRNCY"))</f>
        <v/>
      </c>
      <c r="S479" s="75">
        <f>IF($A479="","",IFERROR(INDEX(Sheet1!$S:$S,MATCH($A479,Sheet1!$A:$A,0)),""))</f>
        <v/>
      </c>
      <c r="T479" s="75">
        <f>IF($A479="","",IFERROR(INDEX(Sheet1!$T:$T,MATCH($A479,Sheet1!$A:$A,0)),_xll.BDP($A479&amp;" Corp","RTG_SP")))</f>
        <v/>
      </c>
      <c r="U479" s="75">
        <f>IF($A479="","",IFERROR(INDEX(Sheet1!$U:$U,MATCH($A479,Sheet1!$A:$A,0)),""))</f>
        <v/>
      </c>
      <c r="W479" s="81">
        <f>IF($A479="","",N479-_xll.BDP($A479&amp;" Corp","YAS_OAS_SPRD","SETTLE_DT",Company_desc!$A$1))</f>
        <v/>
      </c>
      <c r="X479" s="81">
        <f>IF($A479="","",N479-_xll.BDP($A479&amp;" Corp","YAS_OAS_SPRD","SETTLE_DT",Company_desc!$A$2))</f>
        <v/>
      </c>
      <c r="Y479" s="80">
        <f>IF($A479="","",N479-_xll.BDP($A479&amp;" Corp","YAS_OAS_SPRD","SETTLE_DT",Company_desc!$D$1))</f>
        <v/>
      </c>
      <c r="Z479" s="82">
        <f>IF($A479="","",K479-_xll.BDP($A479&amp;" Corp","YAS_BOND_YLD","YAS_YLD_FLAG=15","SETTLE_DT",Company_desc!$D$1))</f>
        <v/>
      </c>
      <c r="AA479" s="80">
        <f>IF($A479="","",_xll.BDP($A479&amp;" Corp","YAS_OAS_SPRD","SETTLE_DT",Company_desc!$D$1))</f>
        <v/>
      </c>
    </row>
    <row r="480">
      <c r="B480" s="75">
        <f>IF($A480="","",IFERROR(INDEX(Sheet1!$B:$B,MATCH($A480,Sheet1!$A:$A,0)),""))</f>
        <v/>
      </c>
      <c r="C480" s="75">
        <f>IF($A480="","",PROPER(_xll.BDP($A480&amp;" Corp","NAME")))</f>
        <v/>
      </c>
      <c r="D480" s="76">
        <f>IF($A480="","",_xll.BDP($A480&amp;" Corp","CPN"))</f>
        <v/>
      </c>
      <c r="E480" s="75">
        <f>IF($A480="","",_xll.BDP($A480&amp;" Corp","PAYMENT_RANK"))</f>
        <v/>
      </c>
      <c r="F480" s="100">
        <f>IF($A480="","",_xll.BDP($A480&amp;" Corp","MATURITY"))</f>
        <v/>
      </c>
      <c r="G480" s="75">
        <f>IF($A480="","",PROPER(_xll.BDP($A480&amp;" Corp","COUNTRY_FULL_NAME")))</f>
        <v/>
      </c>
      <c r="H480" s="75">
        <f>IF($A480="","",_xll.BDP($A480&amp;" Corp","INDUSTRY_SECTOR"))</f>
        <v/>
      </c>
      <c r="I480" s="101">
        <f>IF($A480="","",IFERROR(_xll.BDP($A480&amp;" Corp","MIN_PIECE")/1000,""))</f>
        <v/>
      </c>
      <c r="J480" s="31">
        <f>IF($A480="","",_xll.BDP($A480&amp;" Corp","PX_LAST"))</f>
        <v/>
      </c>
      <c r="K480" s="31">
        <f>IF($A480="","",_xll.BDP($A480&amp;" Corp","YAS_BOND_YLD","YAS_YLD_FLAG=15"))</f>
        <v/>
      </c>
      <c r="L480" s="31">
        <f>IF($A480="","",K480-_xll.BDP($A480&amp;" Corp","YAS_BOND_YLD","YAS_YLD_FLAG=15","SETTLE_DT",Company_desc!$A$1))</f>
        <v/>
      </c>
      <c r="M480" s="31">
        <f>IF($A480="","",K480-_xll.BDP($A480&amp;" Corp","YAS_BOND_YLD","YAS_YLD_FLAG=15","SETTLE_DT",Company_desc!$A$2))</f>
        <v/>
      </c>
      <c r="N480" s="79">
        <f>IF($A480="","",_xll.BDP($A480&amp;" Corp","YAS_OAS_SPRD"))</f>
        <v/>
      </c>
      <c r="O480" s="67">
        <f>IF($A480="","",_xll.BDP($A480&amp;" Corp","YAS_MOD_DUR"))</f>
        <v/>
      </c>
      <c r="P480" s="80">
        <f>IF($A480="","",IFERROR(INDEX(Sheet1!$P:$P,MATCH($A480,Sheet1!$A:$A,0)),""))</f>
        <v/>
      </c>
      <c r="Q480" s="75">
        <f>IF($A480="","",IFERROR(INDEX(Company_desc!$C:$C,MATCH($A480,Company_desc!$A:$A,0)),IFERROR(INDEX(Sheet1!$Q:$Q,MATCH($A480,Sheet1!$A:$A,0)),"")))</f>
        <v/>
      </c>
      <c r="R480" s="75">
        <f>IF($A480="","",_xll.BDP($A480&amp;" Corp","CRNCY"))</f>
        <v/>
      </c>
      <c r="S480" s="75">
        <f>IF($A480="","",IFERROR(INDEX(Sheet1!$S:$S,MATCH($A480,Sheet1!$A:$A,0)),""))</f>
        <v/>
      </c>
      <c r="T480" s="75">
        <f>IF($A480="","",IFERROR(INDEX(Sheet1!$T:$T,MATCH($A480,Sheet1!$A:$A,0)),_xll.BDP($A480&amp;" Corp","RTG_SP")))</f>
        <v/>
      </c>
      <c r="U480" s="75">
        <f>IF($A480="","",IFERROR(INDEX(Sheet1!$U:$U,MATCH($A480,Sheet1!$A:$A,0)),""))</f>
        <v/>
      </c>
      <c r="W480" s="81">
        <f>IF($A480="","",N480-_xll.BDP($A480&amp;" Corp","YAS_OAS_SPRD","SETTLE_DT",Company_desc!$A$1))</f>
        <v/>
      </c>
      <c r="X480" s="81">
        <f>IF($A480="","",N480-_xll.BDP($A480&amp;" Corp","YAS_OAS_SPRD","SETTLE_DT",Company_desc!$A$2))</f>
        <v/>
      </c>
      <c r="Y480" s="80">
        <f>IF($A480="","",N480-_xll.BDP($A480&amp;" Corp","YAS_OAS_SPRD","SETTLE_DT",Company_desc!$D$1))</f>
        <v/>
      </c>
      <c r="Z480" s="82">
        <f>IF($A480="","",K480-_xll.BDP($A480&amp;" Corp","YAS_BOND_YLD","YAS_YLD_FLAG=15","SETTLE_DT",Company_desc!$D$1))</f>
        <v/>
      </c>
      <c r="AA480" s="80">
        <f>IF($A480="","",_xll.BDP($A480&amp;" Corp","YAS_OAS_SPRD","SETTLE_DT",Company_desc!$D$1))</f>
        <v/>
      </c>
    </row>
    <row r="481">
      <c r="B481" s="75">
        <f>IF($A481="","",IFERROR(INDEX(Sheet1!$B:$B,MATCH($A481,Sheet1!$A:$A,0)),""))</f>
        <v/>
      </c>
      <c r="C481" s="75">
        <f>IF($A481="","",PROPER(_xll.BDP($A481&amp;" Corp","NAME")))</f>
        <v/>
      </c>
      <c r="D481" s="76">
        <f>IF($A481="","",_xll.BDP($A481&amp;" Corp","CPN"))</f>
        <v/>
      </c>
      <c r="E481" s="75">
        <f>IF($A481="","",_xll.BDP($A481&amp;" Corp","PAYMENT_RANK"))</f>
        <v/>
      </c>
      <c r="F481" s="100">
        <f>IF($A481="","",_xll.BDP($A481&amp;" Corp","MATURITY"))</f>
        <v/>
      </c>
      <c r="G481" s="75">
        <f>IF($A481="","",PROPER(_xll.BDP($A481&amp;" Corp","COUNTRY_FULL_NAME")))</f>
        <v/>
      </c>
      <c r="H481" s="75">
        <f>IF($A481="","",_xll.BDP($A481&amp;" Corp","INDUSTRY_SECTOR"))</f>
        <v/>
      </c>
      <c r="I481" s="101">
        <f>IF($A481="","",IFERROR(_xll.BDP($A481&amp;" Corp","MIN_PIECE")/1000,""))</f>
        <v/>
      </c>
      <c r="J481" s="31">
        <f>IF($A481="","",_xll.BDP($A481&amp;" Corp","PX_LAST"))</f>
        <v/>
      </c>
      <c r="K481" s="31">
        <f>IF($A481="","",_xll.BDP($A481&amp;" Corp","YAS_BOND_YLD","YAS_YLD_FLAG=15"))</f>
        <v/>
      </c>
      <c r="L481" s="31">
        <f>IF($A481="","",K481-_xll.BDP($A481&amp;" Corp","YAS_BOND_YLD","YAS_YLD_FLAG=15","SETTLE_DT",Company_desc!$A$1))</f>
        <v/>
      </c>
      <c r="M481" s="31">
        <f>IF($A481="","",K481-_xll.BDP($A481&amp;" Corp","YAS_BOND_YLD","YAS_YLD_FLAG=15","SETTLE_DT",Company_desc!$A$2))</f>
        <v/>
      </c>
      <c r="N481" s="79">
        <f>IF($A481="","",_xll.BDP($A481&amp;" Corp","YAS_OAS_SPRD"))</f>
        <v/>
      </c>
      <c r="O481" s="67">
        <f>IF($A481="","",_xll.BDP($A481&amp;" Corp","YAS_MOD_DUR"))</f>
        <v/>
      </c>
      <c r="P481" s="80">
        <f>IF($A481="","",IFERROR(INDEX(Sheet1!$P:$P,MATCH($A481,Sheet1!$A:$A,0)),""))</f>
        <v/>
      </c>
      <c r="Q481" s="75">
        <f>IF($A481="","",IFERROR(INDEX(Company_desc!$C:$C,MATCH($A481,Company_desc!$A:$A,0)),IFERROR(INDEX(Sheet1!$Q:$Q,MATCH($A481,Sheet1!$A:$A,0)),"")))</f>
        <v/>
      </c>
      <c r="R481" s="75">
        <f>IF($A481="","",_xll.BDP($A481&amp;" Corp","CRNCY"))</f>
        <v/>
      </c>
      <c r="S481" s="75">
        <f>IF($A481="","",IFERROR(INDEX(Sheet1!$S:$S,MATCH($A481,Sheet1!$A:$A,0)),""))</f>
        <v/>
      </c>
      <c r="T481" s="75">
        <f>IF($A481="","",IFERROR(INDEX(Sheet1!$T:$T,MATCH($A481,Sheet1!$A:$A,0)),_xll.BDP($A481&amp;" Corp","RTG_SP")))</f>
        <v/>
      </c>
      <c r="U481" s="75">
        <f>IF($A481="","",IFERROR(INDEX(Sheet1!$U:$U,MATCH($A481,Sheet1!$A:$A,0)),""))</f>
        <v/>
      </c>
      <c r="W481" s="81">
        <f>IF($A481="","",N481-_xll.BDP($A481&amp;" Corp","YAS_OAS_SPRD","SETTLE_DT",Company_desc!$A$1))</f>
        <v/>
      </c>
      <c r="X481" s="81">
        <f>IF($A481="","",N481-_xll.BDP($A481&amp;" Corp","YAS_OAS_SPRD","SETTLE_DT",Company_desc!$A$2))</f>
        <v/>
      </c>
      <c r="Y481" s="80">
        <f>IF($A481="","",N481-_xll.BDP($A481&amp;" Corp","YAS_OAS_SPRD","SETTLE_DT",Company_desc!$D$1))</f>
        <v/>
      </c>
      <c r="Z481" s="82">
        <f>IF($A481="","",K481-_xll.BDP($A481&amp;" Corp","YAS_BOND_YLD","YAS_YLD_FLAG=15","SETTLE_DT",Company_desc!$D$1))</f>
        <v/>
      </c>
      <c r="AA481" s="80">
        <f>IF($A481="","",_xll.BDP($A481&amp;" Corp","YAS_OAS_SPRD","SETTLE_DT",Company_desc!$D$1))</f>
        <v/>
      </c>
    </row>
    <row r="482">
      <c r="B482" s="75">
        <f>IF($A482="","",IFERROR(INDEX(Sheet1!$B:$B,MATCH($A482,Sheet1!$A:$A,0)),""))</f>
        <v/>
      </c>
      <c r="C482" s="75">
        <f>IF($A482="","",PROPER(_xll.BDP($A482&amp;" Corp","NAME")))</f>
        <v/>
      </c>
      <c r="D482" s="76">
        <f>IF($A482="","",_xll.BDP($A482&amp;" Corp","CPN"))</f>
        <v/>
      </c>
      <c r="E482" s="75">
        <f>IF($A482="","",_xll.BDP($A482&amp;" Corp","PAYMENT_RANK"))</f>
        <v/>
      </c>
      <c r="F482" s="100">
        <f>IF($A482="","",_xll.BDP($A482&amp;" Corp","MATURITY"))</f>
        <v/>
      </c>
      <c r="G482" s="75">
        <f>IF($A482="","",PROPER(_xll.BDP($A482&amp;" Corp","COUNTRY_FULL_NAME")))</f>
        <v/>
      </c>
      <c r="H482" s="75">
        <f>IF($A482="","",_xll.BDP($A482&amp;" Corp","INDUSTRY_SECTOR"))</f>
        <v/>
      </c>
      <c r="I482" s="101">
        <f>IF($A482="","",IFERROR(_xll.BDP($A482&amp;" Corp","MIN_PIECE")/1000,""))</f>
        <v/>
      </c>
      <c r="J482" s="31">
        <f>IF($A482="","",_xll.BDP($A482&amp;" Corp","PX_LAST"))</f>
        <v/>
      </c>
      <c r="K482" s="31">
        <f>IF($A482="","",_xll.BDP($A482&amp;" Corp","YAS_BOND_YLD","YAS_YLD_FLAG=15"))</f>
        <v/>
      </c>
      <c r="L482" s="31">
        <f>IF($A482="","",K482-_xll.BDP($A482&amp;" Corp","YAS_BOND_YLD","YAS_YLD_FLAG=15","SETTLE_DT",Company_desc!$A$1))</f>
        <v/>
      </c>
      <c r="M482" s="31">
        <f>IF($A482="","",K482-_xll.BDP($A482&amp;" Corp","YAS_BOND_YLD","YAS_YLD_FLAG=15","SETTLE_DT",Company_desc!$A$2))</f>
        <v/>
      </c>
      <c r="N482" s="79">
        <f>IF($A482="","",_xll.BDP($A482&amp;" Corp","YAS_OAS_SPRD"))</f>
        <v/>
      </c>
      <c r="O482" s="67">
        <f>IF($A482="","",_xll.BDP($A482&amp;" Corp","YAS_MOD_DUR"))</f>
        <v/>
      </c>
      <c r="P482" s="80">
        <f>IF($A482="","",IFERROR(INDEX(Sheet1!$P:$P,MATCH($A482,Sheet1!$A:$A,0)),""))</f>
        <v/>
      </c>
      <c r="Q482" s="75">
        <f>IF($A482="","",IFERROR(INDEX(Company_desc!$C:$C,MATCH($A482,Company_desc!$A:$A,0)),IFERROR(INDEX(Sheet1!$Q:$Q,MATCH($A482,Sheet1!$A:$A,0)),"")))</f>
        <v/>
      </c>
      <c r="R482" s="75">
        <f>IF($A482="","",_xll.BDP($A482&amp;" Corp","CRNCY"))</f>
        <v/>
      </c>
      <c r="S482" s="75">
        <f>IF($A482="","",IFERROR(INDEX(Sheet1!$S:$S,MATCH($A482,Sheet1!$A:$A,0)),""))</f>
        <v/>
      </c>
      <c r="T482" s="75">
        <f>IF($A482="","",IFERROR(INDEX(Sheet1!$T:$T,MATCH($A482,Sheet1!$A:$A,0)),_xll.BDP($A482&amp;" Corp","RTG_SP")))</f>
        <v/>
      </c>
      <c r="U482" s="75">
        <f>IF($A482="","",IFERROR(INDEX(Sheet1!$U:$U,MATCH($A482,Sheet1!$A:$A,0)),""))</f>
        <v/>
      </c>
      <c r="W482" s="81">
        <f>IF($A482="","",N482-_xll.BDP($A482&amp;" Corp","YAS_OAS_SPRD","SETTLE_DT",Company_desc!$A$1))</f>
        <v/>
      </c>
      <c r="X482" s="81">
        <f>IF($A482="","",N482-_xll.BDP($A482&amp;" Corp","YAS_OAS_SPRD","SETTLE_DT",Company_desc!$A$2))</f>
        <v/>
      </c>
      <c r="Y482" s="80">
        <f>IF($A482="","",N482-_xll.BDP($A482&amp;" Corp","YAS_OAS_SPRD","SETTLE_DT",Company_desc!$D$1))</f>
        <v/>
      </c>
      <c r="Z482" s="82">
        <f>IF($A482="","",K482-_xll.BDP($A482&amp;" Corp","YAS_BOND_YLD","YAS_YLD_FLAG=15","SETTLE_DT",Company_desc!$D$1))</f>
        <v/>
      </c>
      <c r="AA482" s="80">
        <f>IF($A482="","",_xll.BDP($A482&amp;" Corp","YAS_OAS_SPRD","SETTLE_DT",Company_desc!$D$1))</f>
        <v/>
      </c>
    </row>
    <row r="483">
      <c r="B483" s="75">
        <f>IF($A483="","",IFERROR(INDEX(Sheet1!$B:$B,MATCH($A483,Sheet1!$A:$A,0)),""))</f>
        <v/>
      </c>
      <c r="C483" s="75">
        <f>IF($A483="","",PROPER(_xll.BDP($A483&amp;" Corp","NAME")))</f>
        <v/>
      </c>
      <c r="D483" s="76">
        <f>IF($A483="","",_xll.BDP($A483&amp;" Corp","CPN"))</f>
        <v/>
      </c>
      <c r="E483" s="75">
        <f>IF($A483="","",_xll.BDP($A483&amp;" Corp","PAYMENT_RANK"))</f>
        <v/>
      </c>
      <c r="F483" s="100">
        <f>IF($A483="","",_xll.BDP($A483&amp;" Corp","MATURITY"))</f>
        <v/>
      </c>
      <c r="G483" s="75">
        <f>IF($A483="","",PROPER(_xll.BDP($A483&amp;" Corp","COUNTRY_FULL_NAME")))</f>
        <v/>
      </c>
      <c r="H483" s="75">
        <f>IF($A483="","",_xll.BDP($A483&amp;" Corp","INDUSTRY_SECTOR"))</f>
        <v/>
      </c>
      <c r="I483" s="101">
        <f>IF($A483="","",IFERROR(_xll.BDP($A483&amp;" Corp","MIN_PIECE")/1000,""))</f>
        <v/>
      </c>
      <c r="J483" s="31">
        <f>IF($A483="","",_xll.BDP($A483&amp;" Corp","PX_LAST"))</f>
        <v/>
      </c>
      <c r="K483" s="31">
        <f>IF($A483="","",_xll.BDP($A483&amp;" Corp","YAS_BOND_YLD","YAS_YLD_FLAG=15"))</f>
        <v/>
      </c>
      <c r="L483" s="31">
        <f>IF($A483="","",K483-_xll.BDP($A483&amp;" Corp","YAS_BOND_YLD","YAS_YLD_FLAG=15","SETTLE_DT",Company_desc!$A$1))</f>
        <v/>
      </c>
      <c r="M483" s="31">
        <f>IF($A483="","",K483-_xll.BDP($A483&amp;" Corp","YAS_BOND_YLD","YAS_YLD_FLAG=15","SETTLE_DT",Company_desc!$A$2))</f>
        <v/>
      </c>
      <c r="N483" s="79">
        <f>IF($A483="","",_xll.BDP($A483&amp;" Corp","YAS_OAS_SPRD"))</f>
        <v/>
      </c>
      <c r="O483" s="67">
        <f>IF($A483="","",_xll.BDP($A483&amp;" Corp","YAS_MOD_DUR"))</f>
        <v/>
      </c>
      <c r="P483" s="80">
        <f>IF($A483="","",IFERROR(INDEX(Sheet1!$P:$P,MATCH($A483,Sheet1!$A:$A,0)),""))</f>
        <v/>
      </c>
      <c r="Q483" s="75">
        <f>IF($A483="","",IFERROR(INDEX(Company_desc!$C:$C,MATCH($A483,Company_desc!$A:$A,0)),IFERROR(INDEX(Sheet1!$Q:$Q,MATCH($A483,Sheet1!$A:$A,0)),"")))</f>
        <v/>
      </c>
      <c r="R483" s="75">
        <f>IF($A483="","",_xll.BDP($A483&amp;" Corp","CRNCY"))</f>
        <v/>
      </c>
      <c r="S483" s="75">
        <f>IF($A483="","",IFERROR(INDEX(Sheet1!$S:$S,MATCH($A483,Sheet1!$A:$A,0)),""))</f>
        <v/>
      </c>
      <c r="T483" s="75">
        <f>IF($A483="","",IFERROR(INDEX(Sheet1!$T:$T,MATCH($A483,Sheet1!$A:$A,0)),_xll.BDP($A483&amp;" Corp","RTG_SP")))</f>
        <v/>
      </c>
      <c r="U483" s="75">
        <f>IF($A483="","",IFERROR(INDEX(Sheet1!$U:$U,MATCH($A483,Sheet1!$A:$A,0)),""))</f>
        <v/>
      </c>
      <c r="W483" s="81">
        <f>IF($A483="","",N483-_xll.BDP($A483&amp;" Corp","YAS_OAS_SPRD","SETTLE_DT",Company_desc!$A$1))</f>
        <v/>
      </c>
      <c r="X483" s="81">
        <f>IF($A483="","",N483-_xll.BDP($A483&amp;" Corp","YAS_OAS_SPRD","SETTLE_DT",Company_desc!$A$2))</f>
        <v/>
      </c>
      <c r="Y483" s="80">
        <f>IF($A483="","",N483-_xll.BDP($A483&amp;" Corp","YAS_OAS_SPRD","SETTLE_DT",Company_desc!$D$1))</f>
        <v/>
      </c>
      <c r="Z483" s="82">
        <f>IF($A483="","",K483-_xll.BDP($A483&amp;" Corp","YAS_BOND_YLD","YAS_YLD_FLAG=15","SETTLE_DT",Company_desc!$D$1))</f>
        <v/>
      </c>
      <c r="AA483" s="80">
        <f>IF($A483="","",_xll.BDP($A483&amp;" Corp","YAS_OAS_SPRD","SETTLE_DT",Company_desc!$D$1))</f>
        <v/>
      </c>
    </row>
    <row r="484">
      <c r="B484" s="28">
        <f>IF($A484="","",IFERROR(INDEX(Sheet1!$B:$B,MATCH($A484,Sheet1!$A:$A,0)),""))</f>
        <v/>
      </c>
      <c r="C484" s="29">
        <f>IF($A484="","",PROPER(_xll.BDP($A484&amp;" Corp","NAME")))</f>
        <v/>
      </c>
      <c r="D484" s="84">
        <f>IF($A484="","",_xll.BDP($A484&amp;" Corp","CPN"))</f>
        <v/>
      </c>
      <c r="E484" s="84">
        <f>IF($A484="","",_xll.BDP($A484&amp;" Corp","PAYMENT_RANK"))</f>
        <v/>
      </c>
      <c r="F484" s="102">
        <f>IF($A484="","",_xll.BDP($A484&amp;" Corp","MATURITY"))</f>
        <v/>
      </c>
      <c r="G484" s="43">
        <f>IF($A484="","",PROPER(_xll.BDP($A484&amp;" Corp","COUNTRY_FULL_NAME")))</f>
        <v/>
      </c>
      <c r="H484" s="29">
        <f>IF($A484="","",_xll.BDP($A484&amp;" Corp","INDUSTRY_SECTOR"))</f>
        <v/>
      </c>
      <c r="I484" s="103">
        <f>IF($A484="","",IFERROR(_xll.BDP($A484&amp;" Corp","MIN_PIECE")/1000,""))</f>
        <v/>
      </c>
      <c r="J484" s="31">
        <f>IF($A484="","",_xll.BDP($A484&amp;" Corp","PX_LAST"))</f>
        <v/>
      </c>
      <c r="K484" s="31">
        <f>IF($A484="","",_xll.BDP($A484&amp;" Corp","YAS_BOND_YLD","YAS_YLD_FLAG=15"))</f>
        <v/>
      </c>
      <c r="L484" s="31">
        <f>IF($A484="","",K484-_xll.BDP($A484&amp;" Corp","YAS_BOND_YLD","YAS_YLD_FLAG=15","SETTLE_DT",Company_desc!$A$1))</f>
        <v/>
      </c>
      <c r="M484" s="31">
        <f>IF($A484="","",K484-_xll.BDP($A484&amp;" Corp","YAS_BOND_YLD","YAS_YLD_FLAG=15","SETTLE_DT",Company_desc!$A$2))</f>
        <v/>
      </c>
      <c r="N484" s="79">
        <f>IF($A484="","",_xll.BDP($A484&amp;" Corp","YAS_OAS_SPRD"))</f>
        <v/>
      </c>
      <c r="O484" s="67">
        <f>IF($A484="","",_xll.BDP($A484&amp;" Corp","YAS_MOD_DUR"))</f>
        <v/>
      </c>
      <c r="P484" s="79">
        <f>IF($A484="","",IFERROR(INDEX(Sheet1!$P:$P,MATCH($A484,Sheet1!$A:$A,0)),""))</f>
        <v/>
      </c>
      <c r="Q484" s="27">
        <f>IF($A484="","",IFERROR(INDEX(Company_desc!$C:$C,MATCH($A484,Company_desc!$A:$A,0)),IFERROR(INDEX(Sheet1!$Q:$Q,MATCH($A484,Sheet1!$A:$A,0)),"")))</f>
        <v/>
      </c>
      <c r="R484" s="27">
        <f>IF($A484="","",_xll.BDP($A484&amp;" Corp","CRNCY"))</f>
        <v/>
      </c>
      <c r="S484" s="27">
        <f>IF($A484="","",IFERROR(INDEX(Sheet1!$S:$S,MATCH($A484,Sheet1!$A:$A,0)),""))</f>
        <v/>
      </c>
      <c r="T484" s="47">
        <f>IF($A484="","",IFERROR(INDEX(Sheet1!$T:$T,MATCH($A484,Sheet1!$A:$A,0)),_xll.BDP($A484&amp;" Corp","RTG_SP")))</f>
        <v/>
      </c>
      <c r="U484" s="75">
        <f>IF($A484="","",IFERROR(INDEX(Sheet1!$U:$U,MATCH($A484,Sheet1!$A:$A,0)),""))</f>
        <v/>
      </c>
      <c r="W484" s="81">
        <f>IF($A484="","",N484-_xll.BDP($A484&amp;" Corp","YAS_OAS_SPRD","SETTLE_DT",Company_desc!$A$1))</f>
        <v/>
      </c>
      <c r="X484" s="81">
        <f>IF($A484="","",N484-_xll.BDP($A484&amp;" Corp","YAS_OAS_SPRD","SETTLE_DT",Company_desc!$A$2))</f>
        <v/>
      </c>
      <c r="Y484" s="80">
        <f>IF($A484="","",N484-_xll.BDP($A484&amp;" Corp","YAS_OAS_SPRD","SETTLE_DT",Company_desc!$D$1))</f>
        <v/>
      </c>
      <c r="Z484" s="82">
        <f>IF($A484="","",K484-_xll.BDP($A484&amp;" Corp","YAS_BOND_YLD","YAS_YLD_FLAG=15","SETTLE_DT",Company_desc!$D$1))</f>
        <v/>
      </c>
      <c r="AA484" s="80">
        <f>IF($A484="","",_xll.BDP($A484&amp;" Corp","YAS_OAS_SPRD","SETTLE_DT",Company_desc!$D$1))</f>
        <v/>
      </c>
    </row>
    <row r="485">
      <c r="B485" s="75">
        <f>IF($A485="","",IFERROR(INDEX(Sheet1!$B:$B,MATCH($A485,Sheet1!$A:$A,0)),""))</f>
        <v/>
      </c>
      <c r="C485" s="75">
        <f>IF($A485="","",PROPER(_xll.BDP($A485&amp;" Corp","NAME")))</f>
        <v/>
      </c>
      <c r="D485" s="76">
        <f>IF($A485="","",_xll.BDP($A485&amp;" Corp","CPN"))</f>
        <v/>
      </c>
      <c r="E485" s="75">
        <f>IF($A485="","",_xll.BDP($A485&amp;" Corp","PAYMENT_RANK"))</f>
        <v/>
      </c>
      <c r="F485" s="100">
        <f>IF($A485="","",_xll.BDP($A485&amp;" Corp","MATURITY"))</f>
        <v/>
      </c>
      <c r="G485" s="75">
        <f>IF($A485="","",PROPER(_xll.BDP($A485&amp;" Corp","COUNTRY_FULL_NAME")))</f>
        <v/>
      </c>
      <c r="H485" s="75">
        <f>IF($A485="","",_xll.BDP($A485&amp;" Corp","INDUSTRY_SECTOR"))</f>
        <v/>
      </c>
      <c r="I485" s="101">
        <f>IF($A485="","",IFERROR(_xll.BDP($A485&amp;" Corp","MIN_PIECE")/1000,""))</f>
        <v/>
      </c>
      <c r="J485" s="31">
        <f>IF($A485="","",_xll.BDP($A485&amp;" Corp","PX_LAST"))</f>
        <v/>
      </c>
      <c r="K485" s="31">
        <f>IF($A485="","",_xll.BDP($A485&amp;" Corp","YAS_BOND_YLD","YAS_YLD_FLAG=15"))</f>
        <v/>
      </c>
      <c r="L485" s="31">
        <f>IF($A485="","",K485-_xll.BDP($A485&amp;" Corp","YAS_BOND_YLD","YAS_YLD_FLAG=15","SETTLE_DT",Company_desc!$A$1))</f>
        <v/>
      </c>
      <c r="M485" s="31">
        <f>IF($A485="","",K485-_xll.BDP($A485&amp;" Corp","YAS_BOND_YLD","YAS_YLD_FLAG=15","SETTLE_DT",Company_desc!$A$2))</f>
        <v/>
      </c>
      <c r="N485" s="79">
        <f>IF($A485="","",_xll.BDP($A485&amp;" Corp","YAS_OAS_SPRD"))</f>
        <v/>
      </c>
      <c r="O485" s="67">
        <f>IF($A485="","",_xll.BDP($A485&amp;" Corp","YAS_MOD_DUR"))</f>
        <v/>
      </c>
      <c r="P485" s="80">
        <f>IF($A485="","",IFERROR(INDEX(Sheet1!$P:$P,MATCH($A485,Sheet1!$A:$A,0)),""))</f>
        <v/>
      </c>
      <c r="Q485" s="75">
        <f>IF($A485="","",IFERROR(INDEX(Company_desc!$C:$C,MATCH($A485,Company_desc!$A:$A,0)),IFERROR(INDEX(Sheet1!$Q:$Q,MATCH($A485,Sheet1!$A:$A,0)),"")))</f>
        <v/>
      </c>
      <c r="R485" s="75">
        <f>IF($A485="","",_xll.BDP($A485&amp;" Corp","CRNCY"))</f>
        <v/>
      </c>
      <c r="S485" s="75">
        <f>IF($A485="","",IFERROR(INDEX(Sheet1!$S:$S,MATCH($A485,Sheet1!$A:$A,0)),""))</f>
        <v/>
      </c>
      <c r="T485" s="75">
        <f>IF($A485="","",IFERROR(INDEX(Sheet1!$T:$T,MATCH($A485,Sheet1!$A:$A,0)),_xll.BDP($A485&amp;" Corp","RTG_SP")))</f>
        <v/>
      </c>
      <c r="U485" s="75">
        <f>IF($A485="","",IFERROR(INDEX(Sheet1!$U:$U,MATCH($A485,Sheet1!$A:$A,0)),""))</f>
        <v/>
      </c>
      <c r="W485" s="81">
        <f>IF($A485="","",N485-_xll.BDP($A485&amp;" Corp","YAS_OAS_SPRD","SETTLE_DT",Company_desc!$A$1))</f>
        <v/>
      </c>
      <c r="X485" s="81">
        <f>IF($A485="","",N485-_xll.BDP($A485&amp;" Corp","YAS_OAS_SPRD","SETTLE_DT",Company_desc!$A$2))</f>
        <v/>
      </c>
      <c r="Y485" s="80">
        <f>IF($A485="","",N485-_xll.BDP($A485&amp;" Corp","YAS_OAS_SPRD","SETTLE_DT",Company_desc!$D$1))</f>
        <v/>
      </c>
      <c r="Z485" s="82">
        <f>IF($A485="","",K485-_xll.BDP($A485&amp;" Corp","YAS_BOND_YLD","YAS_YLD_FLAG=15","SETTLE_DT",Company_desc!$D$1))</f>
        <v/>
      </c>
      <c r="AA485" s="80">
        <f>IF($A485="","",_xll.BDP($A485&amp;" Corp","YAS_OAS_SPRD","SETTLE_DT",Company_desc!$D$1))</f>
        <v/>
      </c>
    </row>
    <row r="486">
      <c r="B486" s="75">
        <f>IF($A486="","",IFERROR(INDEX(Sheet1!$B:$B,MATCH($A486,Sheet1!$A:$A,0)),""))</f>
        <v/>
      </c>
      <c r="C486" s="75">
        <f>IF($A486="","",PROPER(_xll.BDP($A486&amp;" Corp","NAME")))</f>
        <v/>
      </c>
      <c r="D486" s="76">
        <f>IF($A486="","",_xll.BDP($A486&amp;" Corp","CPN"))</f>
        <v/>
      </c>
      <c r="E486" s="75">
        <f>IF($A486="","",_xll.BDP($A486&amp;" Corp","PAYMENT_RANK"))</f>
        <v/>
      </c>
      <c r="F486" s="100">
        <f>IF($A486="","",_xll.BDP($A486&amp;" Corp","MATURITY"))</f>
        <v/>
      </c>
      <c r="G486" s="75">
        <f>IF($A486="","",PROPER(_xll.BDP($A486&amp;" Corp","COUNTRY_FULL_NAME")))</f>
        <v/>
      </c>
      <c r="H486" s="75">
        <f>IF($A486="","",_xll.BDP($A486&amp;" Corp","INDUSTRY_SECTOR"))</f>
        <v/>
      </c>
      <c r="I486" s="101">
        <f>IF($A486="","",IFERROR(_xll.BDP($A486&amp;" Corp","MIN_PIECE")/1000,""))</f>
        <v/>
      </c>
      <c r="J486" s="31">
        <f>IF($A486="","",_xll.BDP($A486&amp;" Corp","PX_LAST"))</f>
        <v/>
      </c>
      <c r="K486" s="31">
        <f>IF($A486="","",_xll.BDP($A486&amp;" Corp","YAS_BOND_YLD","YAS_YLD_FLAG=15"))</f>
        <v/>
      </c>
      <c r="L486" s="31">
        <f>IF($A486="","",K486-_xll.BDP($A486&amp;" Corp","YAS_BOND_YLD","YAS_YLD_FLAG=15","SETTLE_DT",Company_desc!$A$1))</f>
        <v/>
      </c>
      <c r="M486" s="31">
        <f>IF($A486="","",K486-_xll.BDP($A486&amp;" Corp","YAS_BOND_YLD","YAS_YLD_FLAG=15","SETTLE_DT",Company_desc!$A$2))</f>
        <v/>
      </c>
      <c r="N486" s="79">
        <f>IF($A486="","",_xll.BDP($A486&amp;" Corp","YAS_OAS_SPRD"))</f>
        <v/>
      </c>
      <c r="O486" s="67">
        <f>IF($A486="","",_xll.BDP($A486&amp;" Corp","YAS_MOD_DUR"))</f>
        <v/>
      </c>
      <c r="P486" s="80">
        <f>IF($A486="","",IFERROR(INDEX(Sheet1!$P:$P,MATCH($A486,Sheet1!$A:$A,0)),""))</f>
        <v/>
      </c>
      <c r="Q486" s="75">
        <f>IF($A486="","",IFERROR(INDEX(Company_desc!$C:$C,MATCH($A486,Company_desc!$A:$A,0)),IFERROR(INDEX(Sheet1!$Q:$Q,MATCH($A486,Sheet1!$A:$A,0)),"")))</f>
        <v/>
      </c>
      <c r="R486" s="75">
        <f>IF($A486="","",_xll.BDP($A486&amp;" Corp","CRNCY"))</f>
        <v/>
      </c>
      <c r="S486" s="75">
        <f>IF($A486="","",IFERROR(INDEX(Sheet1!$S:$S,MATCH($A486,Sheet1!$A:$A,0)),""))</f>
        <v/>
      </c>
      <c r="T486" s="75">
        <f>IF($A486="","",IFERROR(INDEX(Sheet1!$T:$T,MATCH($A486,Sheet1!$A:$A,0)),_xll.BDP($A486&amp;" Corp","RTG_SP")))</f>
        <v/>
      </c>
      <c r="U486" s="75">
        <f>IF($A486="","",IFERROR(INDEX(Sheet1!$U:$U,MATCH($A486,Sheet1!$A:$A,0)),""))</f>
        <v/>
      </c>
      <c r="W486" s="81">
        <f>IF($A486="","",N486-_xll.BDP($A486&amp;" Corp","YAS_OAS_SPRD","SETTLE_DT",Company_desc!$A$1))</f>
        <v/>
      </c>
      <c r="X486" s="81">
        <f>IF($A486="","",N486-_xll.BDP($A486&amp;" Corp","YAS_OAS_SPRD","SETTLE_DT",Company_desc!$A$2))</f>
        <v/>
      </c>
      <c r="Y486" s="80">
        <f>IF($A486="","",N486-_xll.BDP($A486&amp;" Corp","YAS_OAS_SPRD","SETTLE_DT",Company_desc!$D$1))</f>
        <v/>
      </c>
      <c r="Z486" s="82">
        <f>IF($A486="","",K486-_xll.BDP($A486&amp;" Corp","YAS_BOND_YLD","YAS_YLD_FLAG=15","SETTLE_DT",Company_desc!$D$1))</f>
        <v/>
      </c>
      <c r="AA486" s="80">
        <f>IF($A486="","",_xll.BDP($A486&amp;" Corp","YAS_OAS_SPRD","SETTLE_DT",Company_desc!$D$1))</f>
        <v/>
      </c>
    </row>
    <row r="487">
      <c r="A487" s="42" t="n"/>
      <c r="B487" s="75">
        <f>IF($A487="","",IFERROR(INDEX(Sheet1!$B:$B,MATCH($A487,Sheet1!$A:$A,0)),""))</f>
        <v/>
      </c>
      <c r="C487" s="75">
        <f>IF($A487="","",PROPER(_xll.BDP($A487&amp;" Corp","NAME")))</f>
        <v/>
      </c>
      <c r="D487" s="76">
        <f>IF($A487="","",_xll.BDP($A487&amp;" Corp","CPN"))</f>
        <v/>
      </c>
      <c r="E487" s="75">
        <f>IF($A487="","",_xll.BDP($A487&amp;" Corp","PAYMENT_RANK"))</f>
        <v/>
      </c>
      <c r="F487" s="100">
        <f>IF($A487="","",_xll.BDP($A487&amp;" Corp","MATURITY"))</f>
        <v/>
      </c>
      <c r="G487" s="75">
        <f>IF($A487="","",PROPER(_xll.BDP($A487&amp;" Corp","COUNTRY_FULL_NAME")))</f>
        <v/>
      </c>
      <c r="H487" s="75">
        <f>IF($A487="","",_xll.BDP($A487&amp;" Corp","INDUSTRY_SECTOR"))</f>
        <v/>
      </c>
      <c r="I487" s="101">
        <f>IF($A487="","",IFERROR(_xll.BDP($A487&amp;" Corp","MIN_PIECE")/1000,""))</f>
        <v/>
      </c>
      <c r="J487" s="31">
        <f>IF($A487="","",_xll.BDP($A487&amp;" Corp","PX_LAST"))</f>
        <v/>
      </c>
      <c r="K487" s="31">
        <f>IF($A487="","",_xll.BDP($A487&amp;" Corp","YAS_BOND_YLD","YAS_YLD_FLAG=15"))</f>
        <v/>
      </c>
      <c r="L487" s="31">
        <f>IF($A487="","",K487-_xll.BDP($A487&amp;" Corp","YAS_BOND_YLD","YAS_YLD_FLAG=15","SETTLE_DT",Company_desc!$A$1))</f>
        <v/>
      </c>
      <c r="M487" s="31">
        <f>IF($A487="","",K487-_xll.BDP($A487&amp;" Corp","YAS_BOND_YLD","YAS_YLD_FLAG=15","SETTLE_DT",Company_desc!$A$2))</f>
        <v/>
      </c>
      <c r="N487" s="79">
        <f>IF($A487="","",_xll.BDP($A487&amp;" Corp","YAS_OAS_SPRD"))</f>
        <v/>
      </c>
      <c r="O487" s="67">
        <f>IF($A487="","",_xll.BDP($A487&amp;" Corp","YAS_MOD_DUR"))</f>
        <v/>
      </c>
      <c r="P487" s="80">
        <f>IF($A487="","",IFERROR(INDEX(Sheet1!$P:$P,MATCH($A487,Sheet1!$A:$A,0)),""))</f>
        <v/>
      </c>
      <c r="Q487" s="75">
        <f>IF($A487="","",IFERROR(INDEX(Company_desc!$C:$C,MATCH($A487,Company_desc!$A:$A,0)),IFERROR(INDEX(Sheet1!$Q:$Q,MATCH($A487,Sheet1!$A:$A,0)),"")))</f>
        <v/>
      </c>
      <c r="R487" s="75">
        <f>IF($A487="","",_xll.BDP($A487&amp;" Corp","CRNCY"))</f>
        <v/>
      </c>
      <c r="S487" s="75">
        <f>IF($A487="","",IFERROR(INDEX(Sheet1!$S:$S,MATCH($A487,Sheet1!$A:$A,0)),""))</f>
        <v/>
      </c>
      <c r="T487" s="75">
        <f>IF($A487="","",IFERROR(INDEX(Sheet1!$T:$T,MATCH($A487,Sheet1!$A:$A,0)),_xll.BDP($A487&amp;" Corp","RTG_SP")))</f>
        <v/>
      </c>
      <c r="U487" s="75">
        <f>IF($A487="","",IFERROR(INDEX(Sheet1!$U:$U,MATCH($A487,Sheet1!$A:$A,0)),""))</f>
        <v/>
      </c>
      <c r="W487" s="81">
        <f>IF($A487="","",N487-_xll.BDP($A487&amp;" Corp","YAS_OAS_SPRD","SETTLE_DT",Company_desc!$A$1))</f>
        <v/>
      </c>
      <c r="X487" s="81">
        <f>IF($A487="","",N487-_xll.BDP($A487&amp;" Corp","YAS_OAS_SPRD","SETTLE_DT",Company_desc!$A$2))</f>
        <v/>
      </c>
      <c r="Y487" s="80">
        <f>IF($A487="","",N487-_xll.BDP($A487&amp;" Corp","YAS_OAS_SPRD","SETTLE_DT",Company_desc!$D$1))</f>
        <v/>
      </c>
      <c r="Z487" s="82">
        <f>IF($A487="","",K487-_xll.BDP($A487&amp;" Corp","YAS_BOND_YLD","YAS_YLD_FLAG=15","SETTLE_DT",Company_desc!$D$1))</f>
        <v/>
      </c>
      <c r="AA487" s="80">
        <f>IF($A487="","",_xll.BDP($A487&amp;" Corp","YAS_OAS_SPRD","SETTLE_DT",Company_desc!$D$1))</f>
        <v/>
      </c>
    </row>
    <row r="488">
      <c r="B488" s="75">
        <f>IF($A488="","",IFERROR(INDEX(Sheet1!$B:$B,MATCH($A488,Sheet1!$A:$A,0)),""))</f>
        <v/>
      </c>
      <c r="C488" s="75">
        <f>IF($A488="","",PROPER(_xll.BDP($A488&amp;" Corp","NAME")))</f>
        <v/>
      </c>
      <c r="D488" s="76">
        <f>IF($A488="","",_xll.BDP($A488&amp;" Corp","CPN"))</f>
        <v/>
      </c>
      <c r="E488" s="75">
        <f>IF($A488="","",_xll.BDP($A488&amp;" Corp","PAYMENT_RANK"))</f>
        <v/>
      </c>
      <c r="F488" s="100">
        <f>IF($A488="","",_xll.BDP($A488&amp;" Corp","MATURITY"))</f>
        <v/>
      </c>
      <c r="G488" s="75">
        <f>IF($A488="","",PROPER(_xll.BDP($A488&amp;" Corp","COUNTRY_FULL_NAME")))</f>
        <v/>
      </c>
      <c r="H488" s="75">
        <f>IF($A488="","",_xll.BDP($A488&amp;" Corp","INDUSTRY_SECTOR"))</f>
        <v/>
      </c>
      <c r="I488" s="101">
        <f>IF($A488="","",IFERROR(_xll.BDP($A488&amp;" Corp","MIN_PIECE")/1000,""))</f>
        <v/>
      </c>
      <c r="J488" s="31">
        <f>IF($A488="","",_xll.BDP($A488&amp;" Corp","PX_LAST"))</f>
        <v/>
      </c>
      <c r="K488" s="31">
        <f>IF($A488="","",_xll.BDP($A488&amp;" Corp","YAS_BOND_YLD","YAS_YLD_FLAG=15"))</f>
        <v/>
      </c>
      <c r="L488" s="31">
        <f>IF($A488="","",K488-_xll.BDP($A488&amp;" Corp","YAS_BOND_YLD","YAS_YLD_FLAG=15","SETTLE_DT",Company_desc!$A$1))</f>
        <v/>
      </c>
      <c r="M488" s="31">
        <f>IF($A488="","",K488-_xll.BDP($A488&amp;" Corp","YAS_BOND_YLD","YAS_YLD_FLAG=15","SETTLE_DT",Company_desc!$A$2))</f>
        <v/>
      </c>
      <c r="N488" s="79">
        <f>IF($A488="","",_xll.BDP($A488&amp;" Corp","YAS_OAS_SPRD"))</f>
        <v/>
      </c>
      <c r="O488" s="67">
        <f>IF($A488="","",_xll.BDP($A488&amp;" Corp","YAS_MOD_DUR"))</f>
        <v/>
      </c>
      <c r="P488" s="80">
        <f>IF($A488="","",IFERROR(INDEX(Sheet1!$P:$P,MATCH($A488,Sheet1!$A:$A,0)),""))</f>
        <v/>
      </c>
      <c r="Q488" s="75">
        <f>IF($A488="","",IFERROR(INDEX(Company_desc!$C:$C,MATCH($A488,Company_desc!$A:$A,0)),IFERROR(INDEX(Sheet1!$Q:$Q,MATCH($A488,Sheet1!$A:$A,0)),"")))</f>
        <v/>
      </c>
      <c r="R488" s="75">
        <f>IF($A488="","",_xll.BDP($A488&amp;" Corp","CRNCY"))</f>
        <v/>
      </c>
      <c r="S488" s="75">
        <f>IF($A488="","",IFERROR(INDEX(Sheet1!$S:$S,MATCH($A488,Sheet1!$A:$A,0)),""))</f>
        <v/>
      </c>
      <c r="T488" s="75">
        <f>IF($A488="","",IFERROR(INDEX(Sheet1!$T:$T,MATCH($A488,Sheet1!$A:$A,0)),_xll.BDP($A488&amp;" Corp","RTG_SP")))</f>
        <v/>
      </c>
      <c r="U488" s="75">
        <f>IF($A488="","",IFERROR(INDEX(Sheet1!$U:$U,MATCH($A488,Sheet1!$A:$A,0)),""))</f>
        <v/>
      </c>
      <c r="W488" s="81">
        <f>IF($A488="","",N488-_xll.BDP($A488&amp;" Corp","YAS_OAS_SPRD","SETTLE_DT",Company_desc!$A$1))</f>
        <v/>
      </c>
      <c r="X488" s="81">
        <f>IF($A488="","",N488-_xll.BDP($A488&amp;" Corp","YAS_OAS_SPRD","SETTLE_DT",Company_desc!$A$2))</f>
        <v/>
      </c>
      <c r="Y488" s="80">
        <f>IF($A488="","",N488-_xll.BDP($A488&amp;" Corp","YAS_OAS_SPRD","SETTLE_DT",Company_desc!$D$1))</f>
        <v/>
      </c>
      <c r="Z488" s="82">
        <f>IF($A488="","",K488-_xll.BDP($A488&amp;" Corp","YAS_BOND_YLD","YAS_YLD_FLAG=15","SETTLE_DT",Company_desc!$D$1))</f>
        <v/>
      </c>
      <c r="AA488" s="80">
        <f>IF($A488="","",_xll.BDP($A488&amp;" Corp","YAS_OAS_SPRD","SETTLE_DT",Company_desc!$D$1))</f>
        <v/>
      </c>
    </row>
    <row r="489">
      <c r="B489" s="75">
        <f>IF($A489="","",IFERROR(INDEX(Sheet1!$B:$B,MATCH($A489,Sheet1!$A:$A,0)),""))</f>
        <v/>
      </c>
      <c r="C489" s="75">
        <f>IF($A489="","",PROPER(_xll.BDP($A489&amp;" Corp","NAME")))</f>
        <v/>
      </c>
      <c r="D489" s="76">
        <f>IF($A489="","",_xll.BDP($A489&amp;" Corp","CPN"))</f>
        <v/>
      </c>
      <c r="E489" s="75">
        <f>IF($A489="","",_xll.BDP($A489&amp;" Corp","PAYMENT_RANK"))</f>
        <v/>
      </c>
      <c r="F489" s="100">
        <f>IF($A489="","",_xll.BDP($A489&amp;" Corp","MATURITY"))</f>
        <v/>
      </c>
      <c r="G489" s="75">
        <f>IF($A489="","",PROPER(_xll.BDP($A489&amp;" Corp","COUNTRY_FULL_NAME")))</f>
        <v/>
      </c>
      <c r="H489" s="75">
        <f>IF($A489="","",_xll.BDP($A489&amp;" Corp","INDUSTRY_SECTOR"))</f>
        <v/>
      </c>
      <c r="I489" s="101">
        <f>IF($A489="","",IFERROR(_xll.BDP($A489&amp;" Corp","MIN_PIECE")/1000,""))</f>
        <v/>
      </c>
      <c r="J489" s="31">
        <f>IF($A489="","",_xll.BDP($A489&amp;" Corp","PX_LAST"))</f>
        <v/>
      </c>
      <c r="K489" s="31">
        <f>IF($A489="","",_xll.BDP($A489&amp;" Corp","YAS_BOND_YLD","YAS_YLD_FLAG=15"))</f>
        <v/>
      </c>
      <c r="L489" s="31">
        <f>IF($A489="","",K489-_xll.BDP($A489&amp;" Corp","YAS_BOND_YLD","YAS_YLD_FLAG=15","SETTLE_DT",Company_desc!$A$1))</f>
        <v/>
      </c>
      <c r="M489" s="31">
        <f>IF($A489="","",K489-_xll.BDP($A489&amp;" Corp","YAS_BOND_YLD","YAS_YLD_FLAG=15","SETTLE_DT",Company_desc!$A$2))</f>
        <v/>
      </c>
      <c r="N489" s="79">
        <f>IF($A489="","",_xll.BDP($A489&amp;" Corp","YAS_OAS_SPRD"))</f>
        <v/>
      </c>
      <c r="O489" s="67">
        <f>IF($A489="","",_xll.BDP($A489&amp;" Corp","YAS_MOD_DUR"))</f>
        <v/>
      </c>
      <c r="P489" s="80">
        <f>IF($A489="","",IFERROR(INDEX(Sheet1!$P:$P,MATCH($A489,Sheet1!$A:$A,0)),""))</f>
        <v/>
      </c>
      <c r="Q489" s="75">
        <f>IF($A489="","",IFERROR(INDEX(Company_desc!$C:$C,MATCH($A489,Company_desc!$A:$A,0)),IFERROR(INDEX(Sheet1!$Q:$Q,MATCH($A489,Sheet1!$A:$A,0)),"")))</f>
        <v/>
      </c>
      <c r="R489" s="75">
        <f>IF($A489="","",_xll.BDP($A489&amp;" Corp","CRNCY"))</f>
        <v/>
      </c>
      <c r="S489" s="75">
        <f>IF($A489="","",IFERROR(INDEX(Sheet1!$S:$S,MATCH($A489,Sheet1!$A:$A,0)),""))</f>
        <v/>
      </c>
      <c r="T489" s="75">
        <f>IF($A489="","",IFERROR(INDEX(Sheet1!$T:$T,MATCH($A489,Sheet1!$A:$A,0)),_xll.BDP($A489&amp;" Corp","RTG_SP")))</f>
        <v/>
      </c>
      <c r="U489" s="75">
        <f>IF($A489="","",IFERROR(INDEX(Sheet1!$U:$U,MATCH($A489,Sheet1!$A:$A,0)),""))</f>
        <v/>
      </c>
      <c r="W489" s="81">
        <f>IF($A489="","",N489-_xll.BDP($A489&amp;" Corp","YAS_OAS_SPRD","SETTLE_DT",Company_desc!$A$1))</f>
        <v/>
      </c>
      <c r="X489" s="81">
        <f>IF($A489="","",N489-_xll.BDP($A489&amp;" Corp","YAS_OAS_SPRD","SETTLE_DT",Company_desc!$A$2))</f>
        <v/>
      </c>
      <c r="Y489" s="80">
        <f>IF($A489="","",N489-_xll.BDP($A489&amp;" Corp","YAS_OAS_SPRD","SETTLE_DT",Company_desc!$D$1))</f>
        <v/>
      </c>
      <c r="Z489" s="82">
        <f>IF($A489="","",K489-_xll.BDP($A489&amp;" Corp","YAS_BOND_YLD","YAS_YLD_FLAG=15","SETTLE_DT",Company_desc!$D$1))</f>
        <v/>
      </c>
      <c r="AA489" s="80">
        <f>IF($A489="","",_xll.BDP($A489&amp;" Corp","YAS_OAS_SPRD","SETTLE_DT",Company_desc!$D$1))</f>
        <v/>
      </c>
    </row>
    <row r="490">
      <c r="B490" s="75">
        <f>IF($A490="","",IFERROR(INDEX(Sheet1!$B:$B,MATCH($A490,Sheet1!$A:$A,0)),""))</f>
        <v/>
      </c>
      <c r="C490" s="75">
        <f>IF($A490="","",PROPER(_xll.BDP($A490&amp;" Corp","NAME")))</f>
        <v/>
      </c>
      <c r="D490" s="76">
        <f>IF($A490="","",_xll.BDP($A490&amp;" Corp","CPN"))</f>
        <v/>
      </c>
      <c r="E490" s="75">
        <f>IF($A490="","",_xll.BDP($A490&amp;" Corp","PAYMENT_RANK"))</f>
        <v/>
      </c>
      <c r="F490" s="100">
        <f>IF($A490="","",_xll.BDP($A490&amp;" Corp","MATURITY"))</f>
        <v/>
      </c>
      <c r="G490" s="75">
        <f>IF($A490="","",PROPER(_xll.BDP($A490&amp;" Corp","COUNTRY_FULL_NAME")))</f>
        <v/>
      </c>
      <c r="H490" s="75">
        <f>IF($A490="","",_xll.BDP($A490&amp;" Corp","INDUSTRY_SECTOR"))</f>
        <v/>
      </c>
      <c r="I490" s="101">
        <f>IF($A490="","",IFERROR(_xll.BDP($A490&amp;" Corp","MIN_PIECE")/1000,""))</f>
        <v/>
      </c>
      <c r="J490" s="31">
        <f>IF($A490="","",_xll.BDP($A490&amp;" Corp","PX_LAST"))</f>
        <v/>
      </c>
      <c r="K490" s="31">
        <f>IF($A490="","",_xll.BDP($A490&amp;" Corp","YAS_BOND_YLD","YAS_YLD_FLAG=15"))</f>
        <v/>
      </c>
      <c r="L490" s="31">
        <f>IF($A490="","",K490-_xll.BDP($A490&amp;" Corp","YAS_BOND_YLD","YAS_YLD_FLAG=15","SETTLE_DT",Company_desc!$A$1))</f>
        <v/>
      </c>
      <c r="M490" s="31">
        <f>IF($A490="","",K490-_xll.BDP($A490&amp;" Corp","YAS_BOND_YLD","YAS_YLD_FLAG=15","SETTLE_DT",Company_desc!$A$2))</f>
        <v/>
      </c>
      <c r="N490" s="79">
        <f>IF($A490="","",_xll.BDP($A490&amp;" Corp","YAS_OAS_SPRD"))</f>
        <v/>
      </c>
      <c r="O490" s="67">
        <f>IF($A490="","",_xll.BDP($A490&amp;" Corp","YAS_MOD_DUR"))</f>
        <v/>
      </c>
      <c r="P490" s="80">
        <f>IF($A490="","",IFERROR(INDEX(Sheet1!$P:$P,MATCH($A490,Sheet1!$A:$A,0)),""))</f>
        <v/>
      </c>
      <c r="Q490" s="75">
        <f>IF($A490="","",IFERROR(INDEX(Company_desc!$C:$C,MATCH($A490,Company_desc!$A:$A,0)),IFERROR(INDEX(Sheet1!$Q:$Q,MATCH($A490,Sheet1!$A:$A,0)),"")))</f>
        <v/>
      </c>
      <c r="R490" s="75">
        <f>IF($A490="","",_xll.BDP($A490&amp;" Corp","CRNCY"))</f>
        <v/>
      </c>
      <c r="S490" s="75">
        <f>IF($A490="","",IFERROR(INDEX(Sheet1!$S:$S,MATCH($A490,Sheet1!$A:$A,0)),""))</f>
        <v/>
      </c>
      <c r="T490" s="75">
        <f>IF($A490="","",IFERROR(INDEX(Sheet1!$T:$T,MATCH($A490,Sheet1!$A:$A,0)),_xll.BDP($A490&amp;" Corp","RTG_SP")))</f>
        <v/>
      </c>
      <c r="U490" s="75">
        <f>IF($A490="","",IFERROR(INDEX(Sheet1!$U:$U,MATCH($A490,Sheet1!$A:$A,0)),""))</f>
        <v/>
      </c>
      <c r="W490" s="81">
        <f>IF($A490="","",N490-_xll.BDP($A490&amp;" Corp","YAS_OAS_SPRD","SETTLE_DT",Company_desc!$A$1))</f>
        <v/>
      </c>
      <c r="X490" s="81">
        <f>IF($A490="","",N490-_xll.BDP($A490&amp;" Corp","YAS_OAS_SPRD","SETTLE_DT",Company_desc!$A$2))</f>
        <v/>
      </c>
      <c r="Y490" s="80">
        <f>IF($A490="","",N490-_xll.BDP($A490&amp;" Corp","YAS_OAS_SPRD","SETTLE_DT",Company_desc!$D$1))</f>
        <v/>
      </c>
      <c r="Z490" s="82">
        <f>IF($A490="","",K490-_xll.BDP($A490&amp;" Corp","YAS_BOND_YLD","YAS_YLD_FLAG=15","SETTLE_DT",Company_desc!$D$1))</f>
        <v/>
      </c>
      <c r="AA490" s="80">
        <f>IF($A490="","",_xll.BDP($A490&amp;" Corp","YAS_OAS_SPRD","SETTLE_DT",Company_desc!$D$1))</f>
        <v/>
      </c>
    </row>
    <row r="491">
      <c r="B491" s="75">
        <f>IF($A491="","",IFERROR(INDEX(Sheet1!$B:$B,MATCH($A491,Sheet1!$A:$A,0)),""))</f>
        <v/>
      </c>
      <c r="C491" s="75">
        <f>IF($A491="","",PROPER(_xll.BDP($A491&amp;" Corp","NAME")))</f>
        <v/>
      </c>
      <c r="D491" s="76">
        <f>IF($A491="","",_xll.BDP($A491&amp;" Corp","CPN"))</f>
        <v/>
      </c>
      <c r="E491" s="75">
        <f>IF($A491="","",_xll.BDP($A491&amp;" Corp","PAYMENT_RANK"))</f>
        <v/>
      </c>
      <c r="F491" s="100">
        <f>IF($A491="","",_xll.BDP($A491&amp;" Corp","MATURITY"))</f>
        <v/>
      </c>
      <c r="G491" s="75">
        <f>IF($A491="","",PROPER(_xll.BDP($A491&amp;" Corp","COUNTRY_FULL_NAME")))</f>
        <v/>
      </c>
      <c r="H491" s="75">
        <f>IF($A491="","",_xll.BDP($A491&amp;" Corp","INDUSTRY_SECTOR"))</f>
        <v/>
      </c>
      <c r="I491" s="101">
        <f>IF($A491="","",IFERROR(_xll.BDP($A491&amp;" Corp","MIN_PIECE")/1000,""))</f>
        <v/>
      </c>
      <c r="J491" s="31">
        <f>IF($A491="","",_xll.BDP($A491&amp;" Corp","PX_LAST"))</f>
        <v/>
      </c>
      <c r="K491" s="31">
        <f>IF($A491="","",_xll.BDP($A491&amp;" Corp","YAS_BOND_YLD","YAS_YLD_FLAG=15"))</f>
        <v/>
      </c>
      <c r="L491" s="31">
        <f>IF($A491="","",K491-_xll.BDP($A491&amp;" Corp","YAS_BOND_YLD","YAS_YLD_FLAG=15","SETTLE_DT",Company_desc!$A$1))</f>
        <v/>
      </c>
      <c r="M491" s="31">
        <f>IF($A491="","",K491-_xll.BDP($A491&amp;" Corp","YAS_BOND_YLD","YAS_YLD_FLAG=15","SETTLE_DT",Company_desc!$A$2))</f>
        <v/>
      </c>
      <c r="N491" s="79">
        <f>IF($A491="","",_xll.BDP($A491&amp;" Corp","YAS_OAS_SPRD"))</f>
        <v/>
      </c>
      <c r="O491" s="67">
        <f>IF($A491="","",_xll.BDP($A491&amp;" Corp","YAS_MOD_DUR"))</f>
        <v/>
      </c>
      <c r="P491" s="80">
        <f>IF($A491="","",IFERROR(INDEX(Sheet1!$P:$P,MATCH($A491,Sheet1!$A:$A,0)),""))</f>
        <v/>
      </c>
      <c r="Q491" s="75">
        <f>IF($A491="","",IFERROR(INDEX(Company_desc!$C:$C,MATCH($A491,Company_desc!$A:$A,0)),IFERROR(INDEX(Sheet1!$Q:$Q,MATCH($A491,Sheet1!$A:$A,0)),"")))</f>
        <v/>
      </c>
      <c r="R491" s="75">
        <f>IF($A491="","",_xll.BDP($A491&amp;" Corp","CRNCY"))</f>
        <v/>
      </c>
      <c r="S491" s="75">
        <f>IF($A491="","",IFERROR(INDEX(Sheet1!$S:$S,MATCH($A491,Sheet1!$A:$A,0)),""))</f>
        <v/>
      </c>
      <c r="T491" s="75">
        <f>IF($A491="","",IFERROR(INDEX(Sheet1!$T:$T,MATCH($A491,Sheet1!$A:$A,0)),_xll.BDP($A491&amp;" Corp","RTG_SP")))</f>
        <v/>
      </c>
      <c r="U491" s="75">
        <f>IF($A491="","",IFERROR(INDEX(Sheet1!$U:$U,MATCH($A491,Sheet1!$A:$A,0)),""))</f>
        <v/>
      </c>
      <c r="W491" s="81">
        <f>IF($A491="","",N491-_xll.BDP($A491&amp;" Corp","YAS_OAS_SPRD","SETTLE_DT",Company_desc!$A$1))</f>
        <v/>
      </c>
      <c r="X491" s="81">
        <f>IF($A491="","",N491-_xll.BDP($A491&amp;" Corp","YAS_OAS_SPRD","SETTLE_DT",Company_desc!$A$2))</f>
        <v/>
      </c>
      <c r="Y491" s="80">
        <f>IF($A491="","",N491-_xll.BDP($A491&amp;" Corp","YAS_OAS_SPRD","SETTLE_DT",Company_desc!$D$1))</f>
        <v/>
      </c>
      <c r="Z491" s="82">
        <f>IF($A491="","",K491-_xll.BDP($A491&amp;" Corp","YAS_BOND_YLD","YAS_YLD_FLAG=15","SETTLE_DT",Company_desc!$D$1))</f>
        <v/>
      </c>
      <c r="AA491" s="80">
        <f>IF($A491="","",_xll.BDP($A491&amp;" Corp","YAS_OAS_SPRD","SETTLE_DT",Company_desc!$D$1))</f>
        <v/>
      </c>
    </row>
    <row r="492">
      <c r="B492" s="75">
        <f>IF($A492="","",IFERROR(INDEX(Sheet1!$B:$B,MATCH($A492,Sheet1!$A:$A,0)),""))</f>
        <v/>
      </c>
      <c r="C492" s="75">
        <f>IF($A492="","",PROPER(_xll.BDP($A492&amp;" Corp","NAME")))</f>
        <v/>
      </c>
      <c r="D492" s="76">
        <f>IF($A492="","",_xll.BDP($A492&amp;" Corp","CPN"))</f>
        <v/>
      </c>
      <c r="E492" s="75">
        <f>IF($A492="","",_xll.BDP($A492&amp;" Corp","PAYMENT_RANK"))</f>
        <v/>
      </c>
      <c r="F492" s="100">
        <f>IF($A492="","",_xll.BDP($A492&amp;" Corp","MATURITY"))</f>
        <v/>
      </c>
      <c r="G492" s="75">
        <f>IF($A492="","",PROPER(_xll.BDP($A492&amp;" Corp","COUNTRY_FULL_NAME")))</f>
        <v/>
      </c>
      <c r="H492" s="75">
        <f>IF($A492="","",_xll.BDP($A492&amp;" Corp","INDUSTRY_SECTOR"))</f>
        <v/>
      </c>
      <c r="I492" s="101">
        <f>IF($A492="","",IFERROR(_xll.BDP($A492&amp;" Corp","MIN_PIECE")/1000,""))</f>
        <v/>
      </c>
      <c r="J492" s="31">
        <f>IF($A492="","",_xll.BDP($A492&amp;" Corp","PX_LAST"))</f>
        <v/>
      </c>
      <c r="K492" s="31">
        <f>IF($A492="","",_xll.BDP($A492&amp;" Corp","YAS_BOND_YLD","YAS_YLD_FLAG=15"))</f>
        <v/>
      </c>
      <c r="L492" s="31">
        <f>IF($A492="","",K492-_xll.BDP($A492&amp;" Corp","YAS_BOND_YLD","YAS_YLD_FLAG=15","SETTLE_DT",Company_desc!$A$1))</f>
        <v/>
      </c>
      <c r="M492" s="31">
        <f>IF($A492="","",K492-_xll.BDP($A492&amp;" Corp","YAS_BOND_YLD","YAS_YLD_FLAG=15","SETTLE_DT",Company_desc!$A$2))</f>
        <v/>
      </c>
      <c r="N492" s="79">
        <f>IF($A492="","",_xll.BDP($A492&amp;" Corp","YAS_OAS_SPRD"))</f>
        <v/>
      </c>
      <c r="O492" s="67">
        <f>IF($A492="","",_xll.BDP($A492&amp;" Corp","YAS_MOD_DUR"))</f>
        <v/>
      </c>
      <c r="P492" s="80">
        <f>IF($A492="","",IFERROR(INDEX(Sheet1!$P:$P,MATCH($A492,Sheet1!$A:$A,0)),""))</f>
        <v/>
      </c>
      <c r="Q492" s="75">
        <f>IF($A492="","",IFERROR(INDEX(Company_desc!$C:$C,MATCH($A492,Company_desc!$A:$A,0)),IFERROR(INDEX(Sheet1!$Q:$Q,MATCH($A492,Sheet1!$A:$A,0)),"")))</f>
        <v/>
      </c>
      <c r="R492" s="75">
        <f>IF($A492="","",_xll.BDP($A492&amp;" Corp","CRNCY"))</f>
        <v/>
      </c>
      <c r="S492" s="75">
        <f>IF($A492="","",IFERROR(INDEX(Sheet1!$S:$S,MATCH($A492,Sheet1!$A:$A,0)),""))</f>
        <v/>
      </c>
      <c r="T492" s="75">
        <f>IF($A492="","",IFERROR(INDEX(Sheet1!$T:$T,MATCH($A492,Sheet1!$A:$A,0)),_xll.BDP($A492&amp;" Corp","RTG_SP")))</f>
        <v/>
      </c>
      <c r="U492" s="75">
        <f>IF($A492="","",IFERROR(INDEX(Sheet1!$U:$U,MATCH($A492,Sheet1!$A:$A,0)),""))</f>
        <v/>
      </c>
      <c r="W492" s="81">
        <f>IF($A492="","",N492-_xll.BDP($A492&amp;" Corp","YAS_OAS_SPRD","SETTLE_DT",Company_desc!$A$1))</f>
        <v/>
      </c>
      <c r="X492" s="81">
        <f>IF($A492="","",N492-_xll.BDP($A492&amp;" Corp","YAS_OAS_SPRD","SETTLE_DT",Company_desc!$A$2))</f>
        <v/>
      </c>
      <c r="Y492" s="80">
        <f>IF($A492="","",N492-_xll.BDP($A492&amp;" Corp","YAS_OAS_SPRD","SETTLE_DT",Company_desc!$D$1))</f>
        <v/>
      </c>
      <c r="Z492" s="82">
        <f>IF($A492="","",K492-_xll.BDP($A492&amp;" Corp","YAS_BOND_YLD","YAS_YLD_FLAG=15","SETTLE_DT",Company_desc!$D$1))</f>
        <v/>
      </c>
      <c r="AA492" s="80">
        <f>IF($A492="","",_xll.BDP($A492&amp;" Corp","YAS_OAS_SPRD","SETTLE_DT",Company_desc!$D$1))</f>
        <v/>
      </c>
    </row>
    <row r="493">
      <c r="B493" s="75">
        <f>IF($A493="","",IFERROR(INDEX(Sheet1!$B:$B,MATCH($A493,Sheet1!$A:$A,0)),""))</f>
        <v/>
      </c>
      <c r="C493" s="75">
        <f>IF($A493="","",PROPER(_xll.BDP($A493&amp;" Corp","NAME")))</f>
        <v/>
      </c>
      <c r="D493" s="76">
        <f>IF($A493="","",_xll.BDP($A493&amp;" Corp","CPN"))</f>
        <v/>
      </c>
      <c r="E493" s="75">
        <f>IF($A493="","",_xll.BDP($A493&amp;" Corp","PAYMENT_RANK"))</f>
        <v/>
      </c>
      <c r="F493" s="100">
        <f>IF($A493="","",_xll.BDP($A493&amp;" Corp","MATURITY"))</f>
        <v/>
      </c>
      <c r="G493" s="75">
        <f>IF($A493="","",PROPER(_xll.BDP($A493&amp;" Corp","COUNTRY_FULL_NAME")))</f>
        <v/>
      </c>
      <c r="H493" s="75">
        <f>IF($A493="","",_xll.BDP($A493&amp;" Corp","INDUSTRY_SECTOR"))</f>
        <v/>
      </c>
      <c r="I493" s="101">
        <f>IF($A493="","",IFERROR(_xll.BDP($A493&amp;" Corp","MIN_PIECE")/1000,""))</f>
        <v/>
      </c>
      <c r="J493" s="31">
        <f>IF($A493="","",_xll.BDP($A493&amp;" Corp","PX_LAST"))</f>
        <v/>
      </c>
      <c r="K493" s="31">
        <f>IF($A493="","",_xll.BDP($A493&amp;" Corp","YAS_BOND_YLD","YAS_YLD_FLAG=15"))</f>
        <v/>
      </c>
      <c r="L493" s="31">
        <f>IF($A493="","",K493-_xll.BDP($A493&amp;" Corp","YAS_BOND_YLD","YAS_YLD_FLAG=15","SETTLE_DT",Company_desc!$A$1))</f>
        <v/>
      </c>
      <c r="M493" s="31">
        <f>IF($A493="","",K493-_xll.BDP($A493&amp;" Corp","YAS_BOND_YLD","YAS_YLD_FLAG=15","SETTLE_DT",Company_desc!$A$2))</f>
        <v/>
      </c>
      <c r="N493" s="79">
        <f>IF($A493="","",_xll.BDP($A493&amp;" Corp","YAS_OAS_SPRD"))</f>
        <v/>
      </c>
      <c r="O493" s="67">
        <f>IF($A493="","",_xll.BDP($A493&amp;" Corp","YAS_MOD_DUR"))</f>
        <v/>
      </c>
      <c r="P493" s="80">
        <f>IF($A493="","",IFERROR(INDEX(Sheet1!$P:$P,MATCH($A493,Sheet1!$A:$A,0)),""))</f>
        <v/>
      </c>
      <c r="Q493" s="75">
        <f>IF($A493="","",IFERROR(INDEX(Company_desc!$C:$C,MATCH($A493,Company_desc!$A:$A,0)),IFERROR(INDEX(Sheet1!$Q:$Q,MATCH($A493,Sheet1!$A:$A,0)),"")))</f>
        <v/>
      </c>
      <c r="R493" s="75">
        <f>IF($A493="","",_xll.BDP($A493&amp;" Corp","CRNCY"))</f>
        <v/>
      </c>
      <c r="S493" s="75">
        <f>IF($A493="","",IFERROR(INDEX(Sheet1!$S:$S,MATCH($A493,Sheet1!$A:$A,0)),""))</f>
        <v/>
      </c>
      <c r="T493" s="75">
        <f>IF($A493="","",IFERROR(INDEX(Sheet1!$T:$T,MATCH($A493,Sheet1!$A:$A,0)),_xll.BDP($A493&amp;" Corp","RTG_SP")))</f>
        <v/>
      </c>
      <c r="U493" s="75">
        <f>IF($A493="","",IFERROR(INDEX(Sheet1!$U:$U,MATCH($A493,Sheet1!$A:$A,0)),""))</f>
        <v/>
      </c>
      <c r="W493" s="81">
        <f>IF($A493="","",N493-_xll.BDP($A493&amp;" Corp","YAS_OAS_SPRD","SETTLE_DT",Company_desc!$A$1))</f>
        <v/>
      </c>
      <c r="X493" s="81">
        <f>IF($A493="","",N493-_xll.BDP($A493&amp;" Corp","YAS_OAS_SPRD","SETTLE_DT",Company_desc!$A$2))</f>
        <v/>
      </c>
      <c r="Y493" s="80">
        <f>IF($A493="","",N493-_xll.BDP($A493&amp;" Corp","YAS_OAS_SPRD","SETTLE_DT",Company_desc!$D$1))</f>
        <v/>
      </c>
      <c r="Z493" s="82">
        <f>IF($A493="","",K493-_xll.BDP($A493&amp;" Corp","YAS_BOND_YLD","YAS_YLD_FLAG=15","SETTLE_DT",Company_desc!$D$1))</f>
        <v/>
      </c>
      <c r="AA493" s="80">
        <f>IF($A493="","",_xll.BDP($A493&amp;" Corp","YAS_OAS_SPRD","SETTLE_DT",Company_desc!$D$1))</f>
        <v/>
      </c>
    </row>
    <row r="494">
      <c r="B494" s="75">
        <f>IF($A494="","",IFERROR(INDEX(Sheet1!$B:$B,MATCH($A494,Sheet1!$A:$A,0)),""))</f>
        <v/>
      </c>
      <c r="C494" s="75">
        <f>IF($A494="","",PROPER(_xll.BDP($A494&amp;" Corp","NAME")))</f>
        <v/>
      </c>
      <c r="D494" s="76">
        <f>IF($A494="","",_xll.BDP($A494&amp;" Corp","CPN"))</f>
        <v/>
      </c>
      <c r="E494" s="75">
        <f>IF($A494="","",_xll.BDP($A494&amp;" Corp","PAYMENT_RANK"))</f>
        <v/>
      </c>
      <c r="F494" s="100">
        <f>IF($A494="","",_xll.BDP($A494&amp;" Corp","MATURITY"))</f>
        <v/>
      </c>
      <c r="G494" s="75">
        <f>IF($A494="","",PROPER(_xll.BDP($A494&amp;" Corp","COUNTRY_FULL_NAME")))</f>
        <v/>
      </c>
      <c r="H494" s="75">
        <f>IF($A494="","",_xll.BDP($A494&amp;" Corp","INDUSTRY_SECTOR"))</f>
        <v/>
      </c>
      <c r="I494" s="101">
        <f>IF($A494="","",IFERROR(_xll.BDP($A494&amp;" Corp","MIN_PIECE")/1000,""))</f>
        <v/>
      </c>
      <c r="J494" s="31">
        <f>IF($A494="","",_xll.BDP($A494&amp;" Corp","PX_LAST"))</f>
        <v/>
      </c>
      <c r="K494" s="31">
        <f>IF($A494="","",_xll.BDP($A494&amp;" Corp","YAS_BOND_YLD","YAS_YLD_FLAG=15"))</f>
        <v/>
      </c>
      <c r="L494" s="31">
        <f>IF($A494="","",K494-_xll.BDP($A494&amp;" Corp","YAS_BOND_YLD","YAS_YLD_FLAG=15","SETTLE_DT",Company_desc!$A$1))</f>
        <v/>
      </c>
      <c r="M494" s="31">
        <f>IF($A494="","",K494-_xll.BDP($A494&amp;" Corp","YAS_BOND_YLD","YAS_YLD_FLAG=15","SETTLE_DT",Company_desc!$A$2))</f>
        <v/>
      </c>
      <c r="N494" s="79">
        <f>IF($A494="","",_xll.BDP($A494&amp;" Corp","YAS_OAS_SPRD"))</f>
        <v/>
      </c>
      <c r="O494" s="67">
        <f>IF($A494="","",_xll.BDP($A494&amp;" Corp","YAS_MOD_DUR"))</f>
        <v/>
      </c>
      <c r="P494" s="80">
        <f>IF($A494="","",IFERROR(INDEX(Sheet1!$P:$P,MATCH($A494,Sheet1!$A:$A,0)),""))</f>
        <v/>
      </c>
      <c r="Q494" s="75">
        <f>IF($A494="","",IFERROR(INDEX(Company_desc!$C:$C,MATCH($A494,Company_desc!$A:$A,0)),IFERROR(INDEX(Sheet1!$Q:$Q,MATCH($A494,Sheet1!$A:$A,0)),"")))</f>
        <v/>
      </c>
      <c r="R494" s="75">
        <f>IF($A494="","",_xll.BDP($A494&amp;" Corp","CRNCY"))</f>
        <v/>
      </c>
      <c r="S494" s="75">
        <f>IF($A494="","",IFERROR(INDEX(Sheet1!$S:$S,MATCH($A494,Sheet1!$A:$A,0)),""))</f>
        <v/>
      </c>
      <c r="T494" s="75">
        <f>IF($A494="","",IFERROR(INDEX(Sheet1!$T:$T,MATCH($A494,Sheet1!$A:$A,0)),_xll.BDP($A494&amp;" Corp","RTG_SP")))</f>
        <v/>
      </c>
      <c r="U494" s="75">
        <f>IF($A494="","",IFERROR(INDEX(Sheet1!$U:$U,MATCH($A494,Sheet1!$A:$A,0)),""))</f>
        <v/>
      </c>
      <c r="W494" s="81">
        <f>IF($A494="","",N494-_xll.BDP($A494&amp;" Corp","YAS_OAS_SPRD","SETTLE_DT",Company_desc!$A$1))</f>
        <v/>
      </c>
      <c r="X494" s="81">
        <f>IF($A494="","",N494-_xll.BDP($A494&amp;" Corp","YAS_OAS_SPRD","SETTLE_DT",Company_desc!$A$2))</f>
        <v/>
      </c>
      <c r="Y494" s="80">
        <f>IF($A494="","",N494-_xll.BDP($A494&amp;" Corp","YAS_OAS_SPRD","SETTLE_DT",Company_desc!$D$1))</f>
        <v/>
      </c>
      <c r="Z494" s="82">
        <f>IF($A494="","",K494-_xll.BDP($A494&amp;" Corp","YAS_BOND_YLD","YAS_YLD_FLAG=15","SETTLE_DT",Company_desc!$D$1))</f>
        <v/>
      </c>
      <c r="AA494" s="80">
        <f>IF($A494="","",_xll.BDP($A494&amp;" Corp","YAS_OAS_SPRD","SETTLE_DT",Company_desc!$D$1))</f>
        <v/>
      </c>
    </row>
    <row r="495">
      <c r="B495" s="75">
        <f>IF($A495="","",IFERROR(INDEX(Sheet1!$B:$B,MATCH($A495,Sheet1!$A:$A,0)),""))</f>
        <v/>
      </c>
      <c r="C495" s="75">
        <f>IF($A495="","",PROPER(_xll.BDP($A495&amp;" Corp","NAME")))</f>
        <v/>
      </c>
      <c r="D495" s="76">
        <f>IF($A495="","",_xll.BDP($A495&amp;" Corp","CPN"))</f>
        <v/>
      </c>
      <c r="E495" s="75">
        <f>IF($A495="","",_xll.BDP($A495&amp;" Corp","PAYMENT_RANK"))</f>
        <v/>
      </c>
      <c r="F495" s="100">
        <f>IF($A495="","",_xll.BDP($A495&amp;" Corp","MATURITY"))</f>
        <v/>
      </c>
      <c r="G495" s="75">
        <f>IF($A495="","",PROPER(_xll.BDP($A495&amp;" Corp","COUNTRY_FULL_NAME")))</f>
        <v/>
      </c>
      <c r="H495" s="75">
        <f>IF($A495="","",_xll.BDP($A495&amp;" Corp","INDUSTRY_SECTOR"))</f>
        <v/>
      </c>
      <c r="I495" s="101">
        <f>IF($A495="","",IFERROR(_xll.BDP($A495&amp;" Corp","MIN_PIECE")/1000,""))</f>
        <v/>
      </c>
      <c r="J495" s="31">
        <f>IF($A495="","",_xll.BDP($A495&amp;" Corp","PX_LAST"))</f>
        <v/>
      </c>
      <c r="K495" s="31">
        <f>IF($A495="","",_xll.BDP($A495&amp;" Corp","YAS_BOND_YLD","YAS_YLD_FLAG=15"))</f>
        <v/>
      </c>
      <c r="L495" s="31">
        <f>IF($A495="","",K495-_xll.BDP($A495&amp;" Corp","YAS_BOND_YLD","YAS_YLD_FLAG=15","SETTLE_DT",Company_desc!$A$1))</f>
        <v/>
      </c>
      <c r="M495" s="31">
        <f>IF($A495="","",K495-_xll.BDP($A495&amp;" Corp","YAS_BOND_YLD","YAS_YLD_FLAG=15","SETTLE_DT",Company_desc!$A$2))</f>
        <v/>
      </c>
      <c r="N495" s="79">
        <f>IF($A495="","",_xll.BDP($A495&amp;" Corp","YAS_OAS_SPRD"))</f>
        <v/>
      </c>
      <c r="O495" s="67">
        <f>IF($A495="","",_xll.BDP($A495&amp;" Corp","YAS_MOD_DUR"))</f>
        <v/>
      </c>
      <c r="P495" s="80">
        <f>IF($A495="","",IFERROR(INDEX(Sheet1!$P:$P,MATCH($A495,Sheet1!$A:$A,0)),""))</f>
        <v/>
      </c>
      <c r="Q495" s="75">
        <f>IF($A495="","",IFERROR(INDEX(Company_desc!$C:$C,MATCH($A495,Company_desc!$A:$A,0)),IFERROR(INDEX(Sheet1!$Q:$Q,MATCH($A495,Sheet1!$A:$A,0)),"")))</f>
        <v/>
      </c>
      <c r="R495" s="75">
        <f>IF($A495="","",_xll.BDP($A495&amp;" Corp","CRNCY"))</f>
        <v/>
      </c>
      <c r="S495" s="75">
        <f>IF($A495="","",IFERROR(INDEX(Sheet1!$S:$S,MATCH($A495,Sheet1!$A:$A,0)),""))</f>
        <v/>
      </c>
      <c r="T495" s="75">
        <f>IF($A495="","",IFERROR(INDEX(Sheet1!$T:$T,MATCH($A495,Sheet1!$A:$A,0)),_xll.BDP($A495&amp;" Corp","RTG_SP")))</f>
        <v/>
      </c>
      <c r="U495" s="75">
        <f>IF($A495="","",IFERROR(INDEX(Sheet1!$U:$U,MATCH($A495,Sheet1!$A:$A,0)),""))</f>
        <v/>
      </c>
      <c r="W495" s="81">
        <f>IF($A495="","",N495-_xll.BDP($A495&amp;" Corp","YAS_OAS_SPRD","SETTLE_DT",Company_desc!$A$1))</f>
        <v/>
      </c>
      <c r="X495" s="81">
        <f>IF($A495="","",N495-_xll.BDP($A495&amp;" Corp","YAS_OAS_SPRD","SETTLE_DT",Company_desc!$A$2))</f>
        <v/>
      </c>
      <c r="Y495" s="80">
        <f>IF($A495="","",N495-_xll.BDP($A495&amp;" Corp","YAS_OAS_SPRD","SETTLE_DT",Company_desc!$D$1))</f>
        <v/>
      </c>
      <c r="Z495" s="82">
        <f>IF($A495="","",K495-_xll.BDP($A495&amp;" Corp","YAS_BOND_YLD","YAS_YLD_FLAG=15","SETTLE_DT",Company_desc!$D$1))</f>
        <v/>
      </c>
      <c r="AA495" s="80">
        <f>IF($A495="","",_xll.BDP($A495&amp;" Corp","YAS_OAS_SPRD","SETTLE_DT",Company_desc!$D$1))</f>
        <v/>
      </c>
    </row>
    <row r="496">
      <c r="B496" s="75">
        <f>IF($A496="","",IFERROR(INDEX(Sheet1!$B:$B,MATCH($A496,Sheet1!$A:$A,0)),""))</f>
        <v/>
      </c>
      <c r="C496" s="75">
        <f>IF($A496="","",PROPER(_xll.BDP($A496&amp;" Corp","NAME")))</f>
        <v/>
      </c>
      <c r="D496" s="76">
        <f>IF($A496="","",_xll.BDP($A496&amp;" Corp","CPN"))</f>
        <v/>
      </c>
      <c r="E496" s="75">
        <f>IF($A496="","",_xll.BDP($A496&amp;" Corp","PAYMENT_RANK"))</f>
        <v/>
      </c>
      <c r="F496" s="100">
        <f>IF($A496="","",_xll.BDP($A496&amp;" Corp","MATURITY"))</f>
        <v/>
      </c>
      <c r="G496" s="75">
        <f>IF($A496="","",PROPER(_xll.BDP($A496&amp;" Corp","COUNTRY_FULL_NAME")))</f>
        <v/>
      </c>
      <c r="H496" s="75">
        <f>IF($A496="","",_xll.BDP($A496&amp;" Corp","INDUSTRY_SECTOR"))</f>
        <v/>
      </c>
      <c r="I496" s="101">
        <f>IF($A496="","",IFERROR(_xll.BDP($A496&amp;" Corp","MIN_PIECE")/1000,""))</f>
        <v/>
      </c>
      <c r="J496" s="31">
        <f>IF($A496="","",_xll.BDP($A496&amp;" Corp","PX_LAST"))</f>
        <v/>
      </c>
      <c r="K496" s="31">
        <f>IF($A496="","",_xll.BDP($A496&amp;" Corp","YAS_BOND_YLD","YAS_YLD_FLAG=15"))</f>
        <v/>
      </c>
      <c r="L496" s="31">
        <f>IF($A496="","",K496-_xll.BDP($A496&amp;" Corp","YAS_BOND_YLD","YAS_YLD_FLAG=15","SETTLE_DT",Company_desc!$A$1))</f>
        <v/>
      </c>
      <c r="M496" s="31">
        <f>IF($A496="","",K496-_xll.BDP($A496&amp;" Corp","YAS_BOND_YLD","YAS_YLD_FLAG=15","SETTLE_DT",Company_desc!$A$2))</f>
        <v/>
      </c>
      <c r="N496" s="79">
        <f>IF($A496="","",_xll.BDP($A496&amp;" Corp","YAS_OAS_SPRD"))</f>
        <v/>
      </c>
      <c r="O496" s="67">
        <f>IF($A496="","",_xll.BDP($A496&amp;" Corp","YAS_MOD_DUR"))</f>
        <v/>
      </c>
      <c r="P496" s="80">
        <f>IF($A496="","",IFERROR(INDEX(Sheet1!$P:$P,MATCH($A496,Sheet1!$A:$A,0)),""))</f>
        <v/>
      </c>
      <c r="Q496" s="75">
        <f>IF($A496="","",IFERROR(INDEX(Company_desc!$C:$C,MATCH($A496,Company_desc!$A:$A,0)),IFERROR(INDEX(Sheet1!$Q:$Q,MATCH($A496,Sheet1!$A:$A,0)),"")))</f>
        <v/>
      </c>
      <c r="R496" s="75">
        <f>IF($A496="","",_xll.BDP($A496&amp;" Corp","CRNCY"))</f>
        <v/>
      </c>
      <c r="S496" s="75">
        <f>IF($A496="","",IFERROR(INDEX(Sheet1!$S:$S,MATCH($A496,Sheet1!$A:$A,0)),""))</f>
        <v/>
      </c>
      <c r="T496" s="75">
        <f>IF($A496="","",IFERROR(INDEX(Sheet1!$T:$T,MATCH($A496,Sheet1!$A:$A,0)),_xll.BDP($A496&amp;" Corp","RTG_SP")))</f>
        <v/>
      </c>
      <c r="U496" s="75">
        <f>IF($A496="","",IFERROR(INDEX(Sheet1!$U:$U,MATCH($A496,Sheet1!$A:$A,0)),""))</f>
        <v/>
      </c>
      <c r="W496" s="81">
        <f>IF($A496="","",N496-_xll.BDP($A496&amp;" Corp","YAS_OAS_SPRD","SETTLE_DT",Company_desc!$A$1))</f>
        <v/>
      </c>
      <c r="X496" s="81">
        <f>IF($A496="","",N496-_xll.BDP($A496&amp;" Corp","YAS_OAS_SPRD","SETTLE_DT",Company_desc!$A$2))</f>
        <v/>
      </c>
      <c r="Y496" s="80">
        <f>IF($A496="","",N496-_xll.BDP($A496&amp;" Corp","YAS_OAS_SPRD","SETTLE_DT",Company_desc!$D$1))</f>
        <v/>
      </c>
      <c r="Z496" s="82">
        <f>IF($A496="","",K496-_xll.BDP($A496&amp;" Corp","YAS_BOND_YLD","YAS_YLD_FLAG=15","SETTLE_DT",Company_desc!$D$1))</f>
        <v/>
      </c>
      <c r="AA496" s="80">
        <f>IF($A496="","",_xll.BDP($A496&amp;" Corp","YAS_OAS_SPRD","SETTLE_DT",Company_desc!$D$1))</f>
        <v/>
      </c>
    </row>
    <row r="497">
      <c r="B497" s="75">
        <f>IF($A497="","",IFERROR(INDEX(Sheet1!$B:$B,MATCH($A497,Sheet1!$A:$A,0)),""))</f>
        <v/>
      </c>
      <c r="C497" s="75">
        <f>IF($A497="","",PROPER(_xll.BDP($A497&amp;" Corp","NAME")))</f>
        <v/>
      </c>
      <c r="D497" s="76">
        <f>IF($A497="","",_xll.BDP($A497&amp;" Corp","CPN"))</f>
        <v/>
      </c>
      <c r="E497" s="75">
        <f>IF($A497="","",_xll.BDP($A497&amp;" Corp","PAYMENT_RANK"))</f>
        <v/>
      </c>
      <c r="F497" s="100">
        <f>IF($A497="","",_xll.BDP($A497&amp;" Corp","MATURITY"))</f>
        <v/>
      </c>
      <c r="G497" s="75">
        <f>IF($A497="","",PROPER(_xll.BDP($A497&amp;" Corp","COUNTRY_FULL_NAME")))</f>
        <v/>
      </c>
      <c r="H497" s="75">
        <f>IF($A497="","",_xll.BDP($A497&amp;" Corp","INDUSTRY_SECTOR"))</f>
        <v/>
      </c>
      <c r="I497" s="101">
        <f>IF($A497="","",IFERROR(_xll.BDP($A497&amp;" Corp","MIN_PIECE")/1000,""))</f>
        <v/>
      </c>
      <c r="J497" s="31">
        <f>IF($A497="","",_xll.BDP($A497&amp;" Corp","PX_LAST"))</f>
        <v/>
      </c>
      <c r="K497" s="31">
        <f>IF($A497="","",_xll.BDP($A497&amp;" Corp","YAS_BOND_YLD","YAS_YLD_FLAG=15"))</f>
        <v/>
      </c>
      <c r="L497" s="31">
        <f>IF($A497="","",K497-_xll.BDP($A497&amp;" Corp","YAS_BOND_YLD","YAS_YLD_FLAG=15","SETTLE_DT",Company_desc!$A$1))</f>
        <v/>
      </c>
      <c r="M497" s="31">
        <f>IF($A497="","",K497-_xll.BDP($A497&amp;" Corp","YAS_BOND_YLD","YAS_YLD_FLAG=15","SETTLE_DT",Company_desc!$A$2))</f>
        <v/>
      </c>
      <c r="N497" s="79">
        <f>IF($A497="","",_xll.BDP($A497&amp;" Corp","YAS_OAS_SPRD"))</f>
        <v/>
      </c>
      <c r="O497" s="67">
        <f>IF($A497="","",_xll.BDP($A497&amp;" Corp","YAS_MOD_DUR"))</f>
        <v/>
      </c>
      <c r="P497" s="80">
        <f>IF($A497="","",IFERROR(INDEX(Sheet1!$P:$P,MATCH($A497,Sheet1!$A:$A,0)),""))</f>
        <v/>
      </c>
      <c r="Q497" s="75">
        <f>IF($A497="","",IFERROR(INDEX(Company_desc!$C:$C,MATCH($A497,Company_desc!$A:$A,0)),IFERROR(INDEX(Sheet1!$Q:$Q,MATCH($A497,Sheet1!$A:$A,0)),"")))</f>
        <v/>
      </c>
      <c r="R497" s="75">
        <f>IF($A497="","",_xll.BDP($A497&amp;" Corp","CRNCY"))</f>
        <v/>
      </c>
      <c r="S497" s="75">
        <f>IF($A497="","",IFERROR(INDEX(Sheet1!$S:$S,MATCH($A497,Sheet1!$A:$A,0)),""))</f>
        <v/>
      </c>
      <c r="T497" s="75">
        <f>IF($A497="","",IFERROR(INDEX(Sheet1!$T:$T,MATCH($A497,Sheet1!$A:$A,0)),_xll.BDP($A497&amp;" Corp","RTG_SP")))</f>
        <v/>
      </c>
      <c r="U497" s="75">
        <f>IF($A497="","",IFERROR(INDEX(Sheet1!$U:$U,MATCH($A497,Sheet1!$A:$A,0)),""))</f>
        <v/>
      </c>
      <c r="W497" s="81">
        <f>IF($A497="","",N497-_xll.BDP($A497&amp;" Corp","YAS_OAS_SPRD","SETTLE_DT",Company_desc!$A$1))</f>
        <v/>
      </c>
      <c r="X497" s="81">
        <f>IF($A497="","",N497-_xll.BDP($A497&amp;" Corp","YAS_OAS_SPRD","SETTLE_DT",Company_desc!$A$2))</f>
        <v/>
      </c>
      <c r="Y497" s="80">
        <f>IF($A497="","",N497-_xll.BDP($A497&amp;" Corp","YAS_OAS_SPRD","SETTLE_DT",Company_desc!$D$1))</f>
        <v/>
      </c>
      <c r="Z497" s="82">
        <f>IF($A497="","",K497-_xll.BDP($A497&amp;" Corp","YAS_BOND_YLD","YAS_YLD_FLAG=15","SETTLE_DT",Company_desc!$D$1))</f>
        <v/>
      </c>
      <c r="AA497" s="80">
        <f>IF($A497="","",_xll.BDP($A497&amp;" Corp","YAS_OAS_SPRD","SETTLE_DT",Company_desc!$D$1))</f>
        <v/>
      </c>
    </row>
    <row r="498">
      <c r="B498" s="28">
        <f>IF($A498="","",IFERROR(INDEX(Sheet1!$B:$B,MATCH($A498,Sheet1!$A:$A,0)),""))</f>
        <v/>
      </c>
      <c r="C498" s="29">
        <f>IF($A498="","",PROPER(_xll.BDP($A498&amp;" Corp","NAME")))</f>
        <v/>
      </c>
      <c r="D498" s="84">
        <f>IF($A498="","",_xll.BDP($A498&amp;" Corp","CPN"))</f>
        <v/>
      </c>
      <c r="E498" s="84">
        <f>IF($A498="","",_xll.BDP($A498&amp;" Corp","PAYMENT_RANK"))</f>
        <v/>
      </c>
      <c r="F498" s="102">
        <f>IF($A498="","",_xll.BDP($A498&amp;" Corp","MATURITY"))</f>
        <v/>
      </c>
      <c r="G498" s="43">
        <f>IF($A498="","",PROPER(_xll.BDP($A498&amp;" Corp","COUNTRY_FULL_NAME")))</f>
        <v/>
      </c>
      <c r="H498" s="29">
        <f>IF($A498="","",_xll.BDP($A498&amp;" Corp","INDUSTRY_SECTOR"))</f>
        <v/>
      </c>
      <c r="I498" s="103">
        <f>IF($A498="","",IFERROR(_xll.BDP($A498&amp;" Corp","MIN_PIECE")/1000,""))</f>
        <v/>
      </c>
      <c r="J498" s="31">
        <f>IF($A498="","",_xll.BDP($A498&amp;" Corp","PX_LAST"))</f>
        <v/>
      </c>
      <c r="K498" s="31">
        <f>IF($A498="","",_xll.BDP($A498&amp;" Corp","YAS_BOND_YLD","YAS_YLD_FLAG=15"))</f>
        <v/>
      </c>
      <c r="L498" s="31">
        <f>IF($A498="","",K498-_xll.BDP($A498&amp;" Corp","YAS_BOND_YLD","YAS_YLD_FLAG=15","SETTLE_DT",Company_desc!$A$1))</f>
        <v/>
      </c>
      <c r="M498" s="31">
        <f>IF($A498="","",K498-_xll.BDP($A498&amp;" Corp","YAS_BOND_YLD","YAS_YLD_FLAG=15","SETTLE_DT",Company_desc!$A$2))</f>
        <v/>
      </c>
      <c r="N498" s="79">
        <f>IF($A498="","",_xll.BDP($A498&amp;" Corp","YAS_OAS_SPRD"))</f>
        <v/>
      </c>
      <c r="O498" s="67">
        <f>IF($A498="","",_xll.BDP($A498&amp;" Corp","YAS_MOD_DUR"))</f>
        <v/>
      </c>
      <c r="P498" s="79">
        <f>IF($A498="","",IFERROR(INDEX(Sheet1!$P:$P,MATCH($A498,Sheet1!$A:$A,0)),""))</f>
        <v/>
      </c>
      <c r="Q498" s="27">
        <f>IF($A498="","",IFERROR(INDEX(Company_desc!$C:$C,MATCH($A498,Company_desc!$A:$A,0)),IFERROR(INDEX(Sheet1!$Q:$Q,MATCH($A498,Sheet1!$A:$A,0)),"")))</f>
        <v/>
      </c>
      <c r="R498" s="27">
        <f>IF($A498="","",_xll.BDP($A498&amp;" Corp","CRNCY"))</f>
        <v/>
      </c>
      <c r="S498" s="27">
        <f>IF($A498="","",IFERROR(INDEX(Sheet1!$S:$S,MATCH($A498,Sheet1!$A:$A,0)),""))</f>
        <v/>
      </c>
      <c r="T498" s="47">
        <f>IF($A498="","",IFERROR(INDEX(Sheet1!$T:$T,MATCH($A498,Sheet1!$A:$A,0)),_xll.BDP($A498&amp;" Corp","RTG_SP")))</f>
        <v/>
      </c>
      <c r="U498" s="75">
        <f>IF($A498="","",IFERROR(INDEX(Sheet1!$U:$U,MATCH($A498,Sheet1!$A:$A,0)),""))</f>
        <v/>
      </c>
      <c r="W498" s="81">
        <f>IF($A498="","",N498-_xll.BDP($A498&amp;" Corp","YAS_OAS_SPRD","SETTLE_DT",Company_desc!$A$1))</f>
        <v/>
      </c>
      <c r="X498" s="81">
        <f>IF($A498="","",N498-_xll.BDP($A498&amp;" Corp","YAS_OAS_SPRD","SETTLE_DT",Company_desc!$A$2))</f>
        <v/>
      </c>
      <c r="Y498" s="80">
        <f>IF($A498="","",N498-_xll.BDP($A498&amp;" Corp","YAS_OAS_SPRD","SETTLE_DT",Company_desc!$D$1))</f>
        <v/>
      </c>
      <c r="Z498" s="82">
        <f>IF($A498="","",K498-_xll.BDP($A498&amp;" Corp","YAS_BOND_YLD","YAS_YLD_FLAG=15","SETTLE_DT",Company_desc!$D$1))</f>
        <v/>
      </c>
      <c r="AA498" s="80">
        <f>IF($A498="","",_xll.BDP($A498&amp;" Corp","YAS_OAS_SPRD","SETTLE_DT",Company_desc!$D$1))</f>
        <v/>
      </c>
    </row>
    <row r="499">
      <c r="B499" s="75">
        <f>IF($A499="","",IFERROR(INDEX(Sheet1!$B:$B,MATCH($A499,Sheet1!$A:$A,0)),""))</f>
        <v/>
      </c>
      <c r="C499" s="75">
        <f>IF($A499="","",PROPER(_xll.BDP($A499&amp;" Corp","NAME")))</f>
        <v/>
      </c>
      <c r="D499" s="76">
        <f>IF($A499="","",_xll.BDP($A499&amp;" Corp","CPN"))</f>
        <v/>
      </c>
      <c r="E499" s="75">
        <f>IF($A499="","",_xll.BDP($A499&amp;" Corp","PAYMENT_RANK"))</f>
        <v/>
      </c>
      <c r="F499" s="100">
        <f>IF($A499="","",_xll.BDP($A499&amp;" Corp","MATURITY"))</f>
        <v/>
      </c>
      <c r="G499" s="75">
        <f>IF($A499="","",PROPER(_xll.BDP($A499&amp;" Corp","COUNTRY_FULL_NAME")))</f>
        <v/>
      </c>
      <c r="H499" s="75">
        <f>IF($A499="","",_xll.BDP($A499&amp;" Corp","INDUSTRY_SECTOR"))</f>
        <v/>
      </c>
      <c r="I499" s="101">
        <f>IF($A499="","",IFERROR(_xll.BDP($A499&amp;" Corp","MIN_PIECE")/1000,""))</f>
        <v/>
      </c>
      <c r="J499" s="31">
        <f>IF($A499="","",_xll.BDP($A499&amp;" Corp","PX_LAST"))</f>
        <v/>
      </c>
      <c r="K499" s="31">
        <f>IF($A499="","",_xll.BDP($A499&amp;" Corp","YAS_BOND_YLD","YAS_YLD_FLAG=15"))</f>
        <v/>
      </c>
      <c r="L499" s="31">
        <f>IF($A499="","",K499-_xll.BDP($A499&amp;" Corp","YAS_BOND_YLD","YAS_YLD_FLAG=15","SETTLE_DT",Company_desc!$A$1))</f>
        <v/>
      </c>
      <c r="M499" s="31">
        <f>IF($A499="","",K499-_xll.BDP($A499&amp;" Corp","YAS_BOND_YLD","YAS_YLD_FLAG=15","SETTLE_DT",Company_desc!$A$2))</f>
        <v/>
      </c>
      <c r="N499" s="79">
        <f>IF($A499="","",_xll.BDP($A499&amp;" Corp","YAS_OAS_SPRD"))</f>
        <v/>
      </c>
      <c r="O499" s="67">
        <f>IF($A499="","",_xll.BDP($A499&amp;" Corp","YAS_MOD_DUR"))</f>
        <v/>
      </c>
      <c r="P499" s="80">
        <f>IF($A499="","",IFERROR(INDEX(Sheet1!$P:$P,MATCH($A499,Sheet1!$A:$A,0)),""))</f>
        <v/>
      </c>
      <c r="Q499" s="75">
        <f>IF($A499="","",IFERROR(INDEX(Company_desc!$C:$C,MATCH($A499,Company_desc!$A:$A,0)),IFERROR(INDEX(Sheet1!$Q:$Q,MATCH($A499,Sheet1!$A:$A,0)),"")))</f>
        <v/>
      </c>
      <c r="R499" s="75">
        <f>IF($A499="","",_xll.BDP($A499&amp;" Corp","CRNCY"))</f>
        <v/>
      </c>
      <c r="S499" s="75">
        <f>IF($A499="","",IFERROR(INDEX(Sheet1!$S:$S,MATCH($A499,Sheet1!$A:$A,0)),""))</f>
        <v/>
      </c>
      <c r="T499" s="75">
        <f>IF($A499="","",IFERROR(INDEX(Sheet1!$T:$T,MATCH($A499,Sheet1!$A:$A,0)),_xll.BDP($A499&amp;" Corp","RTG_SP")))</f>
        <v/>
      </c>
      <c r="U499" s="75">
        <f>IF($A499="","",IFERROR(INDEX(Sheet1!$U:$U,MATCH($A499,Sheet1!$A:$A,0)),""))</f>
        <v/>
      </c>
      <c r="W499" s="81">
        <f>IF($A499="","",N499-_xll.BDP($A499&amp;" Corp","YAS_OAS_SPRD","SETTLE_DT",Company_desc!$A$1))</f>
        <v/>
      </c>
      <c r="X499" s="81">
        <f>IF($A499="","",N499-_xll.BDP($A499&amp;" Corp","YAS_OAS_SPRD","SETTLE_DT",Company_desc!$A$2))</f>
        <v/>
      </c>
      <c r="Y499" s="80">
        <f>IF($A499="","",N499-_xll.BDP($A499&amp;" Corp","YAS_OAS_SPRD","SETTLE_DT",Company_desc!$D$1))</f>
        <v/>
      </c>
      <c r="Z499" s="82">
        <f>IF($A499="","",K499-_xll.BDP($A499&amp;" Corp","YAS_BOND_YLD","YAS_YLD_FLAG=15","SETTLE_DT",Company_desc!$D$1))</f>
        <v/>
      </c>
      <c r="AA499" s="80">
        <f>IF($A499="","",_xll.BDP($A499&amp;" Corp","YAS_OAS_SPRD","SETTLE_DT",Company_desc!$D$1))</f>
        <v/>
      </c>
    </row>
    <row r="500">
      <c r="B500" s="75">
        <f>IF($A500="","",IFERROR(INDEX(Sheet1!$B:$B,MATCH($A500,Sheet1!$A:$A,0)),""))</f>
        <v/>
      </c>
      <c r="C500" s="75">
        <f>IF($A500="","",PROPER(_xll.BDP($A500&amp;" Corp","NAME")))</f>
        <v/>
      </c>
      <c r="D500" s="76">
        <f>IF($A500="","",_xll.BDP($A500&amp;" Corp","CPN"))</f>
        <v/>
      </c>
      <c r="E500" s="75">
        <f>IF($A500="","",_xll.BDP($A500&amp;" Corp","PAYMENT_RANK"))</f>
        <v/>
      </c>
      <c r="F500" s="100">
        <f>IF($A500="","",_xll.BDP($A500&amp;" Corp","MATURITY"))</f>
        <v/>
      </c>
      <c r="G500" s="75">
        <f>IF($A500="","",PROPER(_xll.BDP($A500&amp;" Corp","COUNTRY_FULL_NAME")))</f>
        <v/>
      </c>
      <c r="H500" s="75">
        <f>IF($A500="","",_xll.BDP($A500&amp;" Corp","INDUSTRY_SECTOR"))</f>
        <v/>
      </c>
      <c r="I500" s="101">
        <f>IF($A500="","",IFERROR(_xll.BDP($A500&amp;" Corp","MIN_PIECE")/1000,""))</f>
        <v/>
      </c>
      <c r="J500" s="31">
        <f>IF($A500="","",_xll.BDP($A500&amp;" Corp","PX_LAST"))</f>
        <v/>
      </c>
      <c r="K500" s="31">
        <f>IF($A500="","",_xll.BDP($A500&amp;" Corp","YAS_BOND_YLD","YAS_YLD_FLAG=15"))</f>
        <v/>
      </c>
      <c r="L500" s="31">
        <f>IF($A500="","",K500-_xll.BDP($A500&amp;" Corp","YAS_BOND_YLD","YAS_YLD_FLAG=15","SETTLE_DT",Company_desc!$A$1))</f>
        <v/>
      </c>
      <c r="M500" s="31">
        <f>IF($A500="","",K500-_xll.BDP($A500&amp;" Corp","YAS_BOND_YLD","YAS_YLD_FLAG=15","SETTLE_DT",Company_desc!$A$2))</f>
        <v/>
      </c>
      <c r="N500" s="79">
        <f>IF($A500="","",_xll.BDP($A500&amp;" Corp","YAS_OAS_SPRD"))</f>
        <v/>
      </c>
      <c r="O500" s="67">
        <f>IF($A500="","",_xll.BDP($A500&amp;" Corp","YAS_MOD_DUR"))</f>
        <v/>
      </c>
      <c r="P500" s="80">
        <f>IF($A500="","",IFERROR(INDEX(Sheet1!$P:$P,MATCH($A500,Sheet1!$A:$A,0)),""))</f>
        <v/>
      </c>
      <c r="Q500" s="75">
        <f>IF($A500="","",IFERROR(INDEX(Company_desc!$C:$C,MATCH($A500,Company_desc!$A:$A,0)),IFERROR(INDEX(Sheet1!$Q:$Q,MATCH($A500,Sheet1!$A:$A,0)),"")))</f>
        <v/>
      </c>
      <c r="R500" s="75">
        <f>IF($A500="","",_xll.BDP($A500&amp;" Corp","CRNCY"))</f>
        <v/>
      </c>
      <c r="S500" s="75">
        <f>IF($A500="","",IFERROR(INDEX(Sheet1!$S:$S,MATCH($A500,Sheet1!$A:$A,0)),""))</f>
        <v/>
      </c>
      <c r="T500" s="75">
        <f>IF($A500="","",IFERROR(INDEX(Sheet1!$T:$T,MATCH($A500,Sheet1!$A:$A,0)),_xll.BDP($A500&amp;" Corp","RTG_SP")))</f>
        <v/>
      </c>
      <c r="U500" s="75">
        <f>IF($A500="","",IFERROR(INDEX(Sheet1!$U:$U,MATCH($A500,Sheet1!$A:$A,0)),""))</f>
        <v/>
      </c>
      <c r="W500" s="81">
        <f>IF($A500="","",N500-_xll.BDP($A500&amp;" Corp","YAS_OAS_SPRD","SETTLE_DT",Company_desc!$A$1))</f>
        <v/>
      </c>
      <c r="X500" s="81">
        <f>IF($A500="","",N500-_xll.BDP($A500&amp;" Corp","YAS_OAS_SPRD","SETTLE_DT",Company_desc!$A$2))</f>
        <v/>
      </c>
      <c r="Y500" s="80">
        <f>IF($A500="","",N500-_xll.BDP($A500&amp;" Corp","YAS_OAS_SPRD","SETTLE_DT",Company_desc!$D$1))</f>
        <v/>
      </c>
      <c r="Z500" s="82">
        <f>IF($A500="","",K500-_xll.BDP($A500&amp;" Corp","YAS_BOND_YLD","YAS_YLD_FLAG=15","SETTLE_DT",Company_desc!$D$1))</f>
        <v/>
      </c>
      <c r="AA500" s="80">
        <f>IF($A500="","",_xll.BDP($A500&amp;" Corp","YAS_OAS_SPRD","SETTLE_DT",Company_desc!$D$1))</f>
        <v/>
      </c>
    </row>
    <row r="501">
      <c r="B501" s="75">
        <f>IF($A501="","",IFERROR(INDEX(Sheet1!$B:$B,MATCH($A501,Sheet1!$A:$A,0)),""))</f>
        <v/>
      </c>
      <c r="C501" s="75">
        <f>IF($A501="","",PROPER(_xll.BDP($A501&amp;" Corp","NAME")))</f>
        <v/>
      </c>
      <c r="D501" s="76">
        <f>IF($A501="","",_xll.BDP($A501&amp;" Corp","CPN"))</f>
        <v/>
      </c>
      <c r="E501" s="75">
        <f>IF($A501="","",_xll.BDP($A501&amp;" Corp","PAYMENT_RANK"))</f>
        <v/>
      </c>
      <c r="F501" s="100">
        <f>IF($A501="","",_xll.BDP($A501&amp;" Corp","MATURITY"))</f>
        <v/>
      </c>
      <c r="G501" s="75">
        <f>IF($A501="","",PROPER(_xll.BDP($A501&amp;" Corp","COUNTRY_FULL_NAME")))</f>
        <v/>
      </c>
      <c r="H501" s="75">
        <f>IF($A501="","",_xll.BDP($A501&amp;" Corp","INDUSTRY_SECTOR"))</f>
        <v/>
      </c>
      <c r="I501" s="101">
        <f>IF($A501="","",IFERROR(_xll.BDP($A501&amp;" Corp","MIN_PIECE")/1000,""))</f>
        <v/>
      </c>
      <c r="J501" s="31">
        <f>IF($A501="","",_xll.BDP($A501&amp;" Corp","PX_LAST"))</f>
        <v/>
      </c>
      <c r="K501" s="31">
        <f>IF($A501="","",_xll.BDP($A501&amp;" Corp","YAS_BOND_YLD","YAS_YLD_FLAG=15"))</f>
        <v/>
      </c>
      <c r="L501" s="31">
        <f>IF($A501="","",K501-_xll.BDP($A501&amp;" Corp","YAS_BOND_YLD","YAS_YLD_FLAG=15","SETTLE_DT",Company_desc!$A$1))</f>
        <v/>
      </c>
      <c r="M501" s="31">
        <f>IF($A501="","",K501-_xll.BDP($A501&amp;" Corp","YAS_BOND_YLD","YAS_YLD_FLAG=15","SETTLE_DT",Company_desc!$A$2))</f>
        <v/>
      </c>
      <c r="N501" s="79">
        <f>IF($A501="","",_xll.BDP($A501&amp;" Corp","YAS_OAS_SPRD"))</f>
        <v/>
      </c>
      <c r="O501" s="82">
        <f>IF($A501="","",_xll.BDP($A501&amp;" Corp","YAS_MOD_DUR"))</f>
        <v/>
      </c>
      <c r="P501" s="80">
        <f>IF($A501="","",IFERROR(INDEX(Sheet1!$P:$P,MATCH($A501,Sheet1!$A:$A,0)),""))</f>
        <v/>
      </c>
      <c r="Q501" s="75">
        <f>IF($A501="","",IFERROR(INDEX(Company_desc!$C:$C,MATCH($A501,Company_desc!$A:$A,0)),IFERROR(INDEX(Sheet1!$Q:$Q,MATCH($A501,Sheet1!$A:$A,0)),"")))</f>
        <v/>
      </c>
      <c r="R501" s="75">
        <f>IF($A501="","",_xll.BDP($A501&amp;" Corp","CRNCY"))</f>
        <v/>
      </c>
      <c r="S501" s="75">
        <f>IF($A501="","",IFERROR(INDEX(Sheet1!$S:$S,MATCH($A501,Sheet1!$A:$A,0)),""))</f>
        <v/>
      </c>
      <c r="T501" s="75">
        <f>IF($A501="","",IFERROR(INDEX(Sheet1!$T:$T,MATCH($A501,Sheet1!$A:$A,0)),_xll.BDP($A501&amp;" Corp","RTG_SP")))</f>
        <v/>
      </c>
      <c r="U501" s="75">
        <f>IF($A501="","",IFERROR(INDEX(Sheet1!$U:$U,MATCH($A501,Sheet1!$A:$A,0)),""))</f>
        <v/>
      </c>
      <c r="W501" s="81">
        <f>IF($A501="","",N501-_xll.BDP($A501&amp;" Corp","YAS_OAS_SPRD","SETTLE_DT",Company_desc!$A$1))</f>
        <v/>
      </c>
      <c r="X501" s="81">
        <f>IF($A501="","",N501-_xll.BDP($A501&amp;" Corp","YAS_OAS_SPRD","SETTLE_DT",Company_desc!$A$2))</f>
        <v/>
      </c>
      <c r="Y501" s="80">
        <f>IF($A501="","",N501-_xll.BDP($A501&amp;" Corp","YAS_OAS_SPRD","SETTLE_DT",Company_desc!$D$1))</f>
        <v/>
      </c>
      <c r="Z501" s="82">
        <f>IF($A501="","",K501-_xll.BDP($A501&amp;" Corp","YAS_BOND_YLD","YAS_YLD_FLAG=15","SETTLE_DT",Company_desc!$D$1))</f>
        <v/>
      </c>
      <c r="AA501" s="80">
        <f>IF($A501="","",_xll.BDP($A501&amp;" Corp","YAS_OAS_SPRD","SETTLE_DT",Company_desc!$D$1))</f>
        <v/>
      </c>
    </row>
    <row r="502">
      <c r="B502" s="75">
        <f>IF($A502="","",IFERROR(INDEX(Sheet1!$B:$B,MATCH($A502,Sheet1!$A:$A,0)),""))</f>
        <v/>
      </c>
      <c r="C502" s="75">
        <f>IF($A502="","",PROPER(_xll.BDP($A502&amp;" Corp","NAME")))</f>
        <v/>
      </c>
      <c r="D502" s="76">
        <f>IF($A502="","",_xll.BDP($A502&amp;" Corp","CPN"))</f>
        <v/>
      </c>
      <c r="E502" s="75">
        <f>IF($A502="","",_xll.BDP($A502&amp;" Corp","PAYMENT_RANK"))</f>
        <v/>
      </c>
      <c r="F502" s="100">
        <f>IF($A502="","",_xll.BDP($A502&amp;" Corp","MATURITY"))</f>
        <v/>
      </c>
      <c r="G502" s="75">
        <f>IF($A502="","",PROPER(_xll.BDP($A502&amp;" Corp","COUNTRY_FULL_NAME")))</f>
        <v/>
      </c>
      <c r="H502" s="75">
        <f>IF($A502="","",_xll.BDP($A502&amp;" Corp","INDUSTRY_SECTOR"))</f>
        <v/>
      </c>
      <c r="I502" s="101">
        <f>IF($A502="","",IFERROR(_xll.BDP($A502&amp;" Corp","MIN_PIECE")/1000,""))</f>
        <v/>
      </c>
      <c r="J502" s="31">
        <f>IF($A502="","",_xll.BDP($A502&amp;" Corp","PX_LAST"))</f>
        <v/>
      </c>
      <c r="K502" s="31">
        <f>IF($A502="","",_xll.BDP($A502&amp;" Corp","YAS_BOND_YLD","YAS_YLD_FLAG=15"))</f>
        <v/>
      </c>
      <c r="L502" s="31">
        <f>IF($A502="","",K502-_xll.BDP($A502&amp;" Corp","YAS_BOND_YLD","YAS_YLD_FLAG=15","SETTLE_DT",Company_desc!$A$1))</f>
        <v/>
      </c>
      <c r="M502" s="31">
        <f>IF($A502="","",K502-_xll.BDP($A502&amp;" Corp","YAS_BOND_YLD","YAS_YLD_FLAG=15","SETTLE_DT",Company_desc!$A$2))</f>
        <v/>
      </c>
      <c r="N502" s="79">
        <f>IF($A502="","",_xll.BDP($A502&amp;" Corp","YAS_OAS_SPRD"))</f>
        <v/>
      </c>
      <c r="O502" s="67">
        <f>IF($A502="","",_xll.BDP($A502&amp;" Corp","YAS_MOD_DUR"))</f>
        <v/>
      </c>
      <c r="P502" s="80">
        <f>IF($A502="","",IFERROR(INDEX(Sheet1!$P:$P,MATCH($A502,Sheet1!$A:$A,0)),""))</f>
        <v/>
      </c>
      <c r="Q502" s="75">
        <f>IF($A502="","",IFERROR(INDEX(Company_desc!$C:$C,MATCH($A502,Company_desc!$A:$A,0)),IFERROR(INDEX(Sheet1!$Q:$Q,MATCH($A502,Sheet1!$A:$A,0)),"")))</f>
        <v/>
      </c>
      <c r="R502" s="75">
        <f>IF($A502="","",_xll.BDP($A502&amp;" Corp","CRNCY"))</f>
        <v/>
      </c>
      <c r="S502" s="75">
        <f>IF($A502="","",IFERROR(INDEX(Sheet1!$S:$S,MATCH($A502,Sheet1!$A:$A,0)),""))</f>
        <v/>
      </c>
      <c r="T502" s="75">
        <f>IF($A502="","",IFERROR(INDEX(Sheet1!$T:$T,MATCH($A502,Sheet1!$A:$A,0)),_xll.BDP($A502&amp;" Corp","RTG_SP")))</f>
        <v/>
      </c>
      <c r="U502" s="75">
        <f>IF($A502="","",IFERROR(INDEX(Sheet1!$U:$U,MATCH($A502,Sheet1!$A:$A,0)),""))</f>
        <v/>
      </c>
      <c r="W502" s="81">
        <f>IF($A502="","",N502-_xll.BDP($A502&amp;" Corp","YAS_OAS_SPRD","SETTLE_DT",Company_desc!$A$1))</f>
        <v/>
      </c>
      <c r="X502" s="81">
        <f>IF($A502="","",N502-_xll.BDP($A502&amp;" Corp","YAS_OAS_SPRD","SETTLE_DT",Company_desc!$A$2))</f>
        <v/>
      </c>
      <c r="Y502" s="80">
        <f>IF($A502="","",N502-_xll.BDP($A502&amp;" Corp","YAS_OAS_SPRD","SETTLE_DT",Company_desc!$D$1))</f>
        <v/>
      </c>
      <c r="Z502" s="82">
        <f>IF($A502="","",K502-_xll.BDP($A502&amp;" Corp","YAS_BOND_YLD","YAS_YLD_FLAG=15","SETTLE_DT",Company_desc!$D$1))</f>
        <v/>
      </c>
      <c r="AA502" s="80">
        <f>IF($A502="","",_xll.BDP($A502&amp;" Corp","YAS_OAS_SPRD","SETTLE_DT",Company_desc!$D$1))</f>
        <v/>
      </c>
    </row>
    <row r="503">
      <c r="B503" s="75">
        <f>IF($A503="","",IFERROR(INDEX(Sheet1!$B:$B,MATCH($A503,Sheet1!$A:$A,0)),""))</f>
        <v/>
      </c>
      <c r="C503" s="75">
        <f>IF($A503="","",PROPER(_xll.BDP($A503&amp;" Corp","NAME")))</f>
        <v/>
      </c>
      <c r="D503" s="76">
        <f>IF($A503="","",_xll.BDP($A503&amp;" Corp","CPN"))</f>
        <v/>
      </c>
      <c r="E503" s="75">
        <f>IF($A503="","",_xll.BDP($A503&amp;" Corp","PAYMENT_RANK"))</f>
        <v/>
      </c>
      <c r="F503" s="100">
        <f>IF($A503="","",_xll.BDP($A503&amp;" Corp","MATURITY"))</f>
        <v/>
      </c>
      <c r="G503" s="75">
        <f>IF($A503="","",PROPER(_xll.BDP($A503&amp;" Corp","COUNTRY_FULL_NAME")))</f>
        <v/>
      </c>
      <c r="H503" s="75">
        <f>IF($A503="","",_xll.BDP($A503&amp;" Corp","INDUSTRY_SECTOR"))</f>
        <v/>
      </c>
      <c r="I503" s="101">
        <f>IF($A503="","",IFERROR(_xll.BDP($A503&amp;" Corp","MIN_PIECE")/1000,""))</f>
        <v/>
      </c>
      <c r="J503" s="31">
        <f>IF($A503="","",_xll.BDP($A503&amp;" Corp","PX_LAST"))</f>
        <v/>
      </c>
      <c r="K503" s="31">
        <f>IF($A503="","",_xll.BDP($A503&amp;" Corp","YAS_BOND_YLD","YAS_YLD_FLAG=15"))</f>
        <v/>
      </c>
      <c r="L503" s="31">
        <f>IF($A503="","",K503-_xll.BDP($A503&amp;" Corp","YAS_BOND_YLD","YAS_YLD_FLAG=15","SETTLE_DT",Company_desc!$A$1))</f>
        <v/>
      </c>
      <c r="M503" s="31">
        <f>IF($A503="","",K503-_xll.BDP($A503&amp;" Corp","YAS_BOND_YLD","YAS_YLD_FLAG=15","SETTLE_DT",Company_desc!$A$2))</f>
        <v/>
      </c>
      <c r="N503" s="79">
        <f>IF($A503="","",_xll.BDP($A503&amp;" Corp","YAS_OAS_SPRD"))</f>
        <v/>
      </c>
      <c r="O503" s="67">
        <f>IF($A503="","",_xll.BDP($A503&amp;" Corp","YAS_MOD_DUR"))</f>
        <v/>
      </c>
      <c r="P503" s="80">
        <f>IF($A503="","",IFERROR(INDEX(Sheet1!$P:$P,MATCH($A503,Sheet1!$A:$A,0)),""))</f>
        <v/>
      </c>
      <c r="Q503" s="75">
        <f>IF($A503="","",IFERROR(INDEX(Company_desc!$C:$C,MATCH($A503,Company_desc!$A:$A,0)),IFERROR(INDEX(Sheet1!$Q:$Q,MATCH($A503,Sheet1!$A:$A,0)),"")))</f>
        <v/>
      </c>
      <c r="R503" s="75">
        <f>IF($A503="","",_xll.BDP($A503&amp;" Corp","CRNCY"))</f>
        <v/>
      </c>
      <c r="S503" s="75">
        <f>IF($A503="","",IFERROR(INDEX(Sheet1!$S:$S,MATCH($A503,Sheet1!$A:$A,0)),""))</f>
        <v/>
      </c>
      <c r="T503" s="75">
        <f>IF($A503="","",IFERROR(INDEX(Sheet1!$T:$T,MATCH($A503,Sheet1!$A:$A,0)),_xll.BDP($A503&amp;" Corp","RTG_SP")))</f>
        <v/>
      </c>
      <c r="U503" s="75">
        <f>IF($A503="","",IFERROR(INDEX(Sheet1!$U:$U,MATCH($A503,Sheet1!$A:$A,0)),""))</f>
        <v/>
      </c>
      <c r="W503" s="81">
        <f>IF($A503="","",N503-_xll.BDP($A503&amp;" Corp","YAS_OAS_SPRD","SETTLE_DT",Company_desc!$A$1))</f>
        <v/>
      </c>
      <c r="X503" s="81">
        <f>IF($A503="","",N503-_xll.BDP($A503&amp;" Corp","YAS_OAS_SPRD","SETTLE_DT",Company_desc!$A$2))</f>
        <v/>
      </c>
      <c r="Y503" s="80">
        <f>IF($A503="","",N503-_xll.BDP($A503&amp;" Corp","YAS_OAS_SPRD","SETTLE_DT",Company_desc!$D$1))</f>
        <v/>
      </c>
      <c r="Z503" s="82">
        <f>IF($A503="","",K503-_xll.BDP($A503&amp;" Corp","YAS_BOND_YLD","YAS_YLD_FLAG=15","SETTLE_DT",Company_desc!$D$1))</f>
        <v/>
      </c>
      <c r="AA503" s="80">
        <f>IF($A503="","",_xll.BDP($A503&amp;" Corp","YAS_OAS_SPRD","SETTLE_DT",Company_desc!$D$1))</f>
        <v/>
      </c>
    </row>
    <row r="504">
      <c r="B504" s="75">
        <f>IF($A504="","",IFERROR(INDEX(Sheet1!$B:$B,MATCH($A504,Sheet1!$A:$A,0)),""))</f>
        <v/>
      </c>
      <c r="C504" s="75">
        <f>IF($A504="","",PROPER(_xll.BDP($A504&amp;" Corp","NAME")))</f>
        <v/>
      </c>
      <c r="D504" s="76">
        <f>IF($A504="","",_xll.BDP($A504&amp;" Corp","CPN"))</f>
        <v/>
      </c>
      <c r="E504" s="75">
        <f>IF($A504="","",_xll.BDP($A504&amp;" Corp","PAYMENT_RANK"))</f>
        <v/>
      </c>
      <c r="F504" s="100">
        <f>IF($A504="","",_xll.BDP($A504&amp;" Corp","MATURITY"))</f>
        <v/>
      </c>
      <c r="G504" s="75">
        <f>IF($A504="","",PROPER(_xll.BDP($A504&amp;" Corp","COUNTRY_FULL_NAME")))</f>
        <v/>
      </c>
      <c r="H504" s="75">
        <f>IF($A504="","",_xll.BDP($A504&amp;" Corp","INDUSTRY_SECTOR"))</f>
        <v/>
      </c>
      <c r="I504" s="101">
        <f>IF($A504="","",IFERROR(_xll.BDP($A504&amp;" Corp","MIN_PIECE")/1000,""))</f>
        <v/>
      </c>
      <c r="J504" s="31">
        <f>IF($A504="","",_xll.BDP($A504&amp;" Corp","PX_LAST"))</f>
        <v/>
      </c>
      <c r="K504" s="31">
        <f>IF($A504="","",_xll.BDP($A504&amp;" Corp","YAS_BOND_YLD","YAS_YLD_FLAG=15"))</f>
        <v/>
      </c>
      <c r="L504" s="31">
        <f>IF($A504="","",K504-_xll.BDP($A504&amp;" Corp","YAS_BOND_YLD","YAS_YLD_FLAG=15","SETTLE_DT",Company_desc!$A$1))</f>
        <v/>
      </c>
      <c r="M504" s="31">
        <f>IF($A504="","",K504-_xll.BDP($A504&amp;" Corp","YAS_BOND_YLD","YAS_YLD_FLAG=15","SETTLE_DT",Company_desc!$A$2))</f>
        <v/>
      </c>
      <c r="N504" s="79">
        <f>IF($A504="","",_xll.BDP($A504&amp;" Corp","YAS_OAS_SPRD"))</f>
        <v/>
      </c>
      <c r="O504" s="67">
        <f>IF($A504="","",_xll.BDP($A504&amp;" Corp","YAS_MOD_DUR"))</f>
        <v/>
      </c>
      <c r="P504" s="80">
        <f>IF($A504="","",IFERROR(INDEX(Sheet1!$P:$P,MATCH($A504,Sheet1!$A:$A,0)),""))</f>
        <v/>
      </c>
      <c r="Q504" s="75">
        <f>IF($A504="","",IFERROR(INDEX(Company_desc!$C:$C,MATCH($A504,Company_desc!$A:$A,0)),IFERROR(INDEX(Sheet1!$Q:$Q,MATCH($A504,Sheet1!$A:$A,0)),"")))</f>
        <v/>
      </c>
      <c r="R504" s="75">
        <f>IF($A504="","",_xll.BDP($A504&amp;" Corp","CRNCY"))</f>
        <v/>
      </c>
      <c r="S504" s="75">
        <f>IF($A504="","",IFERROR(INDEX(Sheet1!$S:$S,MATCH($A504,Sheet1!$A:$A,0)),""))</f>
        <v/>
      </c>
      <c r="T504" s="75">
        <f>IF($A504="","",IFERROR(INDEX(Sheet1!$T:$T,MATCH($A504,Sheet1!$A:$A,0)),_xll.BDP($A504&amp;" Corp","RTG_SP")))</f>
        <v/>
      </c>
      <c r="U504" s="75">
        <f>IF($A504="","",IFERROR(INDEX(Sheet1!$U:$U,MATCH($A504,Sheet1!$A:$A,0)),""))</f>
        <v/>
      </c>
      <c r="W504" s="81">
        <f>IF($A504="","",N504-_xll.BDP($A504&amp;" Corp","YAS_OAS_SPRD","SETTLE_DT",Company_desc!$A$1))</f>
        <v/>
      </c>
      <c r="X504" s="81">
        <f>IF($A504="","",N504-_xll.BDP($A504&amp;" Corp","YAS_OAS_SPRD","SETTLE_DT",Company_desc!$A$2))</f>
        <v/>
      </c>
      <c r="Y504" s="80">
        <f>IF($A504="","",N504-_xll.BDP($A504&amp;" Corp","YAS_OAS_SPRD","SETTLE_DT",Company_desc!$D$1))</f>
        <v/>
      </c>
      <c r="Z504" s="82">
        <f>IF($A504="","",K504-_xll.BDP($A504&amp;" Corp","YAS_BOND_YLD","YAS_YLD_FLAG=15","SETTLE_DT",Company_desc!$D$1))</f>
        <v/>
      </c>
      <c r="AA504" s="80">
        <f>IF($A504="","",_xll.BDP($A504&amp;" Corp","YAS_OAS_SPRD","SETTLE_DT",Company_desc!$D$1))</f>
        <v/>
      </c>
    </row>
    <row r="505">
      <c r="B505" s="75">
        <f>IF($A505="","",IFERROR(INDEX(Sheet1!$B:$B,MATCH($A505,Sheet1!$A:$A,0)),""))</f>
        <v/>
      </c>
      <c r="C505" s="75">
        <f>IF($A505="","",PROPER(_xll.BDP($A505&amp;" Corp","NAME")))</f>
        <v/>
      </c>
      <c r="D505" s="76">
        <f>IF($A505="","",_xll.BDP($A505&amp;" Corp","CPN"))</f>
        <v/>
      </c>
      <c r="E505" s="75">
        <f>IF($A505="","",_xll.BDP($A505&amp;" Corp","PAYMENT_RANK"))</f>
        <v/>
      </c>
      <c r="F505" s="100">
        <f>IF($A505="","",_xll.BDP($A505&amp;" Corp","MATURITY"))</f>
        <v/>
      </c>
      <c r="G505" s="75">
        <f>IF($A505="","",PROPER(_xll.BDP($A505&amp;" Corp","COUNTRY_FULL_NAME")))</f>
        <v/>
      </c>
      <c r="H505" s="75">
        <f>IF($A505="","",_xll.BDP($A505&amp;" Corp","INDUSTRY_SECTOR"))</f>
        <v/>
      </c>
      <c r="I505" s="101">
        <f>IF($A505="","",IFERROR(_xll.BDP($A505&amp;" Corp","MIN_PIECE")/1000,""))</f>
        <v/>
      </c>
      <c r="J505" s="31">
        <f>IF($A505="","",_xll.BDP($A505&amp;" Corp","PX_LAST"))</f>
        <v/>
      </c>
      <c r="K505" s="31">
        <f>IF($A505="","",_xll.BDP($A505&amp;" Corp","YAS_BOND_YLD","YAS_YLD_FLAG=15"))</f>
        <v/>
      </c>
      <c r="L505" s="31">
        <f>IF($A505="","",K505-_xll.BDP($A505&amp;" Corp","YAS_BOND_YLD","YAS_YLD_FLAG=15","SETTLE_DT",Company_desc!$A$1))</f>
        <v/>
      </c>
      <c r="M505" s="31">
        <f>IF($A505="","",K505-_xll.BDP($A505&amp;" Corp","YAS_BOND_YLD","YAS_YLD_FLAG=15","SETTLE_DT",Company_desc!$A$2))</f>
        <v/>
      </c>
      <c r="N505" s="79">
        <f>IF($A505="","",_xll.BDP($A505&amp;" Corp","YAS_OAS_SPRD"))</f>
        <v/>
      </c>
      <c r="O505" s="67">
        <f>IF($A505="","",_xll.BDP($A505&amp;" Corp","YAS_MOD_DUR"))</f>
        <v/>
      </c>
      <c r="P505" s="80">
        <f>IF($A505="","",IFERROR(INDEX(Sheet1!$P:$P,MATCH($A505,Sheet1!$A:$A,0)),""))</f>
        <v/>
      </c>
      <c r="Q505" s="75">
        <f>IF($A505="","",IFERROR(INDEX(Company_desc!$C:$C,MATCH($A505,Company_desc!$A:$A,0)),IFERROR(INDEX(Sheet1!$Q:$Q,MATCH($A505,Sheet1!$A:$A,0)),"")))</f>
        <v/>
      </c>
      <c r="R505" s="75">
        <f>IF($A505="","",_xll.BDP($A505&amp;" Corp","CRNCY"))</f>
        <v/>
      </c>
      <c r="S505" s="75">
        <f>IF($A505="","",IFERROR(INDEX(Sheet1!$S:$S,MATCH($A505,Sheet1!$A:$A,0)),""))</f>
        <v/>
      </c>
      <c r="T505" s="75">
        <f>IF($A505="","",IFERROR(INDEX(Sheet1!$T:$T,MATCH($A505,Sheet1!$A:$A,0)),_xll.BDP($A505&amp;" Corp","RTG_SP")))</f>
        <v/>
      </c>
      <c r="U505" s="75">
        <f>IF($A505="","",IFERROR(INDEX(Sheet1!$U:$U,MATCH($A505,Sheet1!$A:$A,0)),""))</f>
        <v/>
      </c>
      <c r="W505" s="81">
        <f>IF($A505="","",N505-_xll.BDP($A505&amp;" Corp","YAS_OAS_SPRD","SETTLE_DT",Company_desc!$A$1))</f>
        <v/>
      </c>
      <c r="X505" s="81">
        <f>IF($A505="","",N505-_xll.BDP($A505&amp;" Corp","YAS_OAS_SPRD","SETTLE_DT",Company_desc!$A$2))</f>
        <v/>
      </c>
      <c r="Y505" s="80">
        <f>IF($A505="","",N505-_xll.BDP($A505&amp;" Corp","YAS_OAS_SPRD","SETTLE_DT",Company_desc!$D$1))</f>
        <v/>
      </c>
      <c r="Z505" s="82">
        <f>IF($A505="","",K505-_xll.BDP($A505&amp;" Corp","YAS_BOND_YLD","YAS_YLD_FLAG=15","SETTLE_DT",Company_desc!$D$1))</f>
        <v/>
      </c>
      <c r="AA505" s="80">
        <f>IF($A505="","",_xll.BDP($A505&amp;" Corp","YAS_OAS_SPRD","SETTLE_DT",Company_desc!$D$1))</f>
        <v/>
      </c>
    </row>
    <row r="506">
      <c r="B506" s="75">
        <f>IF($A506="","",IFERROR(INDEX(Sheet1!$B:$B,MATCH($A506,Sheet1!$A:$A,0)),""))</f>
        <v/>
      </c>
      <c r="C506" s="75">
        <f>IF($A506="","",PROPER(_xll.BDP($A506&amp;" Corp","NAME")))</f>
        <v/>
      </c>
      <c r="D506" s="76">
        <f>IF($A506="","",_xll.BDP($A506&amp;" Corp","CPN"))</f>
        <v/>
      </c>
      <c r="E506" s="75">
        <f>IF($A506="","",_xll.BDP($A506&amp;" Corp","PAYMENT_RANK"))</f>
        <v/>
      </c>
      <c r="F506" s="100">
        <f>IF($A506="","",_xll.BDP($A506&amp;" Corp","MATURITY"))</f>
        <v/>
      </c>
      <c r="G506" s="75">
        <f>IF($A506="","",PROPER(_xll.BDP($A506&amp;" Corp","COUNTRY_FULL_NAME")))</f>
        <v/>
      </c>
      <c r="H506" s="75">
        <f>IF($A506="","",_xll.BDP($A506&amp;" Corp","INDUSTRY_SECTOR"))</f>
        <v/>
      </c>
      <c r="I506" s="101">
        <f>IF($A506="","",IFERROR(_xll.BDP($A506&amp;" Corp","MIN_PIECE")/1000,""))</f>
        <v/>
      </c>
      <c r="J506" s="31">
        <f>IF($A506="","",_xll.BDP($A506&amp;" Corp","PX_LAST"))</f>
        <v/>
      </c>
      <c r="K506" s="31">
        <f>IF($A506="","",_xll.BDP($A506&amp;" Corp","YAS_BOND_YLD","YAS_YLD_FLAG=15"))</f>
        <v/>
      </c>
      <c r="L506" s="31">
        <f>IF($A506="","",K506-_xll.BDP($A506&amp;" Corp","YAS_BOND_YLD","YAS_YLD_FLAG=15","SETTLE_DT",Company_desc!$A$1))</f>
        <v/>
      </c>
      <c r="M506" s="31">
        <f>IF($A506="","",K506-_xll.BDP($A506&amp;" Corp","YAS_BOND_YLD","YAS_YLD_FLAG=15","SETTLE_DT",Company_desc!$A$2))</f>
        <v/>
      </c>
      <c r="N506" s="79">
        <f>IF($A506="","",_xll.BDP($A506&amp;" Corp","YAS_OAS_SPRD"))</f>
        <v/>
      </c>
      <c r="O506" s="67">
        <f>IF($A506="","",_xll.BDP($A506&amp;" Corp","YAS_MOD_DUR"))</f>
        <v/>
      </c>
      <c r="P506" s="80">
        <f>IF($A506="","",IFERROR(INDEX(Sheet1!$P:$P,MATCH($A506,Sheet1!$A:$A,0)),""))</f>
        <v/>
      </c>
      <c r="Q506" s="75">
        <f>IF($A506="","",IFERROR(INDEX(Company_desc!$C:$C,MATCH($A506,Company_desc!$A:$A,0)),IFERROR(INDEX(Sheet1!$Q:$Q,MATCH($A506,Sheet1!$A:$A,0)),"")))</f>
        <v/>
      </c>
      <c r="R506" s="75">
        <f>IF($A506="","",_xll.BDP($A506&amp;" Corp","CRNCY"))</f>
        <v/>
      </c>
      <c r="S506" s="75">
        <f>IF($A506="","",IFERROR(INDEX(Sheet1!$S:$S,MATCH($A506,Sheet1!$A:$A,0)),""))</f>
        <v/>
      </c>
      <c r="T506" s="75">
        <f>IF($A506="","",IFERROR(INDEX(Sheet1!$T:$T,MATCH($A506,Sheet1!$A:$A,0)),_xll.BDP($A506&amp;" Corp","RTG_SP")))</f>
        <v/>
      </c>
      <c r="U506" s="75">
        <f>IF($A506="","",IFERROR(INDEX(Sheet1!$U:$U,MATCH($A506,Sheet1!$A:$A,0)),""))</f>
        <v/>
      </c>
      <c r="W506" s="81">
        <f>IF($A506="","",N506-_xll.BDP($A506&amp;" Corp","YAS_OAS_SPRD","SETTLE_DT",Company_desc!$A$1))</f>
        <v/>
      </c>
      <c r="X506" s="81">
        <f>IF($A506="","",N506-_xll.BDP($A506&amp;" Corp","YAS_OAS_SPRD","SETTLE_DT",Company_desc!$A$2))</f>
        <v/>
      </c>
      <c r="Y506" s="80">
        <f>IF($A506="","",N506-_xll.BDP($A506&amp;" Corp","YAS_OAS_SPRD","SETTLE_DT",Company_desc!$D$1))</f>
        <v/>
      </c>
      <c r="Z506" s="82">
        <f>IF($A506="","",K506-_xll.BDP($A506&amp;" Corp","YAS_BOND_YLD","YAS_YLD_FLAG=15","SETTLE_DT",Company_desc!$D$1))</f>
        <v/>
      </c>
      <c r="AA506" s="80">
        <f>IF($A506="","",_xll.BDP($A506&amp;" Corp","YAS_OAS_SPRD","SETTLE_DT",Company_desc!$D$1))</f>
        <v/>
      </c>
    </row>
    <row r="507">
      <c r="B507" s="75">
        <f>IF($A507="","",IFERROR(INDEX(Sheet1!$B:$B,MATCH($A507,Sheet1!$A:$A,0)),""))</f>
        <v/>
      </c>
      <c r="C507" s="75">
        <f>IF($A507="","",PROPER(_xll.BDP($A507&amp;" Corp","NAME")))</f>
        <v/>
      </c>
      <c r="D507" s="76">
        <f>IF($A507="","",_xll.BDP($A507&amp;" Corp","CPN"))</f>
        <v/>
      </c>
      <c r="E507" s="75">
        <f>IF($A507="","",_xll.BDP($A507&amp;" Corp","PAYMENT_RANK"))</f>
        <v/>
      </c>
      <c r="F507" s="100">
        <f>IF($A507="","",_xll.BDP($A507&amp;" Corp","MATURITY"))</f>
        <v/>
      </c>
      <c r="G507" s="75">
        <f>IF($A507="","",PROPER(_xll.BDP($A507&amp;" Corp","COUNTRY_FULL_NAME")))</f>
        <v/>
      </c>
      <c r="H507" s="75">
        <f>IF($A507="","",_xll.BDP($A507&amp;" Corp","INDUSTRY_SECTOR"))</f>
        <v/>
      </c>
      <c r="I507" s="101">
        <f>IF($A507="","",IFERROR(_xll.BDP($A507&amp;" Corp","MIN_PIECE")/1000,""))</f>
        <v/>
      </c>
      <c r="J507" s="31">
        <f>IF($A507="","",_xll.BDP($A507&amp;" Corp","PX_LAST"))</f>
        <v/>
      </c>
      <c r="K507" s="31">
        <f>IF($A507="","",_xll.BDP($A507&amp;" Corp","YAS_BOND_YLD","YAS_YLD_FLAG=15"))</f>
        <v/>
      </c>
      <c r="L507" s="31">
        <f>IF($A507="","",K507-_xll.BDP($A507&amp;" Corp","YAS_BOND_YLD","YAS_YLD_FLAG=15","SETTLE_DT",Company_desc!$A$1))</f>
        <v/>
      </c>
      <c r="M507" s="31">
        <f>IF($A507="","",K507-_xll.BDP($A507&amp;" Corp","YAS_BOND_YLD","YAS_YLD_FLAG=15","SETTLE_DT",Company_desc!$A$2))</f>
        <v/>
      </c>
      <c r="N507" s="79">
        <f>IF($A507="","",_xll.BDP($A507&amp;" Corp","YAS_OAS_SPRD"))</f>
        <v/>
      </c>
      <c r="O507" s="67">
        <f>IF($A507="","",_xll.BDP($A507&amp;" Corp","YAS_MOD_DUR"))</f>
        <v/>
      </c>
      <c r="P507" s="80">
        <f>IF($A507="","",IFERROR(INDEX(Sheet1!$P:$P,MATCH($A507,Sheet1!$A:$A,0)),""))</f>
        <v/>
      </c>
      <c r="Q507" s="75">
        <f>IF($A507="","",IFERROR(INDEX(Company_desc!$C:$C,MATCH($A507,Company_desc!$A:$A,0)),IFERROR(INDEX(Sheet1!$Q:$Q,MATCH($A507,Sheet1!$A:$A,0)),"")))</f>
        <v/>
      </c>
      <c r="R507" s="75">
        <f>IF($A507="","",_xll.BDP($A507&amp;" Corp","CRNCY"))</f>
        <v/>
      </c>
      <c r="S507" s="75">
        <f>IF($A507="","",IFERROR(INDEX(Sheet1!$S:$S,MATCH($A507,Sheet1!$A:$A,0)),""))</f>
        <v/>
      </c>
      <c r="T507" s="75">
        <f>IF($A507="","",IFERROR(INDEX(Sheet1!$T:$T,MATCH($A507,Sheet1!$A:$A,0)),_xll.BDP($A507&amp;" Corp","RTG_SP")))</f>
        <v/>
      </c>
      <c r="U507" s="75">
        <f>IF($A507="","",IFERROR(INDEX(Sheet1!$U:$U,MATCH($A507,Sheet1!$A:$A,0)),""))</f>
        <v/>
      </c>
      <c r="W507" s="81">
        <f>IF($A507="","",N507-_xll.BDP($A507&amp;" Corp","YAS_OAS_SPRD","SETTLE_DT",Company_desc!$A$1))</f>
        <v/>
      </c>
      <c r="X507" s="81">
        <f>IF($A507="","",N507-_xll.BDP($A507&amp;" Corp","YAS_OAS_SPRD","SETTLE_DT",Company_desc!$A$2))</f>
        <v/>
      </c>
      <c r="Y507" s="80">
        <f>IF($A507="","",N507-_xll.BDP($A507&amp;" Corp","YAS_OAS_SPRD","SETTLE_DT",Company_desc!$D$1))</f>
        <v/>
      </c>
      <c r="Z507" s="82">
        <f>IF($A507="","",K507-_xll.BDP($A507&amp;" Corp","YAS_BOND_YLD","YAS_YLD_FLAG=15","SETTLE_DT",Company_desc!$D$1))</f>
        <v/>
      </c>
      <c r="AA507" s="80">
        <f>IF($A507="","",_xll.BDP($A507&amp;" Corp","YAS_OAS_SPRD","SETTLE_DT",Company_desc!$D$1))</f>
        <v/>
      </c>
    </row>
    <row r="508">
      <c r="A508" s="42" t="n"/>
      <c r="B508" s="75">
        <f>IF($A508="","",IFERROR(INDEX(Sheet1!$B:$B,MATCH($A508,Sheet1!$A:$A,0)),""))</f>
        <v/>
      </c>
      <c r="C508" s="75">
        <f>IF($A508="","",PROPER(_xll.BDP($A508&amp;" Corp","NAME")))</f>
        <v/>
      </c>
      <c r="D508" s="76">
        <f>IF($A508="","",_xll.BDP($A508&amp;" Corp","CPN"))</f>
        <v/>
      </c>
      <c r="E508" s="75">
        <f>IF($A508="","",_xll.BDP($A508&amp;" Corp","PAYMENT_RANK"))</f>
        <v/>
      </c>
      <c r="F508" s="100">
        <f>IF($A508="","",_xll.BDP($A508&amp;" Corp","MATURITY"))</f>
        <v/>
      </c>
      <c r="G508" s="75">
        <f>IF($A508="","",PROPER(_xll.BDP($A508&amp;" Corp","COUNTRY_FULL_NAME")))</f>
        <v/>
      </c>
      <c r="H508" s="75">
        <f>IF($A508="","",_xll.BDP($A508&amp;" Corp","INDUSTRY_SECTOR"))</f>
        <v/>
      </c>
      <c r="I508" s="101">
        <f>IF($A508="","",IFERROR(_xll.BDP($A508&amp;" Corp","MIN_PIECE")/1000,""))</f>
        <v/>
      </c>
      <c r="J508" s="31">
        <f>IF($A508="","",_xll.BDP($A508&amp;" Corp","PX_LAST"))</f>
        <v/>
      </c>
      <c r="K508" s="31">
        <f>IF($A508="","",_xll.BDP($A508&amp;" Corp","YAS_BOND_YLD","YAS_YLD_FLAG=15"))</f>
        <v/>
      </c>
      <c r="L508" s="31">
        <f>IF($A508="","",K508-_xll.BDP($A508&amp;" Corp","YAS_BOND_YLD","YAS_YLD_FLAG=15","SETTLE_DT",Company_desc!$A$1))</f>
        <v/>
      </c>
      <c r="M508" s="31">
        <f>IF($A508="","",K508-_xll.BDP($A508&amp;" Corp","YAS_BOND_YLD","YAS_YLD_FLAG=15","SETTLE_DT",Company_desc!$A$2))</f>
        <v/>
      </c>
      <c r="N508" s="79">
        <f>IF($A508="","",_xll.BDP($A508&amp;" Corp","YAS_OAS_SPRD"))</f>
        <v/>
      </c>
      <c r="O508" s="67">
        <f>IF($A508="","",_xll.BDP($A508&amp;" Corp","YAS_MOD_DUR"))</f>
        <v/>
      </c>
      <c r="P508" s="80">
        <f>IF($A508="","",IFERROR(INDEX(Sheet1!$P:$P,MATCH($A508,Sheet1!$A:$A,0)),""))</f>
        <v/>
      </c>
      <c r="Q508" s="75">
        <f>IF($A508="","",IFERROR(INDEX(Company_desc!$C:$C,MATCH($A508,Company_desc!$A:$A,0)),IFERROR(INDEX(Sheet1!$Q:$Q,MATCH($A508,Sheet1!$A:$A,0)),"")))</f>
        <v/>
      </c>
      <c r="R508" s="75">
        <f>IF($A508="","",_xll.BDP($A508&amp;" Corp","CRNCY"))</f>
        <v/>
      </c>
      <c r="S508" s="75">
        <f>IF($A508="","",IFERROR(INDEX(Sheet1!$S:$S,MATCH($A508,Sheet1!$A:$A,0)),""))</f>
        <v/>
      </c>
      <c r="T508" s="75">
        <f>IF($A508="","",IFERROR(INDEX(Sheet1!$T:$T,MATCH($A508,Sheet1!$A:$A,0)),_xll.BDP($A508&amp;" Corp","RTG_SP")))</f>
        <v/>
      </c>
      <c r="U508" s="75">
        <f>IF($A508="","",IFERROR(INDEX(Sheet1!$U:$U,MATCH($A508,Sheet1!$A:$A,0)),""))</f>
        <v/>
      </c>
      <c r="W508" s="81">
        <f>IF($A508="","",N508-_xll.BDP($A508&amp;" Corp","YAS_OAS_SPRD","SETTLE_DT",Company_desc!$A$1))</f>
        <v/>
      </c>
      <c r="X508" s="81">
        <f>IF($A508="","",N508-_xll.BDP($A508&amp;" Corp","YAS_OAS_SPRD","SETTLE_DT",Company_desc!$A$2))</f>
        <v/>
      </c>
      <c r="Y508" s="80">
        <f>IF($A508="","",N508-_xll.BDP($A508&amp;" Corp","YAS_OAS_SPRD","SETTLE_DT",Company_desc!$D$1))</f>
        <v/>
      </c>
      <c r="Z508" s="82">
        <f>IF($A508="","",K508-_xll.BDP($A508&amp;" Corp","YAS_BOND_YLD","YAS_YLD_FLAG=15","SETTLE_DT",Company_desc!$D$1))</f>
        <v/>
      </c>
      <c r="AA508" s="80">
        <f>IF($A508="","",_xll.BDP($A508&amp;" Corp","YAS_OAS_SPRD","SETTLE_DT",Company_desc!$D$1))</f>
        <v/>
      </c>
    </row>
    <row r="509">
      <c r="B509" s="75">
        <f>IF($A509="","",IFERROR(INDEX(Sheet1!$B:$B,MATCH($A509,Sheet1!$A:$A,0)),""))</f>
        <v/>
      </c>
      <c r="C509" s="75">
        <f>IF($A509="","",PROPER(_xll.BDP($A509&amp;" Corp","NAME")))</f>
        <v/>
      </c>
      <c r="D509" s="76">
        <f>IF($A509="","",_xll.BDP($A509&amp;" Corp","CPN"))</f>
        <v/>
      </c>
      <c r="E509" s="75">
        <f>IF($A509="","",_xll.BDP($A509&amp;" Corp","PAYMENT_RANK"))</f>
        <v/>
      </c>
      <c r="F509" s="100">
        <f>IF($A509="","",_xll.BDP($A509&amp;" Corp","MATURITY"))</f>
        <v/>
      </c>
      <c r="G509" s="75">
        <f>IF($A509="","",PROPER(_xll.BDP($A509&amp;" Corp","COUNTRY_FULL_NAME")))</f>
        <v/>
      </c>
      <c r="H509" s="75">
        <f>IF($A509="","",_xll.BDP($A509&amp;" Corp","INDUSTRY_SECTOR"))</f>
        <v/>
      </c>
      <c r="I509" s="101">
        <f>IF($A509="","",IFERROR(_xll.BDP($A509&amp;" Corp","MIN_PIECE")/1000,""))</f>
        <v/>
      </c>
      <c r="J509" s="31">
        <f>IF($A509="","",_xll.BDP($A509&amp;" Corp","PX_LAST"))</f>
        <v/>
      </c>
      <c r="K509" s="31">
        <f>IF($A509="","",_xll.BDP($A509&amp;" Corp","YAS_BOND_YLD","YAS_YLD_FLAG=15"))</f>
        <v/>
      </c>
      <c r="L509" s="31">
        <f>IF($A509="","",K509-_xll.BDP($A509&amp;" Corp","YAS_BOND_YLD","YAS_YLD_FLAG=15","SETTLE_DT",Company_desc!$A$1))</f>
        <v/>
      </c>
      <c r="M509" s="31">
        <f>IF($A509="","",K509-_xll.BDP($A509&amp;" Corp","YAS_BOND_YLD","YAS_YLD_FLAG=15","SETTLE_DT",Company_desc!$A$2))</f>
        <v/>
      </c>
      <c r="N509" s="79">
        <f>IF($A509="","",_xll.BDP($A509&amp;" Corp","YAS_OAS_SPRD"))</f>
        <v/>
      </c>
      <c r="O509" s="67">
        <f>IF($A509="","",_xll.BDP($A509&amp;" Corp","YAS_MOD_DUR"))</f>
        <v/>
      </c>
      <c r="P509" s="80">
        <f>IF($A509="","",IFERROR(INDEX(Sheet1!$P:$P,MATCH($A509,Sheet1!$A:$A,0)),""))</f>
        <v/>
      </c>
      <c r="Q509" s="75">
        <f>IF($A509="","",IFERROR(INDEX(Company_desc!$C:$C,MATCH($A509,Company_desc!$A:$A,0)),IFERROR(INDEX(Sheet1!$Q:$Q,MATCH($A509,Sheet1!$A:$A,0)),"")))</f>
        <v/>
      </c>
      <c r="R509" s="75">
        <f>IF($A509="","",_xll.BDP($A509&amp;" Corp","CRNCY"))</f>
        <v/>
      </c>
      <c r="S509" s="75">
        <f>IF($A509="","",IFERROR(INDEX(Sheet1!$S:$S,MATCH($A509,Sheet1!$A:$A,0)),""))</f>
        <v/>
      </c>
      <c r="T509" s="75">
        <f>IF($A509="","",IFERROR(INDEX(Sheet1!$T:$T,MATCH($A509,Sheet1!$A:$A,0)),_xll.BDP($A509&amp;" Corp","RTG_SP")))</f>
        <v/>
      </c>
      <c r="U509" s="75">
        <f>IF($A509="","",IFERROR(INDEX(Sheet1!$U:$U,MATCH($A509,Sheet1!$A:$A,0)),""))</f>
        <v/>
      </c>
      <c r="W509" s="81">
        <f>IF($A509="","",N509-_xll.BDP($A509&amp;" Corp","YAS_OAS_SPRD","SETTLE_DT",Company_desc!$A$1))</f>
        <v/>
      </c>
      <c r="X509" s="81">
        <f>IF($A509="","",N509-_xll.BDP($A509&amp;" Corp","YAS_OAS_SPRD","SETTLE_DT",Company_desc!$A$2))</f>
        <v/>
      </c>
      <c r="Y509" s="80">
        <f>IF($A509="","",N509-_xll.BDP($A509&amp;" Corp","YAS_OAS_SPRD","SETTLE_DT",Company_desc!$D$1))</f>
        <v/>
      </c>
      <c r="Z509" s="82">
        <f>IF($A509="","",K509-_xll.BDP($A509&amp;" Corp","YAS_BOND_YLD","YAS_YLD_FLAG=15","SETTLE_DT",Company_desc!$D$1))</f>
        <v/>
      </c>
      <c r="AA509" s="80">
        <f>IF($A509="","",_xll.BDP($A509&amp;" Corp","YAS_OAS_SPRD","SETTLE_DT",Company_desc!$D$1))</f>
        <v/>
      </c>
    </row>
    <row r="510">
      <c r="B510" s="75">
        <f>IF($A510="","",IFERROR(INDEX(Sheet1!$B:$B,MATCH($A510,Sheet1!$A:$A,0)),""))</f>
        <v/>
      </c>
      <c r="C510" s="75">
        <f>IF($A510="","",PROPER(_xll.BDP($A510&amp;" Corp","NAME")))</f>
        <v/>
      </c>
      <c r="D510" s="76">
        <f>IF($A510="","",_xll.BDP($A510&amp;" Corp","CPN"))</f>
        <v/>
      </c>
      <c r="E510" s="75">
        <f>IF($A510="","",_xll.BDP($A510&amp;" Corp","PAYMENT_RANK"))</f>
        <v/>
      </c>
      <c r="F510" s="100">
        <f>IF($A510="","",_xll.BDP($A510&amp;" Corp","MATURITY"))</f>
        <v/>
      </c>
      <c r="G510" s="75">
        <f>IF($A510="","",PROPER(_xll.BDP($A510&amp;" Corp","COUNTRY_FULL_NAME")))</f>
        <v/>
      </c>
      <c r="H510" s="75">
        <f>IF($A510="","",_xll.BDP($A510&amp;" Corp","INDUSTRY_SECTOR"))</f>
        <v/>
      </c>
      <c r="I510" s="101">
        <f>IF($A510="","",IFERROR(_xll.BDP($A510&amp;" Corp","MIN_PIECE")/1000,""))</f>
        <v/>
      </c>
      <c r="J510" s="31">
        <f>IF($A510="","",_xll.BDP($A510&amp;" Corp","PX_LAST"))</f>
        <v/>
      </c>
      <c r="K510" s="31">
        <f>IF($A510="","",_xll.BDP($A510&amp;" Corp","YAS_BOND_YLD","YAS_YLD_FLAG=15"))</f>
        <v/>
      </c>
      <c r="L510" s="31">
        <f>IF($A510="","",K510-_xll.BDP($A510&amp;" Corp","YAS_BOND_YLD","YAS_YLD_FLAG=15","SETTLE_DT",Company_desc!$A$1))</f>
        <v/>
      </c>
      <c r="M510" s="31">
        <f>IF($A510="","",K510-_xll.BDP($A510&amp;" Corp","YAS_BOND_YLD","YAS_YLD_FLAG=15","SETTLE_DT",Company_desc!$A$2))</f>
        <v/>
      </c>
      <c r="N510" s="79">
        <f>IF($A510="","",_xll.BDP($A510&amp;" Corp","YAS_OAS_SPRD"))</f>
        <v/>
      </c>
      <c r="O510" s="67">
        <f>IF($A510="","",_xll.BDP($A510&amp;" Corp","YAS_MOD_DUR"))</f>
        <v/>
      </c>
      <c r="P510" s="80">
        <f>IF($A510="","",IFERROR(INDEX(Sheet1!$P:$P,MATCH($A510,Sheet1!$A:$A,0)),""))</f>
        <v/>
      </c>
      <c r="Q510" s="75">
        <f>IF($A510="","",IFERROR(INDEX(Company_desc!$C:$C,MATCH($A510,Company_desc!$A:$A,0)),IFERROR(INDEX(Sheet1!$Q:$Q,MATCH($A510,Sheet1!$A:$A,0)),"")))</f>
        <v/>
      </c>
      <c r="R510" s="75">
        <f>IF($A510="","",_xll.BDP($A510&amp;" Corp","CRNCY"))</f>
        <v/>
      </c>
      <c r="S510" s="75">
        <f>IF($A510="","",IFERROR(INDEX(Sheet1!$S:$S,MATCH($A510,Sheet1!$A:$A,0)),""))</f>
        <v/>
      </c>
      <c r="T510" s="75">
        <f>IF($A510="","",IFERROR(INDEX(Sheet1!$T:$T,MATCH($A510,Sheet1!$A:$A,0)),_xll.BDP($A510&amp;" Corp","RTG_SP")))</f>
        <v/>
      </c>
      <c r="U510" s="75">
        <f>IF($A510="","",IFERROR(INDEX(Sheet1!$U:$U,MATCH($A510,Sheet1!$A:$A,0)),""))</f>
        <v/>
      </c>
      <c r="W510" s="81">
        <f>IF($A510="","",N510-_xll.BDP($A510&amp;" Corp","YAS_OAS_SPRD","SETTLE_DT",Company_desc!$A$1))</f>
        <v/>
      </c>
      <c r="X510" s="81">
        <f>IF($A510="","",N510-_xll.BDP($A510&amp;" Corp","YAS_OAS_SPRD","SETTLE_DT",Company_desc!$A$2))</f>
        <v/>
      </c>
      <c r="Y510" s="80">
        <f>IF($A510="","",N510-_xll.BDP($A510&amp;" Corp","YAS_OAS_SPRD","SETTLE_DT",Company_desc!$D$1))</f>
        <v/>
      </c>
      <c r="Z510" s="82">
        <f>IF($A510="","",K510-_xll.BDP($A510&amp;" Corp","YAS_BOND_YLD","YAS_YLD_FLAG=15","SETTLE_DT",Company_desc!$D$1))</f>
        <v/>
      </c>
      <c r="AA510" s="80">
        <f>IF($A510="","",_xll.BDP($A510&amp;" Corp","YAS_OAS_SPRD","SETTLE_DT",Company_desc!$D$1))</f>
        <v/>
      </c>
    </row>
    <row r="511">
      <c r="B511" s="75">
        <f>IF($A511="","",IFERROR(INDEX(Sheet1!$B:$B,MATCH($A511,Sheet1!$A:$A,0)),""))</f>
        <v/>
      </c>
      <c r="C511" s="75">
        <f>IF($A511="","",PROPER(_xll.BDP($A511&amp;" Corp","NAME")))</f>
        <v/>
      </c>
      <c r="D511" s="76">
        <f>IF($A511="","",_xll.BDP($A511&amp;" Corp","CPN"))</f>
        <v/>
      </c>
      <c r="E511" s="75">
        <f>IF($A511="","",_xll.BDP($A511&amp;" Corp","PAYMENT_RANK"))</f>
        <v/>
      </c>
      <c r="F511" s="100">
        <f>IF($A511="","",_xll.BDP($A511&amp;" Corp","MATURITY"))</f>
        <v/>
      </c>
      <c r="G511" s="75">
        <f>IF($A511="","",PROPER(_xll.BDP($A511&amp;" Corp","COUNTRY_FULL_NAME")))</f>
        <v/>
      </c>
      <c r="H511" s="75">
        <f>IF($A511="","",_xll.BDP($A511&amp;" Corp","INDUSTRY_SECTOR"))</f>
        <v/>
      </c>
      <c r="I511" s="101">
        <f>IF($A511="","",IFERROR(_xll.BDP($A511&amp;" Corp","MIN_PIECE")/1000,""))</f>
        <v/>
      </c>
      <c r="J511" s="31">
        <f>IF($A511="","",_xll.BDP($A511&amp;" Corp","PX_LAST"))</f>
        <v/>
      </c>
      <c r="K511" s="31">
        <f>IF($A511="","",_xll.BDP($A511&amp;" Corp","YAS_BOND_YLD","YAS_YLD_FLAG=15"))</f>
        <v/>
      </c>
      <c r="L511" s="31">
        <f>IF($A511="","",K511-_xll.BDP($A511&amp;" Corp","YAS_BOND_YLD","YAS_YLD_FLAG=15","SETTLE_DT",Company_desc!$A$1))</f>
        <v/>
      </c>
      <c r="M511" s="31">
        <f>IF($A511="","",K511-_xll.BDP($A511&amp;" Corp","YAS_BOND_YLD","YAS_YLD_FLAG=15","SETTLE_DT",Company_desc!$A$2))</f>
        <v/>
      </c>
      <c r="N511" s="79">
        <f>IF($A511="","",_xll.BDP($A511&amp;" Corp","YAS_OAS_SPRD"))</f>
        <v/>
      </c>
      <c r="O511" s="67">
        <f>IF($A511="","",_xll.BDP($A511&amp;" Corp","YAS_MOD_DUR"))</f>
        <v/>
      </c>
      <c r="P511" s="80">
        <f>IF($A511="","",IFERROR(INDEX(Sheet1!$P:$P,MATCH($A511,Sheet1!$A:$A,0)),""))</f>
        <v/>
      </c>
      <c r="Q511" s="75">
        <f>IF($A511="","",IFERROR(INDEX(Company_desc!$C:$C,MATCH($A511,Company_desc!$A:$A,0)),IFERROR(INDEX(Sheet1!$Q:$Q,MATCH($A511,Sheet1!$A:$A,0)),"")))</f>
        <v/>
      </c>
      <c r="R511" s="75">
        <f>IF($A511="","",_xll.BDP($A511&amp;" Corp","CRNCY"))</f>
        <v/>
      </c>
      <c r="S511" s="75">
        <f>IF($A511="","",IFERROR(INDEX(Sheet1!$S:$S,MATCH($A511,Sheet1!$A:$A,0)),""))</f>
        <v/>
      </c>
      <c r="T511" s="75">
        <f>IF($A511="","",IFERROR(INDEX(Sheet1!$T:$T,MATCH($A511,Sheet1!$A:$A,0)),_xll.BDP($A511&amp;" Corp","RTG_SP")))</f>
        <v/>
      </c>
      <c r="U511" s="75">
        <f>IF($A511="","",IFERROR(INDEX(Sheet1!$U:$U,MATCH($A511,Sheet1!$A:$A,0)),""))</f>
        <v/>
      </c>
      <c r="W511" s="81">
        <f>IF($A511="","",N511-_xll.BDP($A511&amp;" Corp","YAS_OAS_SPRD","SETTLE_DT",Company_desc!$A$1))</f>
        <v/>
      </c>
      <c r="X511" s="81">
        <f>IF($A511="","",N511-_xll.BDP($A511&amp;" Corp","YAS_OAS_SPRD","SETTLE_DT",Company_desc!$A$2))</f>
        <v/>
      </c>
      <c r="Y511" s="80">
        <f>IF($A511="","",N511-_xll.BDP($A511&amp;" Corp","YAS_OAS_SPRD","SETTLE_DT",Company_desc!$D$1))</f>
        <v/>
      </c>
      <c r="Z511" s="82">
        <f>IF($A511="","",K511-_xll.BDP($A511&amp;" Corp","YAS_BOND_YLD","YAS_YLD_FLAG=15","SETTLE_DT",Company_desc!$D$1))</f>
        <v/>
      </c>
      <c r="AA511" s="80">
        <f>IF($A511="","",_xll.BDP($A511&amp;" Corp","YAS_OAS_SPRD","SETTLE_DT",Company_desc!$D$1))</f>
        <v/>
      </c>
    </row>
    <row r="512">
      <c r="B512" s="75">
        <f>IF($A512="","",IFERROR(INDEX(Sheet1!$B:$B,MATCH($A512,Sheet1!$A:$A,0)),""))</f>
        <v/>
      </c>
      <c r="C512" s="75">
        <f>IF($A512="","",PROPER(_xll.BDP($A512&amp;" Corp","NAME")))</f>
        <v/>
      </c>
      <c r="D512" s="76">
        <f>IF($A512="","",_xll.BDP($A512&amp;" Corp","CPN"))</f>
        <v/>
      </c>
      <c r="E512" s="75">
        <f>IF($A512="","",_xll.BDP($A512&amp;" Corp","PAYMENT_RANK"))</f>
        <v/>
      </c>
      <c r="F512" s="100">
        <f>IF($A512="","",_xll.BDP($A512&amp;" Corp","MATURITY"))</f>
        <v/>
      </c>
      <c r="G512" s="75">
        <f>IF($A512="","",PROPER(_xll.BDP($A512&amp;" Corp","COUNTRY_FULL_NAME")))</f>
        <v/>
      </c>
      <c r="H512" s="75">
        <f>IF($A512="","",_xll.BDP($A512&amp;" Corp","INDUSTRY_SECTOR"))</f>
        <v/>
      </c>
      <c r="I512" s="101">
        <f>IF($A512="","",IFERROR(_xll.BDP($A512&amp;" Corp","MIN_PIECE")/1000,""))</f>
        <v/>
      </c>
      <c r="J512" s="31">
        <f>IF($A512="","",_xll.BDP($A512&amp;" Corp","PX_LAST"))</f>
        <v/>
      </c>
      <c r="K512" s="31">
        <f>IF($A512="","",_xll.BDP($A512&amp;" Corp","YAS_BOND_YLD","YAS_YLD_FLAG=15"))</f>
        <v/>
      </c>
      <c r="L512" s="31">
        <f>IF($A512="","",K512-_xll.BDP($A512&amp;" Corp","YAS_BOND_YLD","YAS_YLD_FLAG=15","SETTLE_DT",Company_desc!$A$1))</f>
        <v/>
      </c>
      <c r="M512" s="31">
        <f>IF($A512="","",K512-_xll.BDP($A512&amp;" Corp","YAS_BOND_YLD","YAS_YLD_FLAG=15","SETTLE_DT",Company_desc!$A$2))</f>
        <v/>
      </c>
      <c r="N512" s="79">
        <f>IF($A512="","",_xll.BDP($A512&amp;" Corp","YAS_OAS_SPRD"))</f>
        <v/>
      </c>
      <c r="O512" s="67">
        <f>IF($A512="","",_xll.BDP($A512&amp;" Corp","YAS_MOD_DUR"))</f>
        <v/>
      </c>
      <c r="P512" s="80">
        <f>IF($A512="","",IFERROR(INDEX(Sheet1!$P:$P,MATCH($A512,Sheet1!$A:$A,0)),""))</f>
        <v/>
      </c>
      <c r="Q512" s="75">
        <f>IF($A512="","",IFERROR(INDEX(Company_desc!$C:$C,MATCH($A512,Company_desc!$A:$A,0)),IFERROR(INDEX(Sheet1!$Q:$Q,MATCH($A512,Sheet1!$A:$A,0)),"")))</f>
        <v/>
      </c>
      <c r="R512" s="75">
        <f>IF($A512="","",_xll.BDP($A512&amp;" Corp","CRNCY"))</f>
        <v/>
      </c>
      <c r="S512" s="75">
        <f>IF($A512="","",IFERROR(INDEX(Sheet1!$S:$S,MATCH($A512,Sheet1!$A:$A,0)),""))</f>
        <v/>
      </c>
      <c r="T512" s="75">
        <f>IF($A512="","",IFERROR(INDEX(Sheet1!$T:$T,MATCH($A512,Sheet1!$A:$A,0)),_xll.BDP($A512&amp;" Corp","RTG_SP")))</f>
        <v/>
      </c>
      <c r="U512" s="75">
        <f>IF($A512="","",IFERROR(INDEX(Sheet1!$U:$U,MATCH($A512,Sheet1!$A:$A,0)),""))</f>
        <v/>
      </c>
      <c r="W512" s="81">
        <f>IF($A512="","",N512-_xll.BDP($A512&amp;" Corp","YAS_OAS_SPRD","SETTLE_DT",Company_desc!$A$1))</f>
        <v/>
      </c>
      <c r="X512" s="81">
        <f>IF($A512="","",N512-_xll.BDP($A512&amp;" Corp","YAS_OAS_SPRD","SETTLE_DT",Company_desc!$A$2))</f>
        <v/>
      </c>
      <c r="Y512" s="80">
        <f>IF($A512="","",N512-_xll.BDP($A512&amp;" Corp","YAS_OAS_SPRD","SETTLE_DT",Company_desc!$D$1))</f>
        <v/>
      </c>
      <c r="Z512" s="82">
        <f>IF($A512="","",K512-_xll.BDP($A512&amp;" Corp","YAS_BOND_YLD","YAS_YLD_FLAG=15","SETTLE_DT",Company_desc!$D$1))</f>
        <v/>
      </c>
      <c r="AA512" s="80">
        <f>IF($A512="","",_xll.BDP($A512&amp;" Corp","YAS_OAS_SPRD","SETTLE_DT",Company_desc!$D$1))</f>
        <v/>
      </c>
    </row>
    <row r="513">
      <c r="B513" s="75">
        <f>IF($A513="","",IFERROR(INDEX(Sheet1!$B:$B,MATCH($A513,Sheet1!$A:$A,0)),""))</f>
        <v/>
      </c>
      <c r="C513" s="75">
        <f>IF($A513="","",PROPER(_xll.BDP($A513&amp;" Corp","NAME")))</f>
        <v/>
      </c>
      <c r="D513" s="76">
        <f>IF($A513="","",_xll.BDP($A513&amp;" Corp","CPN"))</f>
        <v/>
      </c>
      <c r="E513" s="75">
        <f>IF($A513="","",_xll.BDP($A513&amp;" Corp","PAYMENT_RANK"))</f>
        <v/>
      </c>
      <c r="F513" s="100">
        <f>IF($A513="","",_xll.BDP($A513&amp;" Corp","MATURITY"))</f>
        <v/>
      </c>
      <c r="G513" s="75">
        <f>IF($A513="","",PROPER(_xll.BDP($A513&amp;" Corp","COUNTRY_FULL_NAME")))</f>
        <v/>
      </c>
      <c r="H513" s="75">
        <f>IF($A513="","",_xll.BDP($A513&amp;" Corp","INDUSTRY_SECTOR"))</f>
        <v/>
      </c>
      <c r="I513" s="101">
        <f>IF($A513="","",IFERROR(_xll.BDP($A513&amp;" Corp","MIN_PIECE")/1000,""))</f>
        <v/>
      </c>
      <c r="J513" s="31">
        <f>IF($A513="","",_xll.BDP($A513&amp;" Corp","PX_LAST"))</f>
        <v/>
      </c>
      <c r="K513" s="31">
        <f>IF($A513="","",_xll.BDP($A513&amp;" Corp","YAS_BOND_YLD","YAS_YLD_FLAG=15"))</f>
        <v/>
      </c>
      <c r="L513" s="31">
        <f>IF($A513="","",K513-_xll.BDP($A513&amp;" Corp","YAS_BOND_YLD","YAS_YLD_FLAG=15","SETTLE_DT",Company_desc!$A$1))</f>
        <v/>
      </c>
      <c r="M513" s="31">
        <f>IF($A513="","",K513-_xll.BDP($A513&amp;" Corp","YAS_BOND_YLD","YAS_YLD_FLAG=15","SETTLE_DT",Company_desc!$A$2))</f>
        <v/>
      </c>
      <c r="N513" s="79">
        <f>IF($A513="","",_xll.BDP($A513&amp;" Corp","YAS_OAS_SPRD"))</f>
        <v/>
      </c>
      <c r="O513" s="67">
        <f>IF($A513="","",_xll.BDP($A513&amp;" Corp","YAS_MOD_DUR"))</f>
        <v/>
      </c>
      <c r="P513" s="80">
        <f>IF($A513="","",IFERROR(INDEX(Sheet1!$P:$P,MATCH($A513,Sheet1!$A:$A,0)),""))</f>
        <v/>
      </c>
      <c r="Q513" s="75">
        <f>IF($A513="","",IFERROR(INDEX(Company_desc!$C:$C,MATCH($A513,Company_desc!$A:$A,0)),IFERROR(INDEX(Sheet1!$Q:$Q,MATCH($A513,Sheet1!$A:$A,0)),"")))</f>
        <v/>
      </c>
      <c r="R513" s="75">
        <f>IF($A513="","",_xll.BDP($A513&amp;" Corp","CRNCY"))</f>
        <v/>
      </c>
      <c r="S513" s="75">
        <f>IF($A513="","",IFERROR(INDEX(Sheet1!$S:$S,MATCH($A513,Sheet1!$A:$A,0)),""))</f>
        <v/>
      </c>
      <c r="T513" s="75">
        <f>IF($A513="","",IFERROR(INDEX(Sheet1!$T:$T,MATCH($A513,Sheet1!$A:$A,0)),_xll.BDP($A513&amp;" Corp","RTG_SP")))</f>
        <v/>
      </c>
      <c r="U513" s="75">
        <f>IF($A513="","",IFERROR(INDEX(Sheet1!$U:$U,MATCH($A513,Sheet1!$A:$A,0)),""))</f>
        <v/>
      </c>
      <c r="W513" s="81">
        <f>IF($A513="","",N513-_xll.BDP($A513&amp;" Corp","YAS_OAS_SPRD","SETTLE_DT",Company_desc!$A$1))</f>
        <v/>
      </c>
      <c r="X513" s="81">
        <f>IF($A513="","",N513-_xll.BDP($A513&amp;" Corp","YAS_OAS_SPRD","SETTLE_DT",Company_desc!$A$2))</f>
        <v/>
      </c>
      <c r="Y513" s="80">
        <f>IF($A513="","",N513-_xll.BDP($A513&amp;" Corp","YAS_OAS_SPRD","SETTLE_DT",Company_desc!$D$1))</f>
        <v/>
      </c>
      <c r="Z513" s="82">
        <f>IF($A513="","",K513-_xll.BDP($A513&amp;" Corp","YAS_BOND_YLD","YAS_YLD_FLAG=15","SETTLE_DT",Company_desc!$D$1))</f>
        <v/>
      </c>
      <c r="AA513" s="80">
        <f>IF($A513="","",_xll.BDP($A513&amp;" Corp","YAS_OAS_SPRD","SETTLE_DT",Company_desc!$D$1))</f>
        <v/>
      </c>
    </row>
    <row r="514">
      <c r="B514" s="75">
        <f>IF($A514="","",IFERROR(INDEX(Sheet1!$B:$B,MATCH($A514,Sheet1!$A:$A,0)),""))</f>
        <v/>
      </c>
      <c r="C514" s="75">
        <f>IF($A514="","",PROPER(_xll.BDP($A514&amp;" Corp","NAME")))</f>
        <v/>
      </c>
      <c r="D514" s="76">
        <f>IF($A514="","",_xll.BDP($A514&amp;" Corp","CPN"))</f>
        <v/>
      </c>
      <c r="E514" s="75">
        <f>IF($A514="","",_xll.BDP($A514&amp;" Corp","PAYMENT_RANK"))</f>
        <v/>
      </c>
      <c r="F514" s="100">
        <f>IF($A514="","",_xll.BDP($A514&amp;" Corp","MATURITY"))</f>
        <v/>
      </c>
      <c r="G514" s="75">
        <f>IF($A514="","",PROPER(_xll.BDP($A514&amp;" Corp","COUNTRY_FULL_NAME")))</f>
        <v/>
      </c>
      <c r="H514" s="75">
        <f>IF($A514="","",_xll.BDP($A514&amp;" Corp","INDUSTRY_SECTOR"))</f>
        <v/>
      </c>
      <c r="I514" s="101">
        <f>IF($A514="","",IFERROR(_xll.BDP($A514&amp;" Corp","MIN_PIECE")/1000,""))</f>
        <v/>
      </c>
      <c r="J514" s="31">
        <f>IF($A514="","",_xll.BDP($A514&amp;" Corp","PX_LAST"))</f>
        <v/>
      </c>
      <c r="K514" s="31">
        <f>IF($A514="","",_xll.BDP($A514&amp;" Corp","YAS_BOND_YLD","YAS_YLD_FLAG=15"))</f>
        <v/>
      </c>
      <c r="L514" s="31">
        <f>IF($A514="","",K514-_xll.BDP($A514&amp;" Corp","YAS_BOND_YLD","YAS_YLD_FLAG=15","SETTLE_DT",Company_desc!$A$1))</f>
        <v/>
      </c>
      <c r="M514" s="31">
        <f>IF($A514="","",K514-_xll.BDP($A514&amp;" Corp","YAS_BOND_YLD","YAS_YLD_FLAG=15","SETTLE_DT",Company_desc!$A$2))</f>
        <v/>
      </c>
      <c r="N514" s="79">
        <f>IF($A514="","",_xll.BDP($A514&amp;" Corp","YAS_OAS_SPRD"))</f>
        <v/>
      </c>
      <c r="O514" s="67">
        <f>IF($A514="","",_xll.BDP($A514&amp;" Corp","YAS_MOD_DUR"))</f>
        <v/>
      </c>
      <c r="P514" s="80">
        <f>IF($A514="","",IFERROR(INDEX(Sheet1!$P:$P,MATCH($A514,Sheet1!$A:$A,0)),""))</f>
        <v/>
      </c>
      <c r="Q514" s="75">
        <f>IF($A514="","",IFERROR(INDEX(Company_desc!$C:$C,MATCH($A514,Company_desc!$A:$A,0)),IFERROR(INDEX(Sheet1!$Q:$Q,MATCH($A514,Sheet1!$A:$A,0)),"")))</f>
        <v/>
      </c>
      <c r="R514" s="75">
        <f>IF($A514="","",_xll.BDP($A514&amp;" Corp","CRNCY"))</f>
        <v/>
      </c>
      <c r="S514" s="75">
        <f>IF($A514="","",IFERROR(INDEX(Sheet1!$S:$S,MATCH($A514,Sheet1!$A:$A,0)),""))</f>
        <v/>
      </c>
      <c r="T514" s="75">
        <f>IF($A514="","",IFERROR(INDEX(Sheet1!$T:$T,MATCH($A514,Sheet1!$A:$A,0)),_xll.BDP($A514&amp;" Corp","RTG_SP")))</f>
        <v/>
      </c>
      <c r="U514" s="75">
        <f>IF($A514="","",IFERROR(INDEX(Sheet1!$U:$U,MATCH($A514,Sheet1!$A:$A,0)),""))</f>
        <v/>
      </c>
      <c r="W514" s="81">
        <f>IF($A514="","",N514-_xll.BDP($A514&amp;" Corp","YAS_OAS_SPRD","SETTLE_DT",Company_desc!$A$1))</f>
        <v/>
      </c>
      <c r="X514" s="81">
        <f>IF($A514="","",N514-_xll.BDP($A514&amp;" Corp","YAS_OAS_SPRD","SETTLE_DT",Company_desc!$A$2))</f>
        <v/>
      </c>
      <c r="Y514" s="80">
        <f>IF($A514="","",N514-_xll.BDP($A514&amp;" Corp","YAS_OAS_SPRD","SETTLE_DT",Company_desc!$D$1))</f>
        <v/>
      </c>
      <c r="Z514" s="82">
        <f>IF($A514="","",K514-_xll.BDP($A514&amp;" Corp","YAS_BOND_YLD","YAS_YLD_FLAG=15","SETTLE_DT",Company_desc!$D$1))</f>
        <v/>
      </c>
      <c r="AA514" s="80">
        <f>IF($A514="","",_xll.BDP($A514&amp;" Corp","YAS_OAS_SPRD","SETTLE_DT",Company_desc!$D$1))</f>
        <v/>
      </c>
    </row>
    <row r="515">
      <c r="B515" s="75">
        <f>IF($A515="","",IFERROR(INDEX(Sheet1!$B:$B,MATCH($A515,Sheet1!$A:$A,0)),""))</f>
        <v/>
      </c>
      <c r="C515" s="75">
        <f>IF($A515="","",PROPER(_xll.BDP($A515&amp;" Corp","NAME")))</f>
        <v/>
      </c>
      <c r="D515" s="76">
        <f>IF($A515="","",_xll.BDP($A515&amp;" Corp","CPN"))</f>
        <v/>
      </c>
      <c r="E515" s="75">
        <f>IF($A515="","",_xll.BDP($A515&amp;" Corp","PAYMENT_RANK"))</f>
        <v/>
      </c>
      <c r="F515" s="100">
        <f>IF($A515="","",_xll.BDP($A515&amp;" Corp","MATURITY"))</f>
        <v/>
      </c>
      <c r="G515" s="75">
        <f>IF($A515="","",PROPER(_xll.BDP($A515&amp;" Corp","COUNTRY_FULL_NAME")))</f>
        <v/>
      </c>
      <c r="H515" s="75">
        <f>IF($A515="","",_xll.BDP($A515&amp;" Corp","INDUSTRY_SECTOR"))</f>
        <v/>
      </c>
      <c r="I515" s="101">
        <f>IF($A515="","",IFERROR(_xll.BDP($A515&amp;" Corp","MIN_PIECE")/1000,""))</f>
        <v/>
      </c>
      <c r="J515" s="31">
        <f>IF($A515="","",_xll.BDP($A515&amp;" Corp","PX_LAST"))</f>
        <v/>
      </c>
      <c r="K515" s="31">
        <f>IF($A515="","",_xll.BDP($A515&amp;" Corp","YAS_BOND_YLD","YAS_YLD_FLAG=15"))</f>
        <v/>
      </c>
      <c r="L515" s="31">
        <f>IF($A515="","",K515-_xll.BDP($A515&amp;" Corp","YAS_BOND_YLD","YAS_YLD_FLAG=15","SETTLE_DT",Company_desc!$A$1))</f>
        <v/>
      </c>
      <c r="M515" s="31">
        <f>IF($A515="","",K515-_xll.BDP($A515&amp;" Corp","YAS_BOND_YLD","YAS_YLD_FLAG=15","SETTLE_DT",Company_desc!$A$2))</f>
        <v/>
      </c>
      <c r="N515" s="79">
        <f>IF($A515="","",_xll.BDP($A515&amp;" Corp","YAS_OAS_SPRD"))</f>
        <v/>
      </c>
      <c r="O515" s="67">
        <f>IF($A515="","",_xll.BDP($A515&amp;" Corp","YAS_MOD_DUR"))</f>
        <v/>
      </c>
      <c r="P515" s="80">
        <f>IF($A515="","",IFERROR(INDEX(Sheet1!$P:$P,MATCH($A515,Sheet1!$A:$A,0)),""))</f>
        <v/>
      </c>
      <c r="Q515" s="75">
        <f>IF($A515="","",IFERROR(INDEX(Company_desc!$C:$C,MATCH($A515,Company_desc!$A:$A,0)),IFERROR(INDEX(Sheet1!$Q:$Q,MATCH($A515,Sheet1!$A:$A,0)),"")))</f>
        <v/>
      </c>
      <c r="R515" s="75">
        <f>IF($A515="","",_xll.BDP($A515&amp;" Corp","CRNCY"))</f>
        <v/>
      </c>
      <c r="S515" s="75">
        <f>IF($A515="","",IFERROR(INDEX(Sheet1!$S:$S,MATCH($A515,Sheet1!$A:$A,0)),""))</f>
        <v/>
      </c>
      <c r="T515" s="75">
        <f>IF($A515="","",IFERROR(INDEX(Sheet1!$T:$T,MATCH($A515,Sheet1!$A:$A,0)),_xll.BDP($A515&amp;" Corp","RTG_SP")))</f>
        <v/>
      </c>
      <c r="U515" s="75">
        <f>IF($A515="","",IFERROR(INDEX(Sheet1!$U:$U,MATCH($A515,Sheet1!$A:$A,0)),""))</f>
        <v/>
      </c>
      <c r="W515" s="81">
        <f>IF($A515="","",N515-_xll.BDP($A515&amp;" Corp","YAS_OAS_SPRD","SETTLE_DT",Company_desc!$A$1))</f>
        <v/>
      </c>
      <c r="X515" s="81">
        <f>IF($A515="","",N515-_xll.BDP($A515&amp;" Corp","YAS_OAS_SPRD","SETTLE_DT",Company_desc!$A$2))</f>
        <v/>
      </c>
      <c r="Y515" s="80">
        <f>IF($A515="","",N515-_xll.BDP($A515&amp;" Corp","YAS_OAS_SPRD","SETTLE_DT",Company_desc!$D$1))</f>
        <v/>
      </c>
      <c r="Z515" s="82">
        <f>IF($A515="","",K515-_xll.BDP($A515&amp;" Corp","YAS_BOND_YLD","YAS_YLD_FLAG=15","SETTLE_DT",Company_desc!$D$1))</f>
        <v/>
      </c>
      <c r="AA515" s="80">
        <f>IF($A515="","",_xll.BDP($A515&amp;" Corp","YAS_OAS_SPRD","SETTLE_DT",Company_desc!$D$1))</f>
        <v/>
      </c>
    </row>
    <row r="516">
      <c r="B516" s="75">
        <f>IF($A516="","",IFERROR(INDEX(Sheet1!$B:$B,MATCH($A516,Sheet1!$A:$A,0)),""))</f>
        <v/>
      </c>
      <c r="C516" s="75">
        <f>IF($A516="","",PROPER(_xll.BDP($A516&amp;" Corp","NAME")))</f>
        <v/>
      </c>
      <c r="D516" s="76">
        <f>IF($A516="","",_xll.BDP($A516&amp;" Corp","CPN"))</f>
        <v/>
      </c>
      <c r="E516" s="75">
        <f>IF($A516="","",_xll.BDP($A516&amp;" Corp","PAYMENT_RANK"))</f>
        <v/>
      </c>
      <c r="F516" s="100">
        <f>IF($A516="","",_xll.BDP($A516&amp;" Corp","MATURITY"))</f>
        <v/>
      </c>
      <c r="G516" s="75">
        <f>IF($A516="","",PROPER(_xll.BDP($A516&amp;" Corp","COUNTRY_FULL_NAME")))</f>
        <v/>
      </c>
      <c r="H516" s="75">
        <f>IF($A516="","",_xll.BDP($A516&amp;" Corp","INDUSTRY_SECTOR"))</f>
        <v/>
      </c>
      <c r="I516" s="101">
        <f>IF($A516="","",IFERROR(_xll.BDP($A516&amp;" Corp","MIN_PIECE")/1000,""))</f>
        <v/>
      </c>
      <c r="J516" s="31">
        <f>IF($A516="","",_xll.BDP($A516&amp;" Corp","PX_LAST"))</f>
        <v/>
      </c>
      <c r="K516" s="31">
        <f>IF($A516="","",_xll.BDP($A516&amp;" Corp","YAS_BOND_YLD","YAS_YLD_FLAG=15"))</f>
        <v/>
      </c>
      <c r="L516" s="31">
        <f>IF($A516="","",K516-_xll.BDP($A516&amp;" Corp","YAS_BOND_YLD","YAS_YLD_FLAG=15","SETTLE_DT",Company_desc!$A$1))</f>
        <v/>
      </c>
      <c r="M516" s="31">
        <f>IF($A516="","",K516-_xll.BDP($A516&amp;" Corp","YAS_BOND_YLD","YAS_YLD_FLAG=15","SETTLE_DT",Company_desc!$A$2))</f>
        <v/>
      </c>
      <c r="N516" s="79">
        <f>IF($A516="","",_xll.BDP($A516&amp;" Corp","YAS_OAS_SPRD"))</f>
        <v/>
      </c>
      <c r="O516" s="67">
        <f>IF($A516="","",_xll.BDP($A516&amp;" Corp","YAS_MOD_DUR"))</f>
        <v/>
      </c>
      <c r="P516" s="80">
        <f>IF($A516="","",IFERROR(INDEX(Sheet1!$P:$P,MATCH($A516,Sheet1!$A:$A,0)),""))</f>
        <v/>
      </c>
      <c r="Q516" s="75">
        <f>IF($A516="","",IFERROR(INDEX(Company_desc!$C:$C,MATCH($A516,Company_desc!$A:$A,0)),IFERROR(INDEX(Sheet1!$Q:$Q,MATCH($A516,Sheet1!$A:$A,0)),"")))</f>
        <v/>
      </c>
      <c r="R516" s="75">
        <f>IF($A516="","",_xll.BDP($A516&amp;" Corp","CRNCY"))</f>
        <v/>
      </c>
      <c r="S516" s="75">
        <f>IF($A516="","",IFERROR(INDEX(Sheet1!$S:$S,MATCH($A516,Sheet1!$A:$A,0)),""))</f>
        <v/>
      </c>
      <c r="T516" s="75">
        <f>IF($A516="","",IFERROR(INDEX(Sheet1!$T:$T,MATCH($A516,Sheet1!$A:$A,0)),_xll.BDP($A516&amp;" Corp","RTG_SP")))</f>
        <v/>
      </c>
      <c r="U516" s="75">
        <f>IF($A516="","",IFERROR(INDEX(Sheet1!$U:$U,MATCH($A516,Sheet1!$A:$A,0)),""))</f>
        <v/>
      </c>
      <c r="W516" s="81">
        <f>IF($A516="","",N516-_xll.BDP($A516&amp;" Corp","YAS_OAS_SPRD","SETTLE_DT",Company_desc!$A$1))</f>
        <v/>
      </c>
      <c r="X516" s="81">
        <f>IF($A516="","",N516-_xll.BDP($A516&amp;" Corp","YAS_OAS_SPRD","SETTLE_DT",Company_desc!$A$2))</f>
        <v/>
      </c>
      <c r="Y516" s="80">
        <f>IF($A516="","",N516-_xll.BDP($A516&amp;" Corp","YAS_OAS_SPRD","SETTLE_DT",Company_desc!$D$1))</f>
        <v/>
      </c>
      <c r="Z516" s="82">
        <f>IF($A516="","",K516-_xll.BDP($A516&amp;" Corp","YAS_BOND_YLD","YAS_YLD_FLAG=15","SETTLE_DT",Company_desc!$D$1))</f>
        <v/>
      </c>
      <c r="AA516" s="80">
        <f>IF($A516="","",_xll.BDP($A516&amp;" Corp","YAS_OAS_SPRD","SETTLE_DT",Company_desc!$D$1))</f>
        <v/>
      </c>
    </row>
    <row r="517">
      <c r="B517" s="75">
        <f>IF($A517="","",IFERROR(INDEX(Sheet1!$B:$B,MATCH($A517,Sheet1!$A:$A,0)),""))</f>
        <v/>
      </c>
      <c r="C517" s="75">
        <f>IF($A517="","",PROPER(_xll.BDP($A517&amp;" Corp","NAME")))</f>
        <v/>
      </c>
      <c r="D517" s="76">
        <f>IF($A517="","",_xll.BDP($A517&amp;" Corp","CPN"))</f>
        <v/>
      </c>
      <c r="E517" s="75">
        <f>IF($A517="","",_xll.BDP($A517&amp;" Corp","PAYMENT_RANK"))</f>
        <v/>
      </c>
      <c r="F517" s="100">
        <f>IF($A517="","",_xll.BDP($A517&amp;" Corp","MATURITY"))</f>
        <v/>
      </c>
      <c r="G517" s="75">
        <f>IF($A517="","",PROPER(_xll.BDP($A517&amp;" Corp","COUNTRY_FULL_NAME")))</f>
        <v/>
      </c>
      <c r="H517" s="75">
        <f>IF($A517="","",_xll.BDP($A517&amp;" Corp","INDUSTRY_SECTOR"))</f>
        <v/>
      </c>
      <c r="I517" s="101">
        <f>IF($A517="","",IFERROR(_xll.BDP($A517&amp;" Corp","MIN_PIECE")/1000,""))</f>
        <v/>
      </c>
      <c r="J517" s="31">
        <f>IF($A517="","",_xll.BDP($A517&amp;" Corp","PX_LAST"))</f>
        <v/>
      </c>
      <c r="K517" s="31">
        <f>IF($A517="","",_xll.BDP($A517&amp;" Corp","YAS_BOND_YLD","YAS_YLD_FLAG=15"))</f>
        <v/>
      </c>
      <c r="L517" s="31">
        <f>IF($A517="","",K517-_xll.BDP($A517&amp;" Corp","YAS_BOND_YLD","YAS_YLD_FLAG=15","SETTLE_DT",Company_desc!$A$1))</f>
        <v/>
      </c>
      <c r="M517" s="31">
        <f>IF($A517="","",K517-_xll.BDP($A517&amp;" Corp","YAS_BOND_YLD","YAS_YLD_FLAG=15","SETTLE_DT",Company_desc!$A$2))</f>
        <v/>
      </c>
      <c r="N517" s="79">
        <f>IF($A517="","",_xll.BDP($A517&amp;" Corp","YAS_OAS_SPRD"))</f>
        <v/>
      </c>
      <c r="O517" s="67">
        <f>IF($A517="","",_xll.BDP($A517&amp;" Corp","YAS_MOD_DUR"))</f>
        <v/>
      </c>
      <c r="P517" s="80">
        <f>IF($A517="","",IFERROR(INDEX(Sheet1!$P:$P,MATCH($A517,Sheet1!$A:$A,0)),""))</f>
        <v/>
      </c>
      <c r="Q517" s="75">
        <f>IF($A517="","",IFERROR(INDEX(Company_desc!$C:$C,MATCH($A517,Company_desc!$A:$A,0)),IFERROR(INDEX(Sheet1!$Q:$Q,MATCH($A517,Sheet1!$A:$A,0)),"")))</f>
        <v/>
      </c>
      <c r="R517" s="75">
        <f>IF($A517="","",_xll.BDP($A517&amp;" Corp","CRNCY"))</f>
        <v/>
      </c>
      <c r="S517" s="75">
        <f>IF($A517="","",IFERROR(INDEX(Sheet1!$S:$S,MATCH($A517,Sheet1!$A:$A,0)),""))</f>
        <v/>
      </c>
      <c r="T517" s="75">
        <f>IF($A517="","",IFERROR(INDEX(Sheet1!$T:$T,MATCH($A517,Sheet1!$A:$A,0)),_xll.BDP($A517&amp;" Corp","RTG_SP")))</f>
        <v/>
      </c>
      <c r="U517" s="75">
        <f>IF($A517="","",IFERROR(INDEX(Sheet1!$U:$U,MATCH($A517,Sheet1!$A:$A,0)),""))</f>
        <v/>
      </c>
      <c r="W517" s="81">
        <f>IF($A517="","",N517-_xll.BDP($A517&amp;" Corp","YAS_OAS_SPRD","SETTLE_DT",Company_desc!$A$1))</f>
        <v/>
      </c>
      <c r="X517" s="81">
        <f>IF($A517="","",N517-_xll.BDP($A517&amp;" Corp","YAS_OAS_SPRD","SETTLE_DT",Company_desc!$A$2))</f>
        <v/>
      </c>
      <c r="Y517" s="80">
        <f>IF($A517="","",N517-_xll.BDP($A517&amp;" Corp","YAS_OAS_SPRD","SETTLE_DT",Company_desc!$D$1))</f>
        <v/>
      </c>
      <c r="Z517" s="82">
        <f>IF($A517="","",K517-_xll.BDP($A517&amp;" Corp","YAS_BOND_YLD","YAS_YLD_FLAG=15","SETTLE_DT",Company_desc!$D$1))</f>
        <v/>
      </c>
      <c r="AA517" s="80">
        <f>IF($A517="","",_xll.BDP($A517&amp;" Corp","YAS_OAS_SPRD","SETTLE_DT",Company_desc!$D$1))</f>
        <v/>
      </c>
    </row>
    <row r="518">
      <c r="B518" s="75">
        <f>IF($A518="","",IFERROR(INDEX(Sheet1!$B:$B,MATCH($A518,Sheet1!$A:$A,0)),""))</f>
        <v/>
      </c>
      <c r="C518" s="75">
        <f>IF($A518="","",PROPER(_xll.BDP($A518&amp;" Corp","NAME")))</f>
        <v/>
      </c>
      <c r="D518" s="76">
        <f>IF($A518="","",_xll.BDP($A518&amp;" Corp","CPN"))</f>
        <v/>
      </c>
      <c r="E518" s="75">
        <f>IF($A518="","",_xll.BDP($A518&amp;" Corp","PAYMENT_RANK"))</f>
        <v/>
      </c>
      <c r="F518" s="100">
        <f>IF($A518="","",_xll.BDP($A518&amp;" Corp","MATURITY"))</f>
        <v/>
      </c>
      <c r="G518" s="75">
        <f>IF($A518="","",PROPER(_xll.BDP($A518&amp;" Corp","COUNTRY_FULL_NAME")))</f>
        <v/>
      </c>
      <c r="H518" s="75">
        <f>IF($A518="","",_xll.BDP($A518&amp;" Corp","INDUSTRY_SECTOR"))</f>
        <v/>
      </c>
      <c r="I518" s="101">
        <f>IF($A518="","",IFERROR(_xll.BDP($A518&amp;" Corp","MIN_PIECE")/1000,""))</f>
        <v/>
      </c>
      <c r="J518" s="31">
        <f>IF($A518="","",_xll.BDP($A518&amp;" Corp","PX_LAST"))</f>
        <v/>
      </c>
      <c r="K518" s="31">
        <f>IF($A518="","",_xll.BDP($A518&amp;" Corp","YAS_BOND_YLD","YAS_YLD_FLAG=15"))</f>
        <v/>
      </c>
      <c r="L518" s="31">
        <f>IF($A518="","",K518-_xll.BDP($A518&amp;" Corp","YAS_BOND_YLD","YAS_YLD_FLAG=15","SETTLE_DT",Company_desc!$A$1))</f>
        <v/>
      </c>
      <c r="M518" s="31">
        <f>IF($A518="","",K518-_xll.BDP($A518&amp;" Corp","YAS_BOND_YLD","YAS_YLD_FLAG=15","SETTLE_DT",Company_desc!$A$2))</f>
        <v/>
      </c>
      <c r="N518" s="79">
        <f>IF($A518="","",_xll.BDP($A518&amp;" Corp","YAS_OAS_SPRD"))</f>
        <v/>
      </c>
      <c r="O518" s="67">
        <f>IF($A518="","",_xll.BDP($A518&amp;" Corp","YAS_MOD_DUR"))</f>
        <v/>
      </c>
      <c r="P518" s="80">
        <f>IF($A518="","",IFERROR(INDEX(Sheet1!$P:$P,MATCH($A518,Sheet1!$A:$A,0)),""))</f>
        <v/>
      </c>
      <c r="Q518" s="75">
        <f>IF($A518="","",IFERROR(INDEX(Company_desc!$C:$C,MATCH($A518,Company_desc!$A:$A,0)),IFERROR(INDEX(Sheet1!$Q:$Q,MATCH($A518,Sheet1!$A:$A,0)),"")))</f>
        <v/>
      </c>
      <c r="R518" s="75">
        <f>IF($A518="","",_xll.BDP($A518&amp;" Corp","CRNCY"))</f>
        <v/>
      </c>
      <c r="S518" s="75">
        <f>IF($A518="","",IFERROR(INDEX(Sheet1!$S:$S,MATCH($A518,Sheet1!$A:$A,0)),""))</f>
        <v/>
      </c>
      <c r="T518" s="75">
        <f>IF($A518="","",IFERROR(INDEX(Sheet1!$T:$T,MATCH($A518,Sheet1!$A:$A,0)),_xll.BDP($A518&amp;" Corp","RTG_SP")))</f>
        <v/>
      </c>
      <c r="U518" s="75">
        <f>IF($A518="","",IFERROR(INDEX(Sheet1!$U:$U,MATCH($A518,Sheet1!$A:$A,0)),""))</f>
        <v/>
      </c>
      <c r="W518" s="81">
        <f>IF($A518="","",N518-_xll.BDP($A518&amp;" Corp","YAS_OAS_SPRD","SETTLE_DT",Company_desc!$A$1))</f>
        <v/>
      </c>
      <c r="X518" s="81">
        <f>IF($A518="","",N518-_xll.BDP($A518&amp;" Corp","YAS_OAS_SPRD","SETTLE_DT",Company_desc!$A$2))</f>
        <v/>
      </c>
      <c r="Y518" s="80">
        <f>IF($A518="","",N518-_xll.BDP($A518&amp;" Corp","YAS_OAS_SPRD","SETTLE_DT",Company_desc!$D$1))</f>
        <v/>
      </c>
      <c r="Z518" s="82">
        <f>IF($A518="","",K518-_xll.BDP($A518&amp;" Corp","YAS_BOND_YLD","YAS_YLD_FLAG=15","SETTLE_DT",Company_desc!$D$1))</f>
        <v/>
      </c>
      <c r="AA518" s="80">
        <f>IF($A518="","",_xll.BDP($A518&amp;" Corp","YAS_OAS_SPRD","SETTLE_DT",Company_desc!$D$1))</f>
        <v/>
      </c>
    </row>
    <row r="519">
      <c r="B519" s="75">
        <f>IF($A519="","",IFERROR(INDEX(Sheet1!$B:$B,MATCH($A519,Sheet1!$A:$A,0)),""))</f>
        <v/>
      </c>
      <c r="C519" s="75">
        <f>IF($A519="","",PROPER(_xll.BDP($A519&amp;" Corp","NAME")))</f>
        <v/>
      </c>
      <c r="D519" s="76">
        <f>IF($A519="","",_xll.BDP($A519&amp;" Corp","CPN"))</f>
        <v/>
      </c>
      <c r="E519" s="75">
        <f>IF($A519="","",_xll.BDP($A519&amp;" Corp","PAYMENT_RANK"))</f>
        <v/>
      </c>
      <c r="F519" s="100">
        <f>IF($A519="","",_xll.BDP($A519&amp;" Corp","MATURITY"))</f>
        <v/>
      </c>
      <c r="G519" s="75">
        <f>IF($A519="","",PROPER(_xll.BDP($A519&amp;" Corp","COUNTRY_FULL_NAME")))</f>
        <v/>
      </c>
      <c r="H519" s="75">
        <f>IF($A519="","",_xll.BDP($A519&amp;" Corp","INDUSTRY_SECTOR"))</f>
        <v/>
      </c>
      <c r="I519" s="101">
        <f>IF($A519="","",IFERROR(_xll.BDP($A519&amp;" Corp","MIN_PIECE")/1000,""))</f>
        <v/>
      </c>
      <c r="J519" s="31">
        <f>IF($A519="","",_xll.BDP($A519&amp;" Corp","PX_LAST"))</f>
        <v/>
      </c>
      <c r="K519" s="31">
        <f>IF($A519="","",_xll.BDP($A519&amp;" Corp","YAS_BOND_YLD","YAS_YLD_FLAG=15"))</f>
        <v/>
      </c>
      <c r="L519" s="31">
        <f>IF($A519="","",K519-_xll.BDP($A519&amp;" Corp","YAS_BOND_YLD","YAS_YLD_FLAG=15","SETTLE_DT",Company_desc!$A$1))</f>
        <v/>
      </c>
      <c r="M519" s="31">
        <f>IF($A519="","",K519-_xll.BDP($A519&amp;" Corp","YAS_BOND_YLD","YAS_YLD_FLAG=15","SETTLE_DT",Company_desc!$A$2))</f>
        <v/>
      </c>
      <c r="N519" s="79">
        <f>IF($A519="","",_xll.BDP($A519&amp;" Corp","YAS_OAS_SPRD"))</f>
        <v/>
      </c>
      <c r="O519" s="67">
        <f>IF($A519="","",_xll.BDP($A519&amp;" Corp","YAS_MOD_DUR"))</f>
        <v/>
      </c>
      <c r="P519" s="80">
        <f>IF($A519="","",IFERROR(INDEX(Sheet1!$P:$P,MATCH($A519,Sheet1!$A:$A,0)),""))</f>
        <v/>
      </c>
      <c r="Q519" s="75">
        <f>IF($A519="","",IFERROR(INDEX(Company_desc!$C:$C,MATCH($A519,Company_desc!$A:$A,0)),IFERROR(INDEX(Sheet1!$Q:$Q,MATCH($A519,Sheet1!$A:$A,0)),"")))</f>
        <v/>
      </c>
      <c r="R519" s="75">
        <f>IF($A519="","",_xll.BDP($A519&amp;" Corp","CRNCY"))</f>
        <v/>
      </c>
      <c r="S519" s="75">
        <f>IF($A519="","",IFERROR(INDEX(Sheet1!$S:$S,MATCH($A519,Sheet1!$A:$A,0)),""))</f>
        <v/>
      </c>
      <c r="T519" s="75">
        <f>IF($A519="","",IFERROR(INDEX(Sheet1!$T:$T,MATCH($A519,Sheet1!$A:$A,0)),_xll.BDP($A519&amp;" Corp","RTG_SP")))</f>
        <v/>
      </c>
      <c r="U519" s="75">
        <f>IF($A519="","",IFERROR(INDEX(Sheet1!$U:$U,MATCH($A519,Sheet1!$A:$A,0)),""))</f>
        <v/>
      </c>
      <c r="W519" s="81">
        <f>IF($A519="","",N519-_xll.BDP($A519&amp;" Corp","YAS_OAS_SPRD","SETTLE_DT",Company_desc!$A$1))</f>
        <v/>
      </c>
      <c r="X519" s="81">
        <f>IF($A519="","",N519-_xll.BDP($A519&amp;" Corp","YAS_OAS_SPRD","SETTLE_DT",Company_desc!$A$2))</f>
        <v/>
      </c>
      <c r="Y519" s="80">
        <f>IF($A519="","",N519-_xll.BDP($A519&amp;" Corp","YAS_OAS_SPRD","SETTLE_DT",Company_desc!$D$1))</f>
        <v/>
      </c>
      <c r="Z519" s="82">
        <f>IF($A519="","",K519-_xll.BDP($A519&amp;" Corp","YAS_BOND_YLD","YAS_YLD_FLAG=15","SETTLE_DT",Company_desc!$D$1))</f>
        <v/>
      </c>
      <c r="AA519" s="80">
        <f>IF($A519="","",_xll.BDP($A519&amp;" Corp","YAS_OAS_SPRD","SETTLE_DT",Company_desc!$D$1))</f>
        <v/>
      </c>
    </row>
    <row r="520">
      <c r="B520" s="75">
        <f>IF($A520="","",IFERROR(INDEX(Sheet1!$B:$B,MATCH($A520,Sheet1!$A:$A,0)),""))</f>
        <v/>
      </c>
      <c r="C520" s="75">
        <f>IF($A520="","",PROPER(_xll.BDP($A520&amp;" Corp","NAME")))</f>
        <v/>
      </c>
      <c r="D520" s="76">
        <f>IF($A520="","",_xll.BDP($A520&amp;" Corp","CPN"))</f>
        <v/>
      </c>
      <c r="E520" s="75">
        <f>IF($A520="","",_xll.BDP($A520&amp;" Corp","PAYMENT_RANK"))</f>
        <v/>
      </c>
      <c r="F520" s="100">
        <f>IF($A520="","",_xll.BDP($A520&amp;" Corp","MATURITY"))</f>
        <v/>
      </c>
      <c r="G520" s="75">
        <f>IF($A520="","",PROPER(_xll.BDP($A520&amp;" Corp","COUNTRY_FULL_NAME")))</f>
        <v/>
      </c>
      <c r="H520" s="75">
        <f>IF($A520="","",_xll.BDP($A520&amp;" Corp","INDUSTRY_SECTOR"))</f>
        <v/>
      </c>
      <c r="I520" s="101">
        <f>IF($A520="","",IFERROR(_xll.BDP($A520&amp;" Corp","MIN_PIECE")/1000,""))</f>
        <v/>
      </c>
      <c r="J520" s="31">
        <f>IF($A520="","",_xll.BDP($A520&amp;" Corp","PX_LAST"))</f>
        <v/>
      </c>
      <c r="K520" s="31">
        <f>IF($A520="","",_xll.BDP($A520&amp;" Corp","YAS_BOND_YLD","YAS_YLD_FLAG=15"))</f>
        <v/>
      </c>
      <c r="L520" s="31">
        <f>IF($A520="","",K520-_xll.BDP($A520&amp;" Corp","YAS_BOND_YLD","YAS_YLD_FLAG=15","SETTLE_DT",Company_desc!$A$1))</f>
        <v/>
      </c>
      <c r="M520" s="31">
        <f>IF($A520="","",K520-_xll.BDP($A520&amp;" Corp","YAS_BOND_YLD","YAS_YLD_FLAG=15","SETTLE_DT",Company_desc!$A$2))</f>
        <v/>
      </c>
      <c r="N520" s="79">
        <f>IF($A520="","",_xll.BDP($A520&amp;" Corp","YAS_OAS_SPRD"))</f>
        <v/>
      </c>
      <c r="O520" s="67">
        <f>IF($A520="","",_xll.BDP($A520&amp;" Corp","YAS_MOD_DUR"))</f>
        <v/>
      </c>
      <c r="P520" s="80">
        <f>IF($A520="","",IFERROR(INDEX(Sheet1!$P:$P,MATCH($A520,Sheet1!$A:$A,0)),""))</f>
        <v/>
      </c>
      <c r="Q520" s="75">
        <f>IF($A520="","",IFERROR(INDEX(Company_desc!$C:$C,MATCH($A520,Company_desc!$A:$A,0)),IFERROR(INDEX(Sheet1!$Q:$Q,MATCH($A520,Sheet1!$A:$A,0)),"")))</f>
        <v/>
      </c>
      <c r="R520" s="75">
        <f>IF($A520="","",_xll.BDP($A520&amp;" Corp","CRNCY"))</f>
        <v/>
      </c>
      <c r="S520" s="75">
        <f>IF($A520="","",IFERROR(INDEX(Sheet1!$S:$S,MATCH($A520,Sheet1!$A:$A,0)),""))</f>
        <v/>
      </c>
      <c r="T520" s="75">
        <f>IF($A520="","",IFERROR(INDEX(Sheet1!$T:$T,MATCH($A520,Sheet1!$A:$A,0)),_xll.BDP($A520&amp;" Corp","RTG_SP")))</f>
        <v/>
      </c>
      <c r="U520" s="75">
        <f>IF($A520="","",IFERROR(INDEX(Sheet1!$U:$U,MATCH($A520,Sheet1!$A:$A,0)),""))</f>
        <v/>
      </c>
      <c r="W520" s="81">
        <f>IF($A520="","",N520-_xll.BDP($A520&amp;" Corp","YAS_OAS_SPRD","SETTLE_DT",Company_desc!$A$1))</f>
        <v/>
      </c>
      <c r="X520" s="81">
        <f>IF($A520="","",N520-_xll.BDP($A520&amp;" Corp","YAS_OAS_SPRD","SETTLE_DT",Company_desc!$A$2))</f>
        <v/>
      </c>
      <c r="Y520" s="80">
        <f>IF($A520="","",N520-_xll.BDP($A520&amp;" Corp","YAS_OAS_SPRD","SETTLE_DT",Company_desc!$D$1))</f>
        <v/>
      </c>
      <c r="Z520" s="82">
        <f>IF($A520="","",K520-_xll.BDP($A520&amp;" Corp","YAS_BOND_YLD","YAS_YLD_FLAG=15","SETTLE_DT",Company_desc!$D$1))</f>
        <v/>
      </c>
      <c r="AA520" s="80">
        <f>IF($A520="","",_xll.BDP($A520&amp;" Corp","YAS_OAS_SPRD","SETTLE_DT",Company_desc!$D$1))</f>
        <v/>
      </c>
    </row>
    <row r="521">
      <c r="B521" s="75">
        <f>IF($A521="","",IFERROR(INDEX(Sheet1!$B:$B,MATCH($A521,Sheet1!$A:$A,0)),""))</f>
        <v/>
      </c>
      <c r="C521" s="75">
        <f>IF($A521="","",PROPER(_xll.BDP($A521&amp;" Corp","NAME")))</f>
        <v/>
      </c>
      <c r="D521" s="76">
        <f>IF($A521="","",_xll.BDP($A521&amp;" Corp","CPN"))</f>
        <v/>
      </c>
      <c r="E521" s="75">
        <f>IF($A521="","",_xll.BDP($A521&amp;" Corp","PAYMENT_RANK"))</f>
        <v/>
      </c>
      <c r="F521" s="100">
        <f>IF($A521="","",_xll.BDP($A521&amp;" Corp","MATURITY"))</f>
        <v/>
      </c>
      <c r="G521" s="75">
        <f>IF($A521="","",PROPER(_xll.BDP($A521&amp;" Corp","COUNTRY_FULL_NAME")))</f>
        <v/>
      </c>
      <c r="H521" s="75">
        <f>IF($A521="","",_xll.BDP($A521&amp;" Corp","INDUSTRY_SECTOR"))</f>
        <v/>
      </c>
      <c r="I521" s="101">
        <f>IF($A521="","",IFERROR(_xll.BDP($A521&amp;" Corp","MIN_PIECE")/1000,""))</f>
        <v/>
      </c>
      <c r="J521" s="31">
        <f>IF($A521="","",_xll.BDP($A521&amp;" Corp","PX_LAST"))</f>
        <v/>
      </c>
      <c r="K521" s="31">
        <f>IF($A521="","",_xll.BDP($A521&amp;" Corp","YAS_BOND_YLD","YAS_YLD_FLAG=15"))</f>
        <v/>
      </c>
      <c r="L521" s="31">
        <f>IF($A521="","",K521-_xll.BDP($A521&amp;" Corp","YAS_BOND_YLD","YAS_YLD_FLAG=15","SETTLE_DT",Company_desc!$A$1))</f>
        <v/>
      </c>
      <c r="M521" s="31">
        <f>IF($A521="","",K521-_xll.BDP($A521&amp;" Corp","YAS_BOND_YLD","YAS_YLD_FLAG=15","SETTLE_DT",Company_desc!$A$2))</f>
        <v/>
      </c>
      <c r="N521" s="79">
        <f>IF($A521="","",_xll.BDP($A521&amp;" Corp","YAS_OAS_SPRD"))</f>
        <v/>
      </c>
      <c r="O521" s="67">
        <f>IF($A521="","",_xll.BDP($A521&amp;" Corp","YAS_MOD_DUR"))</f>
        <v/>
      </c>
      <c r="P521" s="80">
        <f>IF($A521="","",IFERROR(INDEX(Sheet1!$P:$P,MATCH($A521,Sheet1!$A:$A,0)),""))</f>
        <v/>
      </c>
      <c r="Q521" s="75">
        <f>IF($A521="","",IFERROR(INDEX(Company_desc!$C:$C,MATCH($A521,Company_desc!$A:$A,0)),IFERROR(INDEX(Sheet1!$Q:$Q,MATCH($A521,Sheet1!$A:$A,0)),"")))</f>
        <v/>
      </c>
      <c r="R521" s="75">
        <f>IF($A521="","",_xll.BDP($A521&amp;" Corp","CRNCY"))</f>
        <v/>
      </c>
      <c r="S521" s="75">
        <f>IF($A521="","",IFERROR(INDEX(Sheet1!$S:$S,MATCH($A521,Sheet1!$A:$A,0)),""))</f>
        <v/>
      </c>
      <c r="T521" s="75">
        <f>IF($A521="","",IFERROR(INDEX(Sheet1!$T:$T,MATCH($A521,Sheet1!$A:$A,0)),_xll.BDP($A521&amp;" Corp","RTG_SP")))</f>
        <v/>
      </c>
      <c r="U521" s="75">
        <f>IF($A521="","",IFERROR(INDEX(Sheet1!$U:$U,MATCH($A521,Sheet1!$A:$A,0)),""))</f>
        <v/>
      </c>
      <c r="W521" s="81">
        <f>IF($A521="","",N521-_xll.BDP($A521&amp;" Corp","YAS_OAS_SPRD","SETTLE_DT",Company_desc!$A$1))</f>
        <v/>
      </c>
      <c r="X521" s="81">
        <f>IF($A521="","",N521-_xll.BDP($A521&amp;" Corp","YAS_OAS_SPRD","SETTLE_DT",Company_desc!$A$2))</f>
        <v/>
      </c>
      <c r="Y521" s="80">
        <f>IF($A521="","",N521-_xll.BDP($A521&amp;" Corp","YAS_OAS_SPRD","SETTLE_DT",Company_desc!$D$1))</f>
        <v/>
      </c>
      <c r="Z521" s="82">
        <f>IF($A521="","",K521-_xll.BDP($A521&amp;" Corp","YAS_BOND_YLD","YAS_YLD_FLAG=15","SETTLE_DT",Company_desc!$D$1))</f>
        <v/>
      </c>
      <c r="AA521" s="80">
        <f>IF($A521="","",_xll.BDP($A521&amp;" Corp","YAS_OAS_SPRD","SETTLE_DT",Company_desc!$D$1))</f>
        <v/>
      </c>
    </row>
    <row r="522">
      <c r="B522" s="75">
        <f>IF($A522="","",IFERROR(INDEX(Sheet1!$B:$B,MATCH($A522,Sheet1!$A:$A,0)),""))</f>
        <v/>
      </c>
      <c r="C522" s="75">
        <f>IF($A522="","",PROPER(_xll.BDP($A522&amp;" Corp","NAME")))</f>
        <v/>
      </c>
      <c r="D522" s="76">
        <f>IF($A522="","",_xll.BDP($A522&amp;" Corp","CPN"))</f>
        <v/>
      </c>
      <c r="E522" s="75">
        <f>IF($A522="","",_xll.BDP($A522&amp;" Corp","PAYMENT_RANK"))</f>
        <v/>
      </c>
      <c r="F522" s="100">
        <f>IF($A522="","",_xll.BDP($A522&amp;" Corp","MATURITY"))</f>
        <v/>
      </c>
      <c r="G522" s="75">
        <f>IF($A522="","",PROPER(_xll.BDP($A522&amp;" Corp","COUNTRY_FULL_NAME")))</f>
        <v/>
      </c>
      <c r="H522" s="75">
        <f>IF($A522="","",_xll.BDP($A522&amp;" Corp","INDUSTRY_SECTOR"))</f>
        <v/>
      </c>
      <c r="I522" s="101">
        <f>IF($A522="","",IFERROR(_xll.BDP($A522&amp;" Corp","MIN_PIECE")/1000,""))</f>
        <v/>
      </c>
      <c r="J522" s="31">
        <f>IF($A522="","",_xll.BDP($A522&amp;" Corp","PX_LAST"))</f>
        <v/>
      </c>
      <c r="K522" s="31">
        <f>IF($A522="","",_xll.BDP($A522&amp;" Corp","YAS_BOND_YLD","YAS_YLD_FLAG=15"))</f>
        <v/>
      </c>
      <c r="L522" s="31">
        <f>IF($A522="","",K522-_xll.BDP($A522&amp;" Corp","YAS_BOND_YLD","YAS_YLD_FLAG=15","SETTLE_DT",Company_desc!$A$1))</f>
        <v/>
      </c>
      <c r="M522" s="31">
        <f>IF($A522="","",K522-_xll.BDP($A522&amp;" Corp","YAS_BOND_YLD","YAS_YLD_FLAG=15","SETTLE_DT",Company_desc!$A$2))</f>
        <v/>
      </c>
      <c r="N522" s="79">
        <f>IF($A522="","",_xll.BDP($A522&amp;" Corp","YAS_OAS_SPRD"))</f>
        <v/>
      </c>
      <c r="O522" s="67">
        <f>IF($A522="","",_xll.BDP($A522&amp;" Corp","YAS_MOD_DUR"))</f>
        <v/>
      </c>
      <c r="P522" s="80">
        <f>IF($A522="","",IFERROR(INDEX(Sheet1!$P:$P,MATCH($A522,Sheet1!$A:$A,0)),""))</f>
        <v/>
      </c>
      <c r="Q522" s="75">
        <f>IF($A522="","",IFERROR(INDEX(Company_desc!$C:$C,MATCH($A522,Company_desc!$A:$A,0)),IFERROR(INDEX(Sheet1!$Q:$Q,MATCH($A522,Sheet1!$A:$A,0)),"")))</f>
        <v/>
      </c>
      <c r="R522" s="75">
        <f>IF($A522="","",_xll.BDP($A522&amp;" Corp","CRNCY"))</f>
        <v/>
      </c>
      <c r="S522" s="75">
        <f>IF($A522="","",IFERROR(INDEX(Sheet1!$S:$S,MATCH($A522,Sheet1!$A:$A,0)),""))</f>
        <v/>
      </c>
      <c r="T522" s="75">
        <f>IF($A522="","",IFERROR(INDEX(Sheet1!$T:$T,MATCH($A522,Sheet1!$A:$A,0)),_xll.BDP($A522&amp;" Corp","RTG_SP")))</f>
        <v/>
      </c>
      <c r="U522" s="75">
        <f>IF($A522="","",IFERROR(INDEX(Sheet1!$U:$U,MATCH($A522,Sheet1!$A:$A,0)),""))</f>
        <v/>
      </c>
      <c r="W522" s="81">
        <f>IF($A522="","",N522-_xll.BDP($A522&amp;" Corp","YAS_OAS_SPRD","SETTLE_DT",Company_desc!$A$1))</f>
        <v/>
      </c>
      <c r="X522" s="81">
        <f>IF($A522="","",N522-_xll.BDP($A522&amp;" Corp","YAS_OAS_SPRD","SETTLE_DT",Company_desc!$A$2))</f>
        <v/>
      </c>
      <c r="Y522" s="80">
        <f>IF($A522="","",N522-_xll.BDP($A522&amp;" Corp","YAS_OAS_SPRD","SETTLE_DT",Company_desc!$D$1))</f>
        <v/>
      </c>
      <c r="Z522" s="82">
        <f>IF($A522="","",K522-_xll.BDP($A522&amp;" Corp","YAS_BOND_YLD","YAS_YLD_FLAG=15","SETTLE_DT",Company_desc!$D$1))</f>
        <v/>
      </c>
      <c r="AA522" s="80">
        <f>IF($A522="","",_xll.BDP($A522&amp;" Corp","YAS_OAS_SPRD","SETTLE_DT",Company_desc!$D$1))</f>
        <v/>
      </c>
    </row>
    <row r="523">
      <c r="B523" s="75">
        <f>IF($A523="","",IFERROR(INDEX(Sheet1!$B:$B,MATCH($A523,Sheet1!$A:$A,0)),""))</f>
        <v/>
      </c>
      <c r="C523" s="75">
        <f>IF($A523="","",PROPER(_xll.BDP($A523&amp;" Corp","NAME")))</f>
        <v/>
      </c>
      <c r="D523" s="76">
        <f>IF($A523="","",_xll.BDP($A523&amp;" Corp","CPN"))</f>
        <v/>
      </c>
      <c r="E523" s="75">
        <f>IF($A523="","",_xll.BDP($A523&amp;" Corp","PAYMENT_RANK"))</f>
        <v/>
      </c>
      <c r="F523" s="100">
        <f>IF($A523="","",_xll.BDP($A523&amp;" Corp","MATURITY"))</f>
        <v/>
      </c>
      <c r="G523" s="75">
        <f>IF($A523="","",PROPER(_xll.BDP($A523&amp;" Corp","COUNTRY_FULL_NAME")))</f>
        <v/>
      </c>
      <c r="H523" s="75">
        <f>IF($A523="","",_xll.BDP($A523&amp;" Corp","INDUSTRY_SECTOR"))</f>
        <v/>
      </c>
      <c r="I523" s="101">
        <f>IF($A523="","",IFERROR(_xll.BDP($A523&amp;" Corp","MIN_PIECE")/1000,""))</f>
        <v/>
      </c>
      <c r="J523" s="31">
        <f>IF($A523="","",_xll.BDP($A523&amp;" Corp","PX_LAST"))</f>
        <v/>
      </c>
      <c r="K523" s="31">
        <f>IF($A523="","",_xll.BDP($A523&amp;" Corp","YAS_BOND_YLD","YAS_YLD_FLAG=15"))</f>
        <v/>
      </c>
      <c r="L523" s="31">
        <f>IF($A523="","",K523-_xll.BDP($A523&amp;" Corp","YAS_BOND_YLD","YAS_YLD_FLAG=15","SETTLE_DT",Company_desc!$A$1))</f>
        <v/>
      </c>
      <c r="M523" s="31">
        <f>IF($A523="","",K523-_xll.BDP($A523&amp;" Corp","YAS_BOND_YLD","YAS_YLD_FLAG=15","SETTLE_DT",Company_desc!$A$2))</f>
        <v/>
      </c>
      <c r="N523" s="79">
        <f>IF($A523="","",_xll.BDP($A523&amp;" Corp","YAS_OAS_SPRD"))</f>
        <v/>
      </c>
      <c r="O523" s="67">
        <f>IF($A523="","",_xll.BDP($A523&amp;" Corp","YAS_MOD_DUR"))</f>
        <v/>
      </c>
      <c r="P523" s="80">
        <f>IF($A523="","",IFERROR(INDEX(Sheet1!$P:$P,MATCH($A523,Sheet1!$A:$A,0)),""))</f>
        <v/>
      </c>
      <c r="Q523" s="75">
        <f>IF($A523="","",IFERROR(INDEX(Company_desc!$C:$C,MATCH($A523,Company_desc!$A:$A,0)),IFERROR(INDEX(Sheet1!$Q:$Q,MATCH($A523,Sheet1!$A:$A,0)),"")))</f>
        <v/>
      </c>
      <c r="R523" s="75">
        <f>IF($A523="","",_xll.BDP($A523&amp;" Corp","CRNCY"))</f>
        <v/>
      </c>
      <c r="S523" s="75">
        <f>IF($A523="","",IFERROR(INDEX(Sheet1!$S:$S,MATCH($A523,Sheet1!$A:$A,0)),""))</f>
        <v/>
      </c>
      <c r="T523" s="75">
        <f>IF($A523="","",IFERROR(INDEX(Sheet1!$T:$T,MATCH($A523,Sheet1!$A:$A,0)),_xll.BDP($A523&amp;" Corp","RTG_SP")))</f>
        <v/>
      </c>
      <c r="U523" s="75">
        <f>IF($A523="","",IFERROR(INDEX(Sheet1!$U:$U,MATCH($A523,Sheet1!$A:$A,0)),""))</f>
        <v/>
      </c>
      <c r="W523" s="81">
        <f>IF($A523="","",N523-_xll.BDP($A523&amp;" Corp","YAS_OAS_SPRD","SETTLE_DT",Company_desc!$A$1))</f>
        <v/>
      </c>
      <c r="X523" s="81">
        <f>IF($A523="","",N523-_xll.BDP($A523&amp;" Corp","YAS_OAS_SPRD","SETTLE_DT",Company_desc!$A$2))</f>
        <v/>
      </c>
      <c r="Y523" s="80">
        <f>IF($A523="","",N523-_xll.BDP($A523&amp;" Corp","YAS_OAS_SPRD","SETTLE_DT",Company_desc!$D$1))</f>
        <v/>
      </c>
      <c r="Z523" s="82">
        <f>IF($A523="","",K523-_xll.BDP($A523&amp;" Corp","YAS_BOND_YLD","YAS_YLD_FLAG=15","SETTLE_DT",Company_desc!$D$1))</f>
        <v/>
      </c>
      <c r="AA523" s="80">
        <f>IF($A523="","",_xll.BDP($A523&amp;" Corp","YAS_OAS_SPRD","SETTLE_DT",Company_desc!$D$1))</f>
        <v/>
      </c>
    </row>
    <row r="524">
      <c r="B524" s="75">
        <f>IF($A524="","",IFERROR(INDEX(Sheet1!$B:$B,MATCH($A524,Sheet1!$A:$A,0)),""))</f>
        <v/>
      </c>
      <c r="C524" s="75">
        <f>IF($A524="","",PROPER(_xll.BDP($A524&amp;" Corp","NAME")))</f>
        <v/>
      </c>
      <c r="D524" s="76">
        <f>IF($A524="","",_xll.BDP($A524&amp;" Corp","CPN"))</f>
        <v/>
      </c>
      <c r="E524" s="75">
        <f>IF($A524="","",_xll.BDP($A524&amp;" Corp","PAYMENT_RANK"))</f>
        <v/>
      </c>
      <c r="F524" s="100">
        <f>IF($A524="","",_xll.BDP($A524&amp;" Corp","MATURITY"))</f>
        <v/>
      </c>
      <c r="G524" s="75">
        <f>IF($A524="","",PROPER(_xll.BDP($A524&amp;" Corp","COUNTRY_FULL_NAME")))</f>
        <v/>
      </c>
      <c r="H524" s="75">
        <f>IF($A524="","",_xll.BDP($A524&amp;" Corp","INDUSTRY_SECTOR"))</f>
        <v/>
      </c>
      <c r="I524" s="101">
        <f>IF($A524="","",IFERROR(_xll.BDP($A524&amp;" Corp","MIN_PIECE")/1000,""))</f>
        <v/>
      </c>
      <c r="J524" s="31">
        <f>IF($A524="","",_xll.BDP($A524&amp;" Corp","PX_LAST"))</f>
        <v/>
      </c>
      <c r="K524" s="31">
        <f>IF($A524="","",_xll.BDP($A524&amp;" Corp","YAS_BOND_YLD","YAS_YLD_FLAG=15"))</f>
        <v/>
      </c>
      <c r="L524" s="31">
        <f>IF($A524="","",K524-_xll.BDP($A524&amp;" Corp","YAS_BOND_YLD","YAS_YLD_FLAG=15","SETTLE_DT",Company_desc!$A$1))</f>
        <v/>
      </c>
      <c r="M524" s="31">
        <f>IF($A524="","",K524-_xll.BDP($A524&amp;" Corp","YAS_BOND_YLD","YAS_YLD_FLAG=15","SETTLE_DT",Company_desc!$A$2))</f>
        <v/>
      </c>
      <c r="N524" s="79">
        <f>IF($A524="","",_xll.BDP($A524&amp;" Corp","YAS_OAS_SPRD"))</f>
        <v/>
      </c>
      <c r="O524" s="67">
        <f>IF($A524="","",_xll.BDP($A524&amp;" Corp","YAS_MOD_DUR"))</f>
        <v/>
      </c>
      <c r="P524" s="80">
        <f>IF($A524="","",IFERROR(INDEX(Sheet1!$P:$P,MATCH($A524,Sheet1!$A:$A,0)),""))</f>
        <v/>
      </c>
      <c r="Q524" s="75">
        <f>IF($A524="","",IFERROR(INDEX(Company_desc!$C:$C,MATCH($A524,Company_desc!$A:$A,0)),IFERROR(INDEX(Sheet1!$Q:$Q,MATCH($A524,Sheet1!$A:$A,0)),"")))</f>
        <v/>
      </c>
      <c r="R524" s="75">
        <f>IF($A524="","",_xll.BDP($A524&amp;" Corp","CRNCY"))</f>
        <v/>
      </c>
      <c r="S524" s="75">
        <f>IF($A524="","",IFERROR(INDEX(Sheet1!$S:$S,MATCH($A524,Sheet1!$A:$A,0)),""))</f>
        <v/>
      </c>
      <c r="T524" s="75">
        <f>IF($A524="","",IFERROR(INDEX(Sheet1!$T:$T,MATCH($A524,Sheet1!$A:$A,0)),_xll.BDP($A524&amp;" Corp","RTG_SP")))</f>
        <v/>
      </c>
      <c r="U524" s="75">
        <f>IF($A524="","",IFERROR(INDEX(Sheet1!$U:$U,MATCH($A524,Sheet1!$A:$A,0)),""))</f>
        <v/>
      </c>
      <c r="W524" s="81">
        <f>IF($A524="","",N524-_xll.BDP($A524&amp;" Corp","YAS_OAS_SPRD","SETTLE_DT",Company_desc!$A$1))</f>
        <v/>
      </c>
      <c r="X524" s="81">
        <f>IF($A524="","",N524-_xll.BDP($A524&amp;" Corp","YAS_OAS_SPRD","SETTLE_DT",Company_desc!$A$2))</f>
        <v/>
      </c>
      <c r="Y524" s="80">
        <f>IF($A524="","",N524-_xll.BDP($A524&amp;" Corp","YAS_OAS_SPRD","SETTLE_DT",Company_desc!$D$1))</f>
        <v/>
      </c>
      <c r="Z524" s="82">
        <f>IF($A524="","",K524-_xll.BDP($A524&amp;" Corp","YAS_BOND_YLD","YAS_YLD_FLAG=15","SETTLE_DT",Company_desc!$D$1))</f>
        <v/>
      </c>
      <c r="AA524" s="80">
        <f>IF($A524="","",_xll.BDP($A524&amp;" Corp","YAS_OAS_SPRD","SETTLE_DT",Company_desc!$D$1))</f>
        <v/>
      </c>
    </row>
    <row r="525">
      <c r="B525" s="75">
        <f>IF($A525="","",IFERROR(INDEX(Sheet1!$B:$B,MATCH($A525,Sheet1!$A:$A,0)),""))</f>
        <v/>
      </c>
      <c r="C525" s="75">
        <f>IF($A525="","",PROPER(_xll.BDP($A525&amp;" Corp","NAME")))</f>
        <v/>
      </c>
      <c r="D525" s="76">
        <f>IF($A525="","",_xll.BDP($A525&amp;" Corp","CPN"))</f>
        <v/>
      </c>
      <c r="E525" s="75">
        <f>IF($A525="","",_xll.BDP($A525&amp;" Corp","PAYMENT_RANK"))</f>
        <v/>
      </c>
      <c r="F525" s="100">
        <f>IF($A525="","",_xll.BDP($A525&amp;" Corp","MATURITY"))</f>
        <v/>
      </c>
      <c r="G525" s="75">
        <f>IF($A525="","",PROPER(_xll.BDP($A525&amp;" Corp","COUNTRY_FULL_NAME")))</f>
        <v/>
      </c>
      <c r="H525" s="75">
        <f>IF($A525="","",_xll.BDP($A525&amp;" Corp","INDUSTRY_SECTOR"))</f>
        <v/>
      </c>
      <c r="I525" s="101">
        <f>IF($A525="","",IFERROR(_xll.BDP($A525&amp;" Corp","MIN_PIECE")/1000,""))</f>
        <v/>
      </c>
      <c r="J525" s="31">
        <f>IF($A525="","",_xll.BDP($A525&amp;" Corp","PX_LAST"))</f>
        <v/>
      </c>
      <c r="K525" s="31">
        <f>IF($A525="","",_xll.BDP($A525&amp;" Corp","YAS_BOND_YLD","YAS_YLD_FLAG=15"))</f>
        <v/>
      </c>
      <c r="L525" s="31">
        <f>IF($A525="","",K525-_xll.BDP($A525&amp;" Corp","YAS_BOND_YLD","YAS_YLD_FLAG=15","SETTLE_DT",Company_desc!$A$1))</f>
        <v/>
      </c>
      <c r="M525" s="31">
        <f>IF($A525="","",K525-_xll.BDP($A525&amp;" Corp","YAS_BOND_YLD","YAS_YLD_FLAG=15","SETTLE_DT",Company_desc!$A$2))</f>
        <v/>
      </c>
      <c r="N525" s="79">
        <f>IF($A525="","",_xll.BDP($A525&amp;" Corp","YAS_OAS_SPRD"))</f>
        <v/>
      </c>
      <c r="O525" s="67">
        <f>IF($A525="","",_xll.BDP($A525&amp;" Corp","YAS_MOD_DUR"))</f>
        <v/>
      </c>
      <c r="P525" s="80">
        <f>IF($A525="","",IFERROR(INDEX(Sheet1!$P:$P,MATCH($A525,Sheet1!$A:$A,0)),""))</f>
        <v/>
      </c>
      <c r="Q525" s="75">
        <f>IF($A525="","",IFERROR(INDEX(Company_desc!$C:$C,MATCH($A525,Company_desc!$A:$A,0)),IFERROR(INDEX(Sheet1!$Q:$Q,MATCH($A525,Sheet1!$A:$A,0)),"")))</f>
        <v/>
      </c>
      <c r="R525" s="75">
        <f>IF($A525="","",_xll.BDP($A525&amp;" Corp","CRNCY"))</f>
        <v/>
      </c>
      <c r="S525" s="75">
        <f>IF($A525="","",IFERROR(INDEX(Sheet1!$S:$S,MATCH($A525,Sheet1!$A:$A,0)),""))</f>
        <v/>
      </c>
      <c r="T525" s="75">
        <f>IF($A525="","",IFERROR(INDEX(Sheet1!$T:$T,MATCH($A525,Sheet1!$A:$A,0)),_xll.BDP($A525&amp;" Corp","RTG_SP")))</f>
        <v/>
      </c>
      <c r="U525" s="75">
        <f>IF($A525="","",IFERROR(INDEX(Sheet1!$U:$U,MATCH($A525,Sheet1!$A:$A,0)),""))</f>
        <v/>
      </c>
      <c r="W525" s="81">
        <f>IF($A525="","",N525-_xll.BDP($A525&amp;" Corp","YAS_OAS_SPRD","SETTLE_DT",Company_desc!$A$1))</f>
        <v/>
      </c>
      <c r="X525" s="81">
        <f>IF($A525="","",N525-_xll.BDP($A525&amp;" Corp","YAS_OAS_SPRD","SETTLE_DT",Company_desc!$A$2))</f>
        <v/>
      </c>
      <c r="Y525" s="80">
        <f>IF($A525="","",N525-_xll.BDP($A525&amp;" Corp","YAS_OAS_SPRD","SETTLE_DT",Company_desc!$D$1))</f>
        <v/>
      </c>
      <c r="Z525" s="82">
        <f>IF($A525="","",K525-_xll.BDP($A525&amp;" Corp","YAS_BOND_YLD","YAS_YLD_FLAG=15","SETTLE_DT",Company_desc!$D$1))</f>
        <v/>
      </c>
      <c r="AA525" s="80">
        <f>IF($A525="","",_xll.BDP($A525&amp;" Corp","YAS_OAS_SPRD","SETTLE_DT",Company_desc!$D$1))</f>
        <v/>
      </c>
    </row>
    <row r="526">
      <c r="B526" s="75">
        <f>IF($A526="","",IFERROR(INDEX(Sheet1!$B:$B,MATCH($A526,Sheet1!$A:$A,0)),""))</f>
        <v/>
      </c>
      <c r="C526" s="75">
        <f>IF($A526="","",PROPER(_xll.BDP($A526&amp;" Corp","NAME")))</f>
        <v/>
      </c>
      <c r="D526" s="76">
        <f>IF($A526="","",_xll.BDP($A526&amp;" Corp","CPN"))</f>
        <v/>
      </c>
      <c r="E526" s="75">
        <f>IF($A526="","",_xll.BDP($A526&amp;" Corp","PAYMENT_RANK"))</f>
        <v/>
      </c>
      <c r="F526" s="100">
        <f>IF($A526="","",_xll.BDP($A526&amp;" Corp","MATURITY"))</f>
        <v/>
      </c>
      <c r="G526" s="75">
        <f>IF($A526="","",PROPER(_xll.BDP($A526&amp;" Corp","COUNTRY_FULL_NAME")))</f>
        <v/>
      </c>
      <c r="H526" s="75">
        <f>IF($A526="","",_xll.BDP($A526&amp;" Corp","INDUSTRY_SECTOR"))</f>
        <v/>
      </c>
      <c r="I526" s="101">
        <f>IF($A526="","",IFERROR(_xll.BDP($A526&amp;" Corp","MIN_PIECE")/1000,""))</f>
        <v/>
      </c>
      <c r="J526" s="31">
        <f>IF($A526="","",_xll.BDP($A526&amp;" Corp","PX_LAST"))</f>
        <v/>
      </c>
      <c r="K526" s="31">
        <f>IF($A526="","",_xll.BDP($A526&amp;" Corp","YAS_BOND_YLD","YAS_YLD_FLAG=15"))</f>
        <v/>
      </c>
      <c r="L526" s="31">
        <f>IF($A526="","",K526-_xll.BDP($A526&amp;" Corp","YAS_BOND_YLD","YAS_YLD_FLAG=15","SETTLE_DT",Company_desc!$A$1))</f>
        <v/>
      </c>
      <c r="M526" s="31">
        <f>IF($A526="","",K526-_xll.BDP($A526&amp;" Corp","YAS_BOND_YLD","YAS_YLD_FLAG=15","SETTLE_DT",Company_desc!$A$2))</f>
        <v/>
      </c>
      <c r="N526" s="79">
        <f>IF($A526="","",_xll.BDP($A526&amp;" Corp","YAS_OAS_SPRD"))</f>
        <v/>
      </c>
      <c r="O526" s="67">
        <f>IF($A526="","",_xll.BDP($A526&amp;" Corp","YAS_MOD_DUR"))</f>
        <v/>
      </c>
      <c r="P526" s="80">
        <f>IF($A526="","",IFERROR(INDEX(Sheet1!$P:$P,MATCH($A526,Sheet1!$A:$A,0)),""))</f>
        <v/>
      </c>
      <c r="Q526" s="75">
        <f>IF($A526="","",IFERROR(INDEX(Company_desc!$C:$C,MATCH($A526,Company_desc!$A:$A,0)),IFERROR(INDEX(Sheet1!$Q:$Q,MATCH($A526,Sheet1!$A:$A,0)),"")))</f>
        <v/>
      </c>
      <c r="R526" s="75">
        <f>IF($A526="","",_xll.BDP($A526&amp;" Corp","CRNCY"))</f>
        <v/>
      </c>
      <c r="S526" s="75">
        <f>IF($A526="","",IFERROR(INDEX(Sheet1!$S:$S,MATCH($A526,Sheet1!$A:$A,0)),""))</f>
        <v/>
      </c>
      <c r="T526" s="75">
        <f>IF($A526="","",IFERROR(INDEX(Sheet1!$T:$T,MATCH($A526,Sheet1!$A:$A,0)),_xll.BDP($A526&amp;" Corp","RTG_SP")))</f>
        <v/>
      </c>
      <c r="U526" s="83">
        <f>IF($A526="","",IFERROR(INDEX(Sheet1!$U:$U,MATCH($A526,Sheet1!$A:$A,0)),""))</f>
        <v/>
      </c>
      <c r="W526" s="81">
        <f>IF($A526="","",N526-_xll.BDP($A526&amp;" Corp","YAS_OAS_SPRD","SETTLE_DT",Company_desc!$A$1))</f>
        <v/>
      </c>
      <c r="X526" s="81">
        <f>IF($A526="","",N526-_xll.BDP($A526&amp;" Corp","YAS_OAS_SPRD","SETTLE_DT",Company_desc!$A$2))</f>
        <v/>
      </c>
      <c r="Y526" s="80">
        <f>IF($A526="","",N526-_xll.BDP($A526&amp;" Corp","YAS_OAS_SPRD","SETTLE_DT",Company_desc!$D$1))</f>
        <v/>
      </c>
      <c r="Z526" s="82">
        <f>IF($A526="","",K526-_xll.BDP($A526&amp;" Corp","YAS_BOND_YLD","YAS_YLD_FLAG=15","SETTLE_DT",Company_desc!$D$1))</f>
        <v/>
      </c>
      <c r="AA526" s="80">
        <f>IF($A526="","",_xll.BDP($A526&amp;" Corp","YAS_OAS_SPRD","SETTLE_DT",Company_desc!$D$1))</f>
        <v/>
      </c>
    </row>
    <row r="527">
      <c r="B527" s="28">
        <f>IF($A527="","",IFERROR(INDEX(Sheet1!$B:$B,MATCH($A527,Sheet1!$A:$A,0)),""))</f>
        <v/>
      </c>
      <c r="C527" s="29">
        <f>IF($A527="","",PROPER(_xll.BDP($A527&amp;" Corp","NAME")))</f>
        <v/>
      </c>
      <c r="D527" s="84">
        <f>IF($A527="","",_xll.BDP($A527&amp;" Corp","CPN"))</f>
        <v/>
      </c>
      <c r="E527" s="84">
        <f>IF($A527="","",_xll.BDP($A527&amp;" Corp","PAYMENT_RANK"))</f>
        <v/>
      </c>
      <c r="F527" s="102">
        <f>IF($A527="","",_xll.BDP($A527&amp;" Corp","MATURITY"))</f>
        <v/>
      </c>
      <c r="G527" s="43">
        <f>IF($A527="","",PROPER(_xll.BDP($A527&amp;" Corp","COUNTRY_FULL_NAME")))</f>
        <v/>
      </c>
      <c r="H527" s="29">
        <f>IF($A527="","",_xll.BDP($A527&amp;" Corp","INDUSTRY_SECTOR"))</f>
        <v/>
      </c>
      <c r="I527" s="103">
        <f>IF($A527="","",IFERROR(_xll.BDP($A527&amp;" Corp","MIN_PIECE")/1000,""))</f>
        <v/>
      </c>
      <c r="J527" s="31">
        <f>IF($A527="","",_xll.BDP($A527&amp;" Corp","PX_LAST"))</f>
        <v/>
      </c>
      <c r="K527" s="31">
        <f>IF($A527="","",_xll.BDP($A527&amp;" Corp","YAS_BOND_YLD","YAS_YLD_FLAG=15"))</f>
        <v/>
      </c>
      <c r="L527" s="31">
        <f>IF($A527="","",K527-_xll.BDP($A527&amp;" Corp","YAS_BOND_YLD","YAS_YLD_FLAG=15","SETTLE_DT",Company_desc!$A$1))</f>
        <v/>
      </c>
      <c r="M527" s="31">
        <f>IF($A527="","",K527-_xll.BDP($A527&amp;" Corp","YAS_BOND_YLD","YAS_YLD_FLAG=15","SETTLE_DT",Company_desc!$A$2))</f>
        <v/>
      </c>
      <c r="N527" s="79">
        <f>IF($A527="","",_xll.BDP($A527&amp;" Corp","YAS_OAS_SPRD"))</f>
        <v/>
      </c>
      <c r="O527" s="67">
        <f>IF($A527="","",_xll.BDP($A527&amp;" Corp","YAS_MOD_DUR"))</f>
        <v/>
      </c>
      <c r="P527" s="79">
        <f>IF($A527="","",IFERROR(INDEX(Sheet1!$P:$P,MATCH($A527,Sheet1!$A:$A,0)),""))</f>
        <v/>
      </c>
      <c r="Q527" s="27">
        <f>IF($A527="","",IFERROR(INDEX(Company_desc!$C:$C,MATCH($A527,Company_desc!$A:$A,0)),IFERROR(INDEX(Sheet1!$Q:$Q,MATCH($A527,Sheet1!$A:$A,0)),"")))</f>
        <v/>
      </c>
      <c r="R527" s="27">
        <f>IF($A527="","",_xll.BDP($A527&amp;" Corp","CRNCY"))</f>
        <v/>
      </c>
      <c r="S527" s="27">
        <f>IF($A527="","",IFERROR(INDEX(Sheet1!$S:$S,MATCH($A527,Sheet1!$A:$A,0)),""))</f>
        <v/>
      </c>
      <c r="T527" s="47">
        <f>IF($A527="","",IFERROR(INDEX(Sheet1!$T:$T,MATCH($A527,Sheet1!$A:$A,0)),_xll.BDP($A527&amp;" Corp","RTG_SP")))</f>
        <v/>
      </c>
      <c r="U527" s="75">
        <f>IF($A527="","",IFERROR(INDEX(Sheet1!$U:$U,MATCH($A527,Sheet1!$A:$A,0)),""))</f>
        <v/>
      </c>
      <c r="W527" s="81">
        <f>IF($A527="","",N527-_xll.BDP($A527&amp;" Corp","YAS_OAS_SPRD","SETTLE_DT",Company_desc!$A$1))</f>
        <v/>
      </c>
      <c r="X527" s="81">
        <f>IF($A527="","",N527-_xll.BDP($A527&amp;" Corp","YAS_OAS_SPRD","SETTLE_DT",Company_desc!$A$2))</f>
        <v/>
      </c>
      <c r="Y527" s="80">
        <f>IF($A527="","",N527-_xll.BDP($A527&amp;" Corp","YAS_OAS_SPRD","SETTLE_DT",Company_desc!$D$1))</f>
        <v/>
      </c>
      <c r="Z527" s="82">
        <f>IF($A527="","",K527-_xll.BDP($A527&amp;" Corp","YAS_BOND_YLD","YAS_YLD_FLAG=15","SETTLE_DT",Company_desc!$D$1))</f>
        <v/>
      </c>
      <c r="AA527" s="80">
        <f>IF($A527="","",_xll.BDP($A527&amp;" Corp","YAS_OAS_SPRD","SETTLE_DT",Company_desc!$D$1))</f>
        <v/>
      </c>
    </row>
    <row r="528">
      <c r="B528" s="75">
        <f>IF($A528="","",IFERROR(INDEX(Sheet1!$B:$B,MATCH($A528,Sheet1!$A:$A,0)),""))</f>
        <v/>
      </c>
      <c r="C528" s="75">
        <f>IF($A528="","",PROPER(_xll.BDP($A528&amp;" Corp","NAME")))</f>
        <v/>
      </c>
      <c r="D528" s="76">
        <f>IF($A528="","",_xll.BDP($A528&amp;" Corp","CPN"))</f>
        <v/>
      </c>
      <c r="E528" s="75">
        <f>IF($A528="","",_xll.BDP($A528&amp;" Corp","PAYMENT_RANK"))</f>
        <v/>
      </c>
      <c r="F528" s="100">
        <f>IF($A528="","",_xll.BDP($A528&amp;" Corp","MATURITY"))</f>
        <v/>
      </c>
      <c r="G528" s="75">
        <f>IF($A528="","",PROPER(_xll.BDP($A528&amp;" Corp","COUNTRY_FULL_NAME")))</f>
        <v/>
      </c>
      <c r="H528" s="75">
        <f>IF($A528="","",_xll.BDP($A528&amp;" Corp","INDUSTRY_SECTOR"))</f>
        <v/>
      </c>
      <c r="I528" s="101">
        <f>IF($A528="","",IFERROR(_xll.BDP($A528&amp;" Corp","MIN_PIECE")/1000,""))</f>
        <v/>
      </c>
      <c r="J528" s="31">
        <f>IF($A528="","",_xll.BDP($A528&amp;" Corp","PX_LAST"))</f>
        <v/>
      </c>
      <c r="K528" s="31">
        <f>IF($A528="","",_xll.BDP($A528&amp;" Corp","YAS_BOND_YLD","YAS_YLD_FLAG=15"))</f>
        <v/>
      </c>
      <c r="L528" s="31">
        <f>IF($A528="","",K528-_xll.BDP($A528&amp;" Corp","YAS_BOND_YLD","YAS_YLD_FLAG=15","SETTLE_DT",Company_desc!$A$1))</f>
        <v/>
      </c>
      <c r="M528" s="31">
        <f>IF($A528="","",K528-_xll.BDP($A528&amp;" Corp","YAS_BOND_YLD","YAS_YLD_FLAG=15","SETTLE_DT",Company_desc!$A$2))</f>
        <v/>
      </c>
      <c r="N528" s="79">
        <f>IF($A528="","",_xll.BDP($A528&amp;" Corp","YAS_OAS_SPRD"))</f>
        <v/>
      </c>
      <c r="O528" s="67">
        <f>IF($A528="","",_xll.BDP($A528&amp;" Corp","YAS_MOD_DUR"))</f>
        <v/>
      </c>
      <c r="P528" s="80">
        <f>IF($A528="","",IFERROR(INDEX(Sheet1!$P:$P,MATCH($A528,Sheet1!$A:$A,0)),""))</f>
        <v/>
      </c>
      <c r="Q528" s="75">
        <f>IF($A528="","",IFERROR(INDEX(Company_desc!$C:$C,MATCH($A528,Company_desc!$A:$A,0)),IFERROR(INDEX(Sheet1!$Q:$Q,MATCH($A528,Sheet1!$A:$A,0)),"")))</f>
        <v/>
      </c>
      <c r="R528" s="75">
        <f>IF($A528="","",_xll.BDP($A528&amp;" Corp","CRNCY"))</f>
        <v/>
      </c>
      <c r="S528" s="75">
        <f>IF($A528="","",IFERROR(INDEX(Sheet1!$S:$S,MATCH($A528,Sheet1!$A:$A,0)),""))</f>
        <v/>
      </c>
      <c r="T528" s="75">
        <f>IF($A528="","",IFERROR(INDEX(Sheet1!$T:$T,MATCH($A528,Sheet1!$A:$A,0)),_xll.BDP($A528&amp;" Corp","RTG_SP")))</f>
        <v/>
      </c>
      <c r="U528" s="75">
        <f>IF($A528="","",IFERROR(INDEX(Sheet1!$U:$U,MATCH($A528,Sheet1!$A:$A,0)),""))</f>
        <v/>
      </c>
      <c r="W528" s="81">
        <f>IF($A528="","",N528-_xll.BDP($A528&amp;" Corp","YAS_OAS_SPRD","SETTLE_DT",Company_desc!$A$1))</f>
        <v/>
      </c>
      <c r="X528" s="81">
        <f>IF($A528="","",N528-_xll.BDP($A528&amp;" Corp","YAS_OAS_SPRD","SETTLE_DT",Company_desc!$A$2))</f>
        <v/>
      </c>
      <c r="Y528" s="80">
        <f>IF($A528="","",N528-_xll.BDP($A528&amp;" Corp","YAS_OAS_SPRD","SETTLE_DT",Company_desc!$D$1))</f>
        <v/>
      </c>
      <c r="Z528" s="82">
        <f>IF($A528="","",K528-_xll.BDP($A528&amp;" Corp","YAS_BOND_YLD","YAS_YLD_FLAG=15","SETTLE_DT",Company_desc!$D$1))</f>
        <v/>
      </c>
      <c r="AA528" s="80">
        <f>IF($A528="","",_xll.BDP($A528&amp;" Corp","YAS_OAS_SPRD","SETTLE_DT",Company_desc!$D$1))</f>
        <v/>
      </c>
    </row>
    <row r="529">
      <c r="B529" s="75">
        <f>IF($A529="","",IFERROR(INDEX(Sheet1!$B:$B,MATCH($A529,Sheet1!$A:$A,0)),""))</f>
        <v/>
      </c>
      <c r="C529" s="75">
        <f>IF($A529="","",PROPER(_xll.BDP($A529&amp;" Corp","NAME")))</f>
        <v/>
      </c>
      <c r="D529" s="76">
        <f>IF($A529="","",_xll.BDP($A529&amp;" Corp","CPN"))</f>
        <v/>
      </c>
      <c r="E529" s="75">
        <f>IF($A529="","",_xll.BDP($A529&amp;" Corp","PAYMENT_RANK"))</f>
        <v/>
      </c>
      <c r="F529" s="100">
        <f>IF($A529="","",_xll.BDP($A529&amp;" Corp","MATURITY"))</f>
        <v/>
      </c>
      <c r="G529" s="75">
        <f>IF($A529="","",PROPER(_xll.BDP($A529&amp;" Corp","COUNTRY_FULL_NAME")))</f>
        <v/>
      </c>
      <c r="H529" s="75">
        <f>IF($A529="","",_xll.BDP($A529&amp;" Corp","INDUSTRY_SECTOR"))</f>
        <v/>
      </c>
      <c r="I529" s="101">
        <f>IF($A529="","",IFERROR(_xll.BDP($A529&amp;" Corp","MIN_PIECE")/1000,""))</f>
        <v/>
      </c>
      <c r="J529" s="31">
        <f>IF($A529="","",_xll.BDP($A529&amp;" Corp","PX_LAST"))</f>
        <v/>
      </c>
      <c r="K529" s="31">
        <f>IF($A529="","",_xll.BDP($A529&amp;" Corp","YAS_BOND_YLD","YAS_YLD_FLAG=15"))</f>
        <v/>
      </c>
      <c r="L529" s="31">
        <f>IF($A529="","",K529-_xll.BDP($A529&amp;" Corp","YAS_BOND_YLD","YAS_YLD_FLAG=15","SETTLE_DT",Company_desc!$A$1))</f>
        <v/>
      </c>
      <c r="M529" s="31">
        <f>IF($A529="","",K529-_xll.BDP($A529&amp;" Corp","YAS_BOND_YLD","YAS_YLD_FLAG=15","SETTLE_DT",Company_desc!$A$2))</f>
        <v/>
      </c>
      <c r="N529" s="79">
        <f>IF($A529="","",_xll.BDP($A529&amp;" Corp","YAS_OAS_SPRD"))</f>
        <v/>
      </c>
      <c r="O529" s="67">
        <f>IF($A529="","",_xll.BDP($A529&amp;" Corp","YAS_MOD_DUR"))</f>
        <v/>
      </c>
      <c r="P529" s="80">
        <f>IF($A529="","",IFERROR(INDEX(Sheet1!$P:$P,MATCH($A529,Sheet1!$A:$A,0)),""))</f>
        <v/>
      </c>
      <c r="Q529" s="75">
        <f>IF($A529="","",IFERROR(INDEX(Company_desc!$C:$C,MATCH($A529,Company_desc!$A:$A,0)),IFERROR(INDEX(Sheet1!$Q:$Q,MATCH($A529,Sheet1!$A:$A,0)),"")))</f>
        <v/>
      </c>
      <c r="R529" s="75">
        <f>IF($A529="","",_xll.BDP($A529&amp;" Corp","CRNCY"))</f>
        <v/>
      </c>
      <c r="S529" s="75">
        <f>IF($A529="","",IFERROR(INDEX(Sheet1!$S:$S,MATCH($A529,Sheet1!$A:$A,0)),""))</f>
        <v/>
      </c>
      <c r="T529" s="75">
        <f>IF($A529="","",IFERROR(INDEX(Sheet1!$T:$T,MATCH($A529,Sheet1!$A:$A,0)),_xll.BDP($A529&amp;" Corp","RTG_SP")))</f>
        <v/>
      </c>
      <c r="U529" s="75">
        <f>IF($A529="","",IFERROR(INDEX(Sheet1!$U:$U,MATCH($A529,Sheet1!$A:$A,0)),""))</f>
        <v/>
      </c>
      <c r="W529" s="81">
        <f>IF($A529="","",N529-_xll.BDP($A529&amp;" Corp","YAS_OAS_SPRD","SETTLE_DT",Company_desc!$A$1))</f>
        <v/>
      </c>
      <c r="X529" s="81">
        <f>IF($A529="","",N529-_xll.BDP($A529&amp;" Corp","YAS_OAS_SPRD","SETTLE_DT",Company_desc!$A$2))</f>
        <v/>
      </c>
      <c r="Y529" s="80">
        <f>IF($A529="","",N529-_xll.BDP($A529&amp;" Corp","YAS_OAS_SPRD","SETTLE_DT",Company_desc!$D$1))</f>
        <v/>
      </c>
      <c r="Z529" s="82">
        <f>IF($A529="","",K529-_xll.BDP($A529&amp;" Corp","YAS_BOND_YLD","YAS_YLD_FLAG=15","SETTLE_DT",Company_desc!$D$1))</f>
        <v/>
      </c>
      <c r="AA529" s="80">
        <f>IF($A529="","",_xll.BDP($A529&amp;" Corp","YAS_OAS_SPRD","SETTLE_DT",Company_desc!$D$1))</f>
        <v/>
      </c>
    </row>
    <row r="530">
      <c r="B530" s="75">
        <f>IF($A530="","",IFERROR(INDEX(Sheet1!$B:$B,MATCH($A530,Sheet1!$A:$A,0)),""))</f>
        <v/>
      </c>
      <c r="C530" s="75">
        <f>IF($A530="","",PROPER(_xll.BDP($A530&amp;" Corp","NAME")))</f>
        <v/>
      </c>
      <c r="D530" s="76">
        <f>IF($A530="","",_xll.BDP($A530&amp;" Corp","CPN"))</f>
        <v/>
      </c>
      <c r="E530" s="75">
        <f>IF($A530="","",_xll.BDP($A530&amp;" Corp","PAYMENT_RANK"))</f>
        <v/>
      </c>
      <c r="F530" s="100">
        <f>IF($A530="","",_xll.BDP($A530&amp;" Corp","MATURITY"))</f>
        <v/>
      </c>
      <c r="G530" s="75">
        <f>IF($A530="","",PROPER(_xll.BDP($A530&amp;" Corp","COUNTRY_FULL_NAME")))</f>
        <v/>
      </c>
      <c r="H530" s="75">
        <f>IF($A530="","",_xll.BDP($A530&amp;" Corp","INDUSTRY_SECTOR"))</f>
        <v/>
      </c>
      <c r="I530" s="101">
        <f>IF($A530="","",IFERROR(_xll.BDP($A530&amp;" Corp","MIN_PIECE")/1000,""))</f>
        <v/>
      </c>
      <c r="J530" s="31">
        <f>IF($A530="","",_xll.BDP($A530&amp;" Corp","PX_LAST"))</f>
        <v/>
      </c>
      <c r="K530" s="31">
        <f>IF($A530="","",_xll.BDP($A530&amp;" Corp","YAS_BOND_YLD","YAS_YLD_FLAG=15"))</f>
        <v/>
      </c>
      <c r="L530" s="31">
        <f>IF($A530="","",K530-_xll.BDP($A530&amp;" Corp","YAS_BOND_YLD","YAS_YLD_FLAG=15","SETTLE_DT",Company_desc!$A$1))</f>
        <v/>
      </c>
      <c r="M530" s="31">
        <f>IF($A530="","",K530-_xll.BDP($A530&amp;" Corp","YAS_BOND_YLD","YAS_YLD_FLAG=15","SETTLE_DT",Company_desc!$A$2))</f>
        <v/>
      </c>
      <c r="N530" s="79">
        <f>IF($A530="","",_xll.BDP($A530&amp;" Corp","YAS_OAS_SPRD"))</f>
        <v/>
      </c>
      <c r="O530" s="67">
        <f>IF($A530="","",_xll.BDP($A530&amp;" Corp","YAS_MOD_DUR"))</f>
        <v/>
      </c>
      <c r="P530" s="80">
        <f>IF($A530="","",IFERROR(INDEX(Sheet1!$P:$P,MATCH($A530,Sheet1!$A:$A,0)),""))</f>
        <v/>
      </c>
      <c r="Q530" s="75">
        <f>IF($A530="","",IFERROR(INDEX(Company_desc!$C:$C,MATCH($A530,Company_desc!$A:$A,0)),IFERROR(INDEX(Sheet1!$Q:$Q,MATCH($A530,Sheet1!$A:$A,0)),"")))</f>
        <v/>
      </c>
      <c r="R530" s="75">
        <f>IF($A530="","",_xll.BDP($A530&amp;" Corp","CRNCY"))</f>
        <v/>
      </c>
      <c r="S530" s="75">
        <f>IF($A530="","",IFERROR(INDEX(Sheet1!$S:$S,MATCH($A530,Sheet1!$A:$A,0)),""))</f>
        <v/>
      </c>
      <c r="T530" s="75">
        <f>IF($A530="","",IFERROR(INDEX(Sheet1!$T:$T,MATCH($A530,Sheet1!$A:$A,0)),_xll.BDP($A530&amp;" Corp","RTG_SP")))</f>
        <v/>
      </c>
      <c r="U530" s="75">
        <f>IF($A530="","",IFERROR(INDEX(Sheet1!$U:$U,MATCH($A530,Sheet1!$A:$A,0)),""))</f>
        <v/>
      </c>
      <c r="W530" s="81">
        <f>IF($A530="","",N530-_xll.BDP($A530&amp;" Corp","YAS_OAS_SPRD","SETTLE_DT",Company_desc!$A$1))</f>
        <v/>
      </c>
      <c r="X530" s="81">
        <f>IF($A530="","",N530-_xll.BDP($A530&amp;" Corp","YAS_OAS_SPRD","SETTLE_DT",Company_desc!$A$2))</f>
        <v/>
      </c>
      <c r="Y530" s="80">
        <f>IF($A530="","",N530-_xll.BDP($A530&amp;" Corp","YAS_OAS_SPRD","SETTLE_DT",Company_desc!$D$1))</f>
        <v/>
      </c>
      <c r="Z530" s="82">
        <f>IF($A530="","",K530-_xll.BDP($A530&amp;" Corp","YAS_BOND_YLD","YAS_YLD_FLAG=15","SETTLE_DT",Company_desc!$D$1))</f>
        <v/>
      </c>
      <c r="AA530" s="80">
        <f>IF($A530="","",_xll.BDP($A530&amp;" Corp","YAS_OAS_SPRD","SETTLE_DT",Company_desc!$D$1))</f>
        <v/>
      </c>
    </row>
    <row r="531">
      <c r="B531" s="75">
        <f>IF($A531="","",IFERROR(INDEX(Sheet1!$B:$B,MATCH($A531,Sheet1!$A:$A,0)),""))</f>
        <v/>
      </c>
      <c r="C531" s="75">
        <f>IF($A531="","",PROPER(_xll.BDP($A531&amp;" Corp","NAME")))</f>
        <v/>
      </c>
      <c r="D531" s="76">
        <f>IF($A531="","",_xll.BDP($A531&amp;" Corp","CPN"))</f>
        <v/>
      </c>
      <c r="E531" s="75">
        <f>IF($A531="","",_xll.BDP($A531&amp;" Corp","PAYMENT_RANK"))</f>
        <v/>
      </c>
      <c r="F531" s="100">
        <f>IF($A531="","",_xll.BDP($A531&amp;" Corp","MATURITY"))</f>
        <v/>
      </c>
      <c r="G531" s="75">
        <f>IF($A531="","",PROPER(_xll.BDP($A531&amp;" Corp","COUNTRY_FULL_NAME")))</f>
        <v/>
      </c>
      <c r="H531" s="75">
        <f>IF($A531="","",_xll.BDP($A531&amp;" Corp","INDUSTRY_SECTOR"))</f>
        <v/>
      </c>
      <c r="I531" s="101">
        <f>IF($A531="","",IFERROR(_xll.BDP($A531&amp;" Corp","MIN_PIECE")/1000,""))</f>
        <v/>
      </c>
      <c r="J531" s="31">
        <f>IF($A531="","",_xll.BDP($A531&amp;" Corp","PX_LAST"))</f>
        <v/>
      </c>
      <c r="K531" s="31">
        <f>IF($A531="","",_xll.BDP($A531&amp;" Corp","YAS_BOND_YLD","YAS_YLD_FLAG=15"))</f>
        <v/>
      </c>
      <c r="L531" s="31">
        <f>IF($A531="","",K531-_xll.BDP($A531&amp;" Corp","YAS_BOND_YLD","YAS_YLD_FLAG=15","SETTLE_DT",Company_desc!$A$1))</f>
        <v/>
      </c>
      <c r="M531" s="31">
        <f>IF($A531="","",K531-_xll.BDP($A531&amp;" Corp","YAS_BOND_YLD","YAS_YLD_FLAG=15","SETTLE_DT",Company_desc!$A$2))</f>
        <v/>
      </c>
      <c r="N531" s="79">
        <f>IF($A531="","",_xll.BDP($A531&amp;" Corp","YAS_OAS_SPRD"))</f>
        <v/>
      </c>
      <c r="O531" s="67">
        <f>IF($A531="","",_xll.BDP($A531&amp;" Corp","YAS_MOD_DUR"))</f>
        <v/>
      </c>
      <c r="P531" s="80">
        <f>IF($A531="","",IFERROR(INDEX(Sheet1!$P:$P,MATCH($A531,Sheet1!$A:$A,0)),""))</f>
        <v/>
      </c>
      <c r="Q531" s="75">
        <f>IF($A531="","",IFERROR(INDEX(Company_desc!$C:$C,MATCH($A531,Company_desc!$A:$A,0)),IFERROR(INDEX(Sheet1!$Q:$Q,MATCH($A531,Sheet1!$A:$A,0)),"")))</f>
        <v/>
      </c>
      <c r="R531" s="75">
        <f>IF($A531="","",_xll.BDP($A531&amp;" Corp","CRNCY"))</f>
        <v/>
      </c>
      <c r="S531" s="75">
        <f>IF($A531="","",IFERROR(INDEX(Sheet1!$S:$S,MATCH($A531,Sheet1!$A:$A,0)),""))</f>
        <v/>
      </c>
      <c r="T531" s="75">
        <f>IF($A531="","",IFERROR(INDEX(Sheet1!$T:$T,MATCH($A531,Sheet1!$A:$A,0)),_xll.BDP($A531&amp;" Corp","RTG_SP")))</f>
        <v/>
      </c>
      <c r="U531" s="75">
        <f>IF($A531="","",IFERROR(INDEX(Sheet1!$U:$U,MATCH($A531,Sheet1!$A:$A,0)),""))</f>
        <v/>
      </c>
      <c r="W531" s="81">
        <f>IF($A531="","",N531-_xll.BDP($A531&amp;" Corp","YAS_OAS_SPRD","SETTLE_DT",Company_desc!$A$1))</f>
        <v/>
      </c>
      <c r="X531" s="81">
        <f>IF($A531="","",N531-_xll.BDP($A531&amp;" Corp","YAS_OAS_SPRD","SETTLE_DT",Company_desc!$A$2))</f>
        <v/>
      </c>
      <c r="Y531" s="80">
        <f>IF($A531="","",N531-_xll.BDP($A531&amp;" Corp","YAS_OAS_SPRD","SETTLE_DT",Company_desc!$D$1))</f>
        <v/>
      </c>
      <c r="Z531" s="82">
        <f>IF($A531="","",K531-_xll.BDP($A531&amp;" Corp","YAS_BOND_YLD","YAS_YLD_FLAG=15","SETTLE_DT",Company_desc!$D$1))</f>
        <v/>
      </c>
      <c r="AA531" s="80">
        <f>IF($A531="","",_xll.BDP($A531&amp;" Corp","YAS_OAS_SPRD","SETTLE_DT",Company_desc!$D$1))</f>
        <v/>
      </c>
    </row>
    <row r="532">
      <c r="B532" s="75">
        <f>IF($A532="","",IFERROR(INDEX(Sheet1!$B:$B,MATCH($A532,Sheet1!$A:$A,0)),""))</f>
        <v/>
      </c>
      <c r="C532" s="75">
        <f>IF($A532="","",PROPER(_xll.BDP($A532&amp;" Corp","NAME")))</f>
        <v/>
      </c>
      <c r="D532" s="76">
        <f>IF($A532="","",_xll.BDP($A532&amp;" Corp","CPN"))</f>
        <v/>
      </c>
      <c r="E532" s="75">
        <f>IF($A532="","",_xll.BDP($A532&amp;" Corp","PAYMENT_RANK"))</f>
        <v/>
      </c>
      <c r="F532" s="100">
        <f>IF($A532="","",_xll.BDP($A532&amp;" Corp","MATURITY"))</f>
        <v/>
      </c>
      <c r="G532" s="75">
        <f>IF($A532="","",PROPER(_xll.BDP($A532&amp;" Corp","COUNTRY_FULL_NAME")))</f>
        <v/>
      </c>
      <c r="H532" s="75">
        <f>IF($A532="","",_xll.BDP($A532&amp;" Corp","INDUSTRY_SECTOR"))</f>
        <v/>
      </c>
      <c r="I532" s="101">
        <f>IF($A532="","",IFERROR(_xll.BDP($A532&amp;" Corp","MIN_PIECE")/1000,""))</f>
        <v/>
      </c>
      <c r="J532" s="31">
        <f>IF($A532="","",_xll.BDP($A532&amp;" Corp","PX_LAST"))</f>
        <v/>
      </c>
      <c r="K532" s="31">
        <f>IF($A532="","",_xll.BDP($A532&amp;" Corp","YAS_BOND_YLD","YAS_YLD_FLAG=15"))</f>
        <v/>
      </c>
      <c r="L532" s="31">
        <f>IF($A532="","",K532-_xll.BDP($A532&amp;" Corp","YAS_BOND_YLD","YAS_YLD_FLAG=15","SETTLE_DT",Company_desc!$A$1))</f>
        <v/>
      </c>
      <c r="M532" s="31">
        <f>IF($A532="","",K532-_xll.BDP($A532&amp;" Corp","YAS_BOND_YLD","YAS_YLD_FLAG=15","SETTLE_DT",Company_desc!$A$2))</f>
        <v/>
      </c>
      <c r="N532" s="79">
        <f>IF($A532="","",_xll.BDP($A532&amp;" Corp","YAS_OAS_SPRD"))</f>
        <v/>
      </c>
      <c r="O532" s="67">
        <f>IF($A532="","",_xll.BDP($A532&amp;" Corp","YAS_MOD_DUR"))</f>
        <v/>
      </c>
      <c r="P532" s="80">
        <f>IF($A532="","",IFERROR(INDEX(Sheet1!$P:$P,MATCH($A532,Sheet1!$A:$A,0)),""))</f>
        <v/>
      </c>
      <c r="Q532" s="75">
        <f>IF($A532="","",IFERROR(INDEX(Company_desc!$C:$C,MATCH($A532,Company_desc!$A:$A,0)),IFERROR(INDEX(Sheet1!$Q:$Q,MATCH($A532,Sheet1!$A:$A,0)),"")))</f>
        <v/>
      </c>
      <c r="R532" s="75">
        <f>IF($A532="","",_xll.BDP($A532&amp;" Corp","CRNCY"))</f>
        <v/>
      </c>
      <c r="S532" s="75">
        <f>IF($A532="","",IFERROR(INDEX(Sheet1!$S:$S,MATCH($A532,Sheet1!$A:$A,0)),""))</f>
        <v/>
      </c>
      <c r="T532" s="75">
        <f>IF($A532="","",IFERROR(INDEX(Sheet1!$T:$T,MATCH($A532,Sheet1!$A:$A,0)),_xll.BDP($A532&amp;" Corp","RTG_SP")))</f>
        <v/>
      </c>
      <c r="U532" s="75">
        <f>IF($A532="","",IFERROR(INDEX(Sheet1!$U:$U,MATCH($A532,Sheet1!$A:$A,0)),""))</f>
        <v/>
      </c>
      <c r="W532" s="81">
        <f>IF($A532="","",N532-_xll.BDP($A532&amp;" Corp","YAS_OAS_SPRD","SETTLE_DT",Company_desc!$A$1))</f>
        <v/>
      </c>
      <c r="X532" s="81">
        <f>IF($A532="","",N532-_xll.BDP($A532&amp;" Corp","YAS_OAS_SPRD","SETTLE_DT",Company_desc!$A$2))</f>
        <v/>
      </c>
      <c r="Y532" s="80">
        <f>IF($A532="","",N532-_xll.BDP($A532&amp;" Corp","YAS_OAS_SPRD","SETTLE_DT",Company_desc!$D$1))</f>
        <v/>
      </c>
      <c r="Z532" s="82">
        <f>IF($A532="","",K532-_xll.BDP($A532&amp;" Corp","YAS_BOND_YLD","YAS_YLD_FLAG=15","SETTLE_DT",Company_desc!$D$1))</f>
        <v/>
      </c>
      <c r="AA532" s="80">
        <f>IF($A532="","",_xll.BDP($A532&amp;" Corp","YAS_OAS_SPRD","SETTLE_DT",Company_desc!$D$1))</f>
        <v/>
      </c>
    </row>
    <row r="533">
      <c r="B533" s="75">
        <f>IF($A533="","",IFERROR(INDEX(Sheet1!$B:$B,MATCH($A533,Sheet1!$A:$A,0)),""))</f>
        <v/>
      </c>
      <c r="C533" s="75">
        <f>IF($A533="","",PROPER(_xll.BDP($A533&amp;" Corp","NAME")))</f>
        <v/>
      </c>
      <c r="D533" s="76">
        <f>IF($A533="","",_xll.BDP($A533&amp;" Corp","CPN"))</f>
        <v/>
      </c>
      <c r="E533" s="75">
        <f>IF($A533="","",_xll.BDP($A533&amp;" Corp","PAYMENT_RANK"))</f>
        <v/>
      </c>
      <c r="F533" s="100">
        <f>IF($A533="","",_xll.BDP($A533&amp;" Corp","MATURITY"))</f>
        <v/>
      </c>
      <c r="G533" s="75">
        <f>IF($A533="","",PROPER(_xll.BDP($A533&amp;" Corp","COUNTRY_FULL_NAME")))</f>
        <v/>
      </c>
      <c r="H533" s="75">
        <f>IF($A533="","",_xll.BDP($A533&amp;" Corp","INDUSTRY_SECTOR"))</f>
        <v/>
      </c>
      <c r="I533" s="101">
        <f>IF($A533="","",IFERROR(_xll.BDP($A533&amp;" Corp","MIN_PIECE")/1000,""))</f>
        <v/>
      </c>
      <c r="J533" s="31">
        <f>IF($A533="","",_xll.BDP($A533&amp;" Corp","PX_LAST"))</f>
        <v/>
      </c>
      <c r="K533" s="31">
        <f>IF($A533="","",_xll.BDP($A533&amp;" Corp","YAS_BOND_YLD","YAS_YLD_FLAG=15"))</f>
        <v/>
      </c>
      <c r="L533" s="31">
        <f>IF($A533="","",K533-_xll.BDP($A533&amp;" Corp","YAS_BOND_YLD","YAS_YLD_FLAG=15","SETTLE_DT",Company_desc!$A$1))</f>
        <v/>
      </c>
      <c r="M533" s="31">
        <f>IF($A533="","",K533-_xll.BDP($A533&amp;" Corp","YAS_BOND_YLD","YAS_YLD_FLAG=15","SETTLE_DT",Company_desc!$A$2))</f>
        <v/>
      </c>
      <c r="N533" s="79">
        <f>IF($A533="","",_xll.BDP($A533&amp;" Corp","YAS_OAS_SPRD"))</f>
        <v/>
      </c>
      <c r="O533" s="67">
        <f>IF($A533="","",_xll.BDP($A533&amp;" Corp","YAS_MOD_DUR"))</f>
        <v/>
      </c>
      <c r="P533" s="80">
        <f>IF($A533="","",IFERROR(INDEX(Sheet1!$P:$P,MATCH($A533,Sheet1!$A:$A,0)),""))</f>
        <v/>
      </c>
      <c r="Q533" s="75">
        <f>IF($A533="","",IFERROR(INDEX(Company_desc!$C:$C,MATCH($A533,Company_desc!$A:$A,0)),IFERROR(INDEX(Sheet1!$Q:$Q,MATCH($A533,Sheet1!$A:$A,0)),"")))</f>
        <v/>
      </c>
      <c r="R533" s="75">
        <f>IF($A533="","",_xll.BDP($A533&amp;" Corp","CRNCY"))</f>
        <v/>
      </c>
      <c r="S533" s="75">
        <f>IF($A533="","",IFERROR(INDEX(Sheet1!$S:$S,MATCH($A533,Sheet1!$A:$A,0)),""))</f>
        <v/>
      </c>
      <c r="T533" s="75">
        <f>IF($A533="","",IFERROR(INDEX(Sheet1!$T:$T,MATCH($A533,Sheet1!$A:$A,0)),_xll.BDP($A533&amp;" Corp","RTG_SP")))</f>
        <v/>
      </c>
      <c r="U533" s="75">
        <f>IF($A533="","",IFERROR(INDEX(Sheet1!$U:$U,MATCH($A533,Sheet1!$A:$A,0)),""))</f>
        <v/>
      </c>
      <c r="W533" s="81">
        <f>IF($A533="","",N533-_xll.BDP($A533&amp;" Corp","YAS_OAS_SPRD","SETTLE_DT",Company_desc!$A$1))</f>
        <v/>
      </c>
      <c r="X533" s="81">
        <f>IF($A533="","",N533-_xll.BDP($A533&amp;" Corp","YAS_OAS_SPRD","SETTLE_DT",Company_desc!$A$2))</f>
        <v/>
      </c>
      <c r="Y533" s="80">
        <f>IF($A533="","",N533-_xll.BDP($A533&amp;" Corp","YAS_OAS_SPRD","SETTLE_DT",Company_desc!$D$1))</f>
        <v/>
      </c>
      <c r="Z533" s="82">
        <f>IF($A533="","",K533-_xll.BDP($A533&amp;" Corp","YAS_BOND_YLD","YAS_YLD_FLAG=15","SETTLE_DT",Company_desc!$D$1))</f>
        <v/>
      </c>
      <c r="AA533" s="80">
        <f>IF($A533="","",_xll.BDP($A533&amp;" Corp","YAS_OAS_SPRD","SETTLE_DT",Company_desc!$D$1))</f>
        <v/>
      </c>
    </row>
    <row r="534">
      <c r="B534" s="75">
        <f>IF($A534="","",IFERROR(INDEX(Sheet1!$B:$B,MATCH($A534,Sheet1!$A:$A,0)),""))</f>
        <v/>
      </c>
      <c r="C534" s="75">
        <f>IF($A534="","",PROPER(_xll.BDP($A534&amp;" Corp","NAME")))</f>
        <v/>
      </c>
      <c r="D534" s="76">
        <f>IF($A534="","",_xll.BDP($A534&amp;" Corp","CPN"))</f>
        <v/>
      </c>
      <c r="E534" s="75">
        <f>IF($A534="","",_xll.BDP($A534&amp;" Corp","PAYMENT_RANK"))</f>
        <v/>
      </c>
      <c r="F534" s="100">
        <f>IF($A534="","",_xll.BDP($A534&amp;" Corp","MATURITY"))</f>
        <v/>
      </c>
      <c r="G534" s="75">
        <f>IF($A534="","",PROPER(_xll.BDP($A534&amp;" Corp","COUNTRY_FULL_NAME")))</f>
        <v/>
      </c>
      <c r="H534" s="75">
        <f>IF($A534="","",_xll.BDP($A534&amp;" Corp","INDUSTRY_SECTOR"))</f>
        <v/>
      </c>
      <c r="I534" s="101">
        <f>IF($A534="","",IFERROR(_xll.BDP($A534&amp;" Corp","MIN_PIECE")/1000,""))</f>
        <v/>
      </c>
      <c r="J534" s="31">
        <f>IF($A534="","",_xll.BDP($A534&amp;" Corp","PX_LAST"))</f>
        <v/>
      </c>
      <c r="K534" s="31">
        <f>IF($A534="","",_xll.BDP($A534&amp;" Corp","YAS_BOND_YLD","YAS_YLD_FLAG=15"))</f>
        <v/>
      </c>
      <c r="L534" s="31">
        <f>IF($A534="","",K534-_xll.BDP($A534&amp;" Corp","YAS_BOND_YLD","YAS_YLD_FLAG=15","SETTLE_DT",Company_desc!$A$1))</f>
        <v/>
      </c>
      <c r="M534" s="31">
        <f>IF($A534="","",K534-_xll.BDP($A534&amp;" Corp","YAS_BOND_YLD","YAS_YLD_FLAG=15","SETTLE_DT",Company_desc!$A$2))</f>
        <v/>
      </c>
      <c r="N534" s="79">
        <f>IF($A534="","",_xll.BDP($A534&amp;" Corp","YAS_OAS_SPRD"))</f>
        <v/>
      </c>
      <c r="O534" s="67">
        <f>IF($A534="","",_xll.BDP($A534&amp;" Corp","YAS_MOD_DUR"))</f>
        <v/>
      </c>
      <c r="P534" s="80">
        <f>IF($A534="","",IFERROR(INDEX(Sheet1!$P:$P,MATCH($A534,Sheet1!$A:$A,0)),""))</f>
        <v/>
      </c>
      <c r="Q534" s="75">
        <f>IF($A534="","",IFERROR(INDEX(Company_desc!$C:$C,MATCH($A534,Company_desc!$A:$A,0)),IFERROR(INDEX(Sheet1!$Q:$Q,MATCH($A534,Sheet1!$A:$A,0)),"")))</f>
        <v/>
      </c>
      <c r="R534" s="75">
        <f>IF($A534="","",_xll.BDP($A534&amp;" Corp","CRNCY"))</f>
        <v/>
      </c>
      <c r="S534" s="75">
        <f>IF($A534="","",IFERROR(INDEX(Sheet1!$S:$S,MATCH($A534,Sheet1!$A:$A,0)),""))</f>
        <v/>
      </c>
      <c r="T534" s="75">
        <f>IF($A534="","",IFERROR(INDEX(Sheet1!$T:$T,MATCH($A534,Sheet1!$A:$A,0)),_xll.BDP($A534&amp;" Corp","RTG_SP")))</f>
        <v/>
      </c>
      <c r="U534" s="75">
        <f>IF($A534="","",IFERROR(INDEX(Sheet1!$U:$U,MATCH($A534,Sheet1!$A:$A,0)),""))</f>
        <v/>
      </c>
      <c r="W534" s="81">
        <f>IF($A534="","",N534-_xll.BDP($A534&amp;" Corp","YAS_OAS_SPRD","SETTLE_DT",Company_desc!$A$1))</f>
        <v/>
      </c>
      <c r="X534" s="81">
        <f>IF($A534="","",N534-_xll.BDP($A534&amp;" Corp","YAS_OAS_SPRD","SETTLE_DT",Company_desc!$A$2))</f>
        <v/>
      </c>
      <c r="Y534" s="80">
        <f>IF($A534="","",N534-_xll.BDP($A534&amp;" Corp","YAS_OAS_SPRD","SETTLE_DT",Company_desc!$D$1))</f>
        <v/>
      </c>
      <c r="Z534" s="82">
        <f>IF($A534="","",K534-_xll.BDP($A534&amp;" Corp","YAS_BOND_YLD","YAS_YLD_FLAG=15","SETTLE_DT",Company_desc!$D$1))</f>
        <v/>
      </c>
      <c r="AA534" s="80">
        <f>IF($A534="","",_xll.BDP($A534&amp;" Corp","YAS_OAS_SPRD","SETTLE_DT",Company_desc!$D$1))</f>
        <v/>
      </c>
    </row>
    <row r="535">
      <c r="A535" s="42" t="n"/>
      <c r="B535" s="75">
        <f>IF($A535="","",IFERROR(INDEX(Sheet1!$B:$B,MATCH($A535,Sheet1!$A:$A,0)),""))</f>
        <v/>
      </c>
      <c r="C535" s="75">
        <f>IF($A535="","",PROPER(_xll.BDP($A535&amp;" Corp","NAME")))</f>
        <v/>
      </c>
      <c r="D535" s="76">
        <f>IF($A535="","",_xll.BDP($A535&amp;" Corp","CPN"))</f>
        <v/>
      </c>
      <c r="E535" s="75">
        <f>IF($A535="","",_xll.BDP($A535&amp;" Corp","PAYMENT_RANK"))</f>
        <v/>
      </c>
      <c r="F535" s="100">
        <f>IF($A535="","",_xll.BDP($A535&amp;" Corp","MATURITY"))</f>
        <v/>
      </c>
      <c r="G535" s="75">
        <f>IF($A535="","",PROPER(_xll.BDP($A535&amp;" Corp","COUNTRY_FULL_NAME")))</f>
        <v/>
      </c>
      <c r="H535" s="75">
        <f>IF($A535="","",_xll.BDP($A535&amp;" Corp","INDUSTRY_SECTOR"))</f>
        <v/>
      </c>
      <c r="I535" s="101">
        <f>IF($A535="","",IFERROR(_xll.BDP($A535&amp;" Corp","MIN_PIECE")/1000,""))</f>
        <v/>
      </c>
      <c r="J535" s="31">
        <f>IF($A535="","",_xll.BDP($A535&amp;" Corp","PX_LAST"))</f>
        <v/>
      </c>
      <c r="K535" s="31">
        <f>IF($A535="","",_xll.BDP($A535&amp;" Corp","YAS_BOND_YLD","YAS_YLD_FLAG=15"))</f>
        <v/>
      </c>
      <c r="L535" s="31">
        <f>IF($A535="","",K535-_xll.BDP($A535&amp;" Corp","YAS_BOND_YLD","YAS_YLD_FLAG=15","SETTLE_DT",Company_desc!$A$1))</f>
        <v/>
      </c>
      <c r="M535" s="31">
        <f>IF($A535="","",K535-_xll.BDP($A535&amp;" Corp","YAS_BOND_YLD","YAS_YLD_FLAG=15","SETTLE_DT",Company_desc!$A$2))</f>
        <v/>
      </c>
      <c r="N535" s="79">
        <f>IF($A535="","",_xll.BDP($A535&amp;" Corp","YAS_OAS_SPRD"))</f>
        <v/>
      </c>
      <c r="O535" s="67">
        <f>IF($A535="","",_xll.BDP($A535&amp;" Corp","YAS_MOD_DUR"))</f>
        <v/>
      </c>
      <c r="P535" s="80">
        <f>IF($A535="","",IFERROR(INDEX(Sheet1!$P:$P,MATCH($A535,Sheet1!$A:$A,0)),""))</f>
        <v/>
      </c>
      <c r="Q535" s="75">
        <f>IF($A535="","",IFERROR(INDEX(Company_desc!$C:$C,MATCH($A535,Company_desc!$A:$A,0)),IFERROR(INDEX(Sheet1!$Q:$Q,MATCH($A535,Sheet1!$A:$A,0)),"")))</f>
        <v/>
      </c>
      <c r="R535" s="75">
        <f>IF($A535="","",_xll.BDP($A535&amp;" Corp","CRNCY"))</f>
        <v/>
      </c>
      <c r="S535" s="75">
        <f>IF($A535="","",IFERROR(INDEX(Sheet1!$S:$S,MATCH($A535,Sheet1!$A:$A,0)),""))</f>
        <v/>
      </c>
      <c r="T535" s="75">
        <f>IF($A535="","",IFERROR(INDEX(Sheet1!$T:$T,MATCH($A535,Sheet1!$A:$A,0)),_xll.BDP($A535&amp;" Corp","RTG_SP")))</f>
        <v/>
      </c>
      <c r="U535" s="75">
        <f>IF($A535="","",IFERROR(INDEX(Sheet1!$U:$U,MATCH($A535,Sheet1!$A:$A,0)),""))</f>
        <v/>
      </c>
      <c r="W535" s="81">
        <f>IF($A535="","",N535-_xll.BDP($A535&amp;" Corp","YAS_OAS_SPRD","SETTLE_DT",Company_desc!$A$1))</f>
        <v/>
      </c>
      <c r="X535" s="81">
        <f>IF($A535="","",N535-_xll.BDP($A535&amp;" Corp","YAS_OAS_SPRD","SETTLE_DT",Company_desc!$A$2))</f>
        <v/>
      </c>
      <c r="Y535" s="80">
        <f>IF($A535="","",N535-_xll.BDP($A535&amp;" Corp","YAS_OAS_SPRD","SETTLE_DT",Company_desc!$D$1))</f>
        <v/>
      </c>
      <c r="Z535" s="82">
        <f>IF($A535="","",K535-_xll.BDP($A535&amp;" Corp","YAS_BOND_YLD","YAS_YLD_FLAG=15","SETTLE_DT",Company_desc!$D$1))</f>
        <v/>
      </c>
      <c r="AA535" s="80">
        <f>IF($A535="","",_xll.BDP($A535&amp;" Corp","YAS_OAS_SPRD","SETTLE_DT",Company_desc!$D$1))</f>
        <v/>
      </c>
    </row>
    <row r="536">
      <c r="B536" s="75">
        <f>IF($A536="","",IFERROR(INDEX(Sheet1!$B:$B,MATCH($A536,Sheet1!$A:$A,0)),""))</f>
        <v/>
      </c>
      <c r="C536" s="75">
        <f>IF($A536="","",PROPER(_xll.BDP($A536&amp;" Corp","NAME")))</f>
        <v/>
      </c>
      <c r="D536" s="76">
        <f>IF($A536="","",_xll.BDP($A536&amp;" Corp","CPN"))</f>
        <v/>
      </c>
      <c r="E536" s="75">
        <f>IF($A536="","",_xll.BDP($A536&amp;" Corp","PAYMENT_RANK"))</f>
        <v/>
      </c>
      <c r="F536" s="100">
        <f>IF($A536="","",_xll.BDP($A536&amp;" Corp","MATURITY"))</f>
        <v/>
      </c>
      <c r="G536" s="75">
        <f>IF($A536="","",PROPER(_xll.BDP($A536&amp;" Corp","COUNTRY_FULL_NAME")))</f>
        <v/>
      </c>
      <c r="H536" s="75">
        <f>IF($A536="","",_xll.BDP($A536&amp;" Corp","INDUSTRY_SECTOR"))</f>
        <v/>
      </c>
      <c r="I536" s="101">
        <f>IF($A536="","",IFERROR(_xll.BDP($A536&amp;" Corp","MIN_PIECE")/1000,""))</f>
        <v/>
      </c>
      <c r="J536" s="31">
        <f>IF($A536="","",_xll.BDP($A536&amp;" Corp","PX_LAST"))</f>
        <v/>
      </c>
      <c r="K536" s="31">
        <f>IF($A536="","",_xll.BDP($A536&amp;" Corp","YAS_BOND_YLD","YAS_YLD_FLAG=15"))</f>
        <v/>
      </c>
      <c r="L536" s="31">
        <f>IF($A536="","",K536-_xll.BDP($A536&amp;" Corp","YAS_BOND_YLD","YAS_YLD_FLAG=15","SETTLE_DT",Company_desc!$A$1))</f>
        <v/>
      </c>
      <c r="M536" s="31">
        <f>IF($A536="","",K536-_xll.BDP($A536&amp;" Corp","YAS_BOND_YLD","YAS_YLD_FLAG=15","SETTLE_DT",Company_desc!$A$2))</f>
        <v/>
      </c>
      <c r="N536" s="79">
        <f>IF($A536="","",_xll.BDP($A536&amp;" Corp","YAS_OAS_SPRD"))</f>
        <v/>
      </c>
      <c r="O536" s="67">
        <f>IF($A536="","",_xll.BDP($A536&amp;" Corp","YAS_MOD_DUR"))</f>
        <v/>
      </c>
      <c r="P536" s="80">
        <f>IF($A536="","",IFERROR(INDEX(Sheet1!$P:$P,MATCH($A536,Sheet1!$A:$A,0)),""))</f>
        <v/>
      </c>
      <c r="Q536" s="75">
        <f>IF($A536="","",IFERROR(INDEX(Company_desc!$C:$C,MATCH($A536,Company_desc!$A:$A,0)),IFERROR(INDEX(Sheet1!$Q:$Q,MATCH($A536,Sheet1!$A:$A,0)),"")))</f>
        <v/>
      </c>
      <c r="R536" s="75">
        <f>IF($A536="","",_xll.BDP($A536&amp;" Corp","CRNCY"))</f>
        <v/>
      </c>
      <c r="S536" s="75">
        <f>IF($A536="","",IFERROR(INDEX(Sheet1!$S:$S,MATCH($A536,Sheet1!$A:$A,0)),""))</f>
        <v/>
      </c>
      <c r="T536" s="75">
        <f>IF($A536="","",IFERROR(INDEX(Sheet1!$T:$T,MATCH($A536,Sheet1!$A:$A,0)),_xll.BDP($A536&amp;" Corp","RTG_SP")))</f>
        <v/>
      </c>
      <c r="U536" s="75">
        <f>IF($A536="","",IFERROR(INDEX(Sheet1!$U:$U,MATCH($A536,Sheet1!$A:$A,0)),""))</f>
        <v/>
      </c>
      <c r="W536" s="81">
        <f>IF($A536="","",N536-_xll.BDP($A536&amp;" Corp","YAS_OAS_SPRD","SETTLE_DT",Company_desc!$A$1))</f>
        <v/>
      </c>
      <c r="X536" s="81">
        <f>IF($A536="","",N536-_xll.BDP($A536&amp;" Corp","YAS_OAS_SPRD","SETTLE_DT",Company_desc!$A$2))</f>
        <v/>
      </c>
      <c r="Y536" s="80">
        <f>IF($A536="","",N536-_xll.BDP($A536&amp;" Corp","YAS_OAS_SPRD","SETTLE_DT",Company_desc!$D$1))</f>
        <v/>
      </c>
      <c r="Z536" s="82">
        <f>IF($A536="","",K536-_xll.BDP($A536&amp;" Corp","YAS_BOND_YLD","YAS_YLD_FLAG=15","SETTLE_DT",Company_desc!$D$1))</f>
        <v/>
      </c>
      <c r="AA536" s="80">
        <f>IF($A536="","",_xll.BDP($A536&amp;" Corp","YAS_OAS_SPRD","SETTLE_DT",Company_desc!$D$1))</f>
        <v/>
      </c>
    </row>
    <row r="537">
      <c r="B537" s="75">
        <f>IF($A537="","",IFERROR(INDEX(Sheet1!$B:$B,MATCH($A537,Sheet1!$A:$A,0)),""))</f>
        <v/>
      </c>
      <c r="C537" s="75">
        <f>IF($A537="","",PROPER(_xll.BDP($A537&amp;" Corp","NAME")))</f>
        <v/>
      </c>
      <c r="D537" s="76">
        <f>IF($A537="","",_xll.BDP($A537&amp;" Corp","CPN"))</f>
        <v/>
      </c>
      <c r="E537" s="75">
        <f>IF($A537="","",_xll.BDP($A537&amp;" Corp","PAYMENT_RANK"))</f>
        <v/>
      </c>
      <c r="F537" s="100">
        <f>IF($A537="","",_xll.BDP($A537&amp;" Corp","MATURITY"))</f>
        <v/>
      </c>
      <c r="G537" s="75">
        <f>IF($A537="","",PROPER(_xll.BDP($A537&amp;" Corp","COUNTRY_FULL_NAME")))</f>
        <v/>
      </c>
      <c r="H537" s="75">
        <f>IF($A537="","",_xll.BDP($A537&amp;" Corp","INDUSTRY_SECTOR"))</f>
        <v/>
      </c>
      <c r="I537" s="101">
        <f>IF($A537="","",IFERROR(_xll.BDP($A537&amp;" Corp","MIN_PIECE")/1000,""))</f>
        <v/>
      </c>
      <c r="J537" s="31">
        <f>IF($A537="","",_xll.BDP($A537&amp;" Corp","PX_LAST"))</f>
        <v/>
      </c>
      <c r="K537" s="31">
        <f>IF($A537="","",_xll.BDP($A537&amp;" Corp","YAS_BOND_YLD","YAS_YLD_FLAG=15"))</f>
        <v/>
      </c>
      <c r="L537" s="31">
        <f>IF($A537="","",K537-_xll.BDP($A537&amp;" Corp","YAS_BOND_YLD","YAS_YLD_FLAG=15","SETTLE_DT",Company_desc!$A$1))</f>
        <v/>
      </c>
      <c r="M537" s="31">
        <f>IF($A537="","",K537-_xll.BDP($A537&amp;" Corp","YAS_BOND_YLD","YAS_YLD_FLAG=15","SETTLE_DT",Company_desc!$A$2))</f>
        <v/>
      </c>
      <c r="N537" s="79">
        <f>IF($A537="","",_xll.BDP($A537&amp;" Corp","YAS_OAS_SPRD"))</f>
        <v/>
      </c>
      <c r="O537" s="67">
        <f>IF($A537="","",_xll.BDP($A537&amp;" Corp","YAS_MOD_DUR"))</f>
        <v/>
      </c>
      <c r="P537" s="80">
        <f>IF($A537="","",IFERROR(INDEX(Sheet1!$P:$P,MATCH($A537,Sheet1!$A:$A,0)),""))</f>
        <v/>
      </c>
      <c r="Q537" s="75">
        <f>IF($A537="","",IFERROR(INDEX(Company_desc!$C:$C,MATCH($A537,Company_desc!$A:$A,0)),IFERROR(INDEX(Sheet1!$Q:$Q,MATCH($A537,Sheet1!$A:$A,0)),"")))</f>
        <v/>
      </c>
      <c r="R537" s="75">
        <f>IF($A537="","",_xll.BDP($A537&amp;" Corp","CRNCY"))</f>
        <v/>
      </c>
      <c r="S537" s="75">
        <f>IF($A537="","",IFERROR(INDEX(Sheet1!$S:$S,MATCH($A537,Sheet1!$A:$A,0)),""))</f>
        <v/>
      </c>
      <c r="T537" s="75">
        <f>IF($A537="","",IFERROR(INDEX(Sheet1!$T:$T,MATCH($A537,Sheet1!$A:$A,0)),_xll.BDP($A537&amp;" Corp","RTG_SP")))</f>
        <v/>
      </c>
      <c r="U537" s="75">
        <f>IF($A537="","",IFERROR(INDEX(Sheet1!$U:$U,MATCH($A537,Sheet1!$A:$A,0)),""))</f>
        <v/>
      </c>
      <c r="W537" s="81">
        <f>IF($A537="","",N537-_xll.BDP($A537&amp;" Corp","YAS_OAS_SPRD","SETTLE_DT",Company_desc!$A$1))</f>
        <v/>
      </c>
      <c r="X537" s="81">
        <f>IF($A537="","",N537-_xll.BDP($A537&amp;" Corp","YAS_OAS_SPRD","SETTLE_DT",Company_desc!$A$2))</f>
        <v/>
      </c>
      <c r="Y537" s="80">
        <f>IF($A537="","",N537-_xll.BDP($A537&amp;" Corp","YAS_OAS_SPRD","SETTLE_DT",Company_desc!$D$1))</f>
        <v/>
      </c>
      <c r="Z537" s="82">
        <f>IF($A537="","",K537-_xll.BDP($A537&amp;" Corp","YAS_BOND_YLD","YAS_YLD_FLAG=15","SETTLE_DT",Company_desc!$D$1))</f>
        <v/>
      </c>
      <c r="AA537" s="80">
        <f>IF($A537="","",_xll.BDP($A537&amp;" Corp","YAS_OAS_SPRD","SETTLE_DT",Company_desc!$D$1))</f>
        <v/>
      </c>
    </row>
    <row r="538">
      <c r="B538" s="75">
        <f>IF($A538="","",IFERROR(INDEX(Sheet1!$B:$B,MATCH($A538,Sheet1!$A:$A,0)),""))</f>
        <v/>
      </c>
      <c r="C538" s="75">
        <f>IF($A538="","",PROPER(_xll.BDP($A538&amp;" Corp","NAME")))</f>
        <v/>
      </c>
      <c r="D538" s="76">
        <f>IF($A538="","",_xll.BDP($A538&amp;" Corp","CPN"))</f>
        <v/>
      </c>
      <c r="E538" s="75">
        <f>IF($A538="","",_xll.BDP($A538&amp;" Corp","PAYMENT_RANK"))</f>
        <v/>
      </c>
      <c r="F538" s="100">
        <f>IF($A538="","",_xll.BDP($A538&amp;" Corp","MATURITY"))</f>
        <v/>
      </c>
      <c r="G538" s="75">
        <f>IF($A538="","",PROPER(_xll.BDP($A538&amp;" Corp","COUNTRY_FULL_NAME")))</f>
        <v/>
      </c>
      <c r="H538" s="75">
        <f>IF($A538="","",_xll.BDP($A538&amp;" Corp","INDUSTRY_SECTOR"))</f>
        <v/>
      </c>
      <c r="I538" s="101">
        <f>IF($A538="","",IFERROR(_xll.BDP($A538&amp;" Corp","MIN_PIECE")/1000,""))</f>
        <v/>
      </c>
      <c r="J538" s="31">
        <f>IF($A538="","",_xll.BDP($A538&amp;" Corp","PX_LAST"))</f>
        <v/>
      </c>
      <c r="K538" s="31">
        <f>IF($A538="","",_xll.BDP($A538&amp;" Corp","YAS_BOND_YLD","YAS_YLD_FLAG=15"))</f>
        <v/>
      </c>
      <c r="L538" s="31">
        <f>IF($A538="","",K538-_xll.BDP($A538&amp;" Corp","YAS_BOND_YLD","YAS_YLD_FLAG=15","SETTLE_DT",Company_desc!$A$1))</f>
        <v/>
      </c>
      <c r="M538" s="31">
        <f>IF($A538="","",K538-_xll.BDP($A538&amp;" Corp","YAS_BOND_YLD","YAS_YLD_FLAG=15","SETTLE_DT",Company_desc!$A$2))</f>
        <v/>
      </c>
      <c r="N538" s="79">
        <f>IF($A538="","",_xll.BDP($A538&amp;" Corp","YAS_OAS_SPRD"))</f>
        <v/>
      </c>
      <c r="O538" s="67">
        <f>IF($A538="","",_xll.BDP($A538&amp;" Corp","YAS_MOD_DUR"))</f>
        <v/>
      </c>
      <c r="P538" s="80">
        <f>IF($A538="","",IFERROR(INDEX(Sheet1!$P:$P,MATCH($A538,Sheet1!$A:$A,0)),""))</f>
        <v/>
      </c>
      <c r="Q538" s="75">
        <f>IF($A538="","",IFERROR(INDEX(Company_desc!$C:$C,MATCH($A538,Company_desc!$A:$A,0)),IFERROR(INDEX(Sheet1!$Q:$Q,MATCH($A538,Sheet1!$A:$A,0)),"")))</f>
        <v/>
      </c>
      <c r="R538" s="75">
        <f>IF($A538="","",_xll.BDP($A538&amp;" Corp","CRNCY"))</f>
        <v/>
      </c>
      <c r="S538" s="75">
        <f>IF($A538="","",IFERROR(INDEX(Sheet1!$S:$S,MATCH($A538,Sheet1!$A:$A,0)),""))</f>
        <v/>
      </c>
      <c r="T538" s="75">
        <f>IF($A538="","",IFERROR(INDEX(Sheet1!$T:$T,MATCH($A538,Sheet1!$A:$A,0)),_xll.BDP($A538&amp;" Corp","RTG_SP")))</f>
        <v/>
      </c>
      <c r="U538" s="75">
        <f>IF($A538="","",IFERROR(INDEX(Sheet1!$U:$U,MATCH($A538,Sheet1!$A:$A,0)),""))</f>
        <v/>
      </c>
      <c r="W538" s="81">
        <f>IF($A538="","",N538-_xll.BDP($A538&amp;" Corp","YAS_OAS_SPRD","SETTLE_DT",Company_desc!$A$1))</f>
        <v/>
      </c>
      <c r="X538" s="81">
        <f>IF($A538="","",N538-_xll.BDP($A538&amp;" Corp","YAS_OAS_SPRD","SETTLE_DT",Company_desc!$A$2))</f>
        <v/>
      </c>
      <c r="Y538" s="80">
        <f>IF($A538="","",N538-_xll.BDP($A538&amp;" Corp","YAS_OAS_SPRD","SETTLE_DT",Company_desc!$D$1))</f>
        <v/>
      </c>
      <c r="Z538" s="82">
        <f>IF($A538="","",K538-_xll.BDP($A538&amp;" Corp","YAS_BOND_YLD","YAS_YLD_FLAG=15","SETTLE_DT",Company_desc!$D$1))</f>
        <v/>
      </c>
      <c r="AA538" s="80">
        <f>IF($A538="","",_xll.BDP($A538&amp;" Corp","YAS_OAS_SPRD","SETTLE_DT",Company_desc!$D$1))</f>
        <v/>
      </c>
    </row>
    <row r="539">
      <c r="B539" s="75">
        <f>IF($A539="","",IFERROR(INDEX(Sheet1!$B:$B,MATCH($A539,Sheet1!$A:$A,0)),""))</f>
        <v/>
      </c>
      <c r="C539" s="75">
        <f>IF($A539="","",PROPER(_xll.BDP($A539&amp;" Corp","NAME")))</f>
        <v/>
      </c>
      <c r="D539" s="76">
        <f>IF($A539="","",_xll.BDP($A539&amp;" Corp","CPN"))</f>
        <v/>
      </c>
      <c r="E539" s="75">
        <f>IF($A539="","",_xll.BDP($A539&amp;" Corp","PAYMENT_RANK"))</f>
        <v/>
      </c>
      <c r="F539" s="100">
        <f>IF($A539="","",_xll.BDP($A539&amp;" Corp","MATURITY"))</f>
        <v/>
      </c>
      <c r="G539" s="75">
        <f>IF($A539="","",PROPER(_xll.BDP($A539&amp;" Corp","COUNTRY_FULL_NAME")))</f>
        <v/>
      </c>
      <c r="H539" s="75">
        <f>IF($A539="","",_xll.BDP($A539&amp;" Corp","INDUSTRY_SECTOR"))</f>
        <v/>
      </c>
      <c r="I539" s="101">
        <f>IF($A539="","",IFERROR(_xll.BDP($A539&amp;" Corp","MIN_PIECE")/1000,""))</f>
        <v/>
      </c>
      <c r="J539" s="31">
        <f>IF($A539="","",_xll.BDP($A539&amp;" Corp","PX_LAST"))</f>
        <v/>
      </c>
      <c r="K539" s="31">
        <f>IF($A539="","",_xll.BDP($A539&amp;" Corp","YAS_BOND_YLD","YAS_YLD_FLAG=15"))</f>
        <v/>
      </c>
      <c r="L539" s="31">
        <f>IF($A539="","",K539-_xll.BDP($A539&amp;" Corp","YAS_BOND_YLD","YAS_YLD_FLAG=15","SETTLE_DT",Company_desc!$A$1))</f>
        <v/>
      </c>
      <c r="M539" s="31">
        <f>IF($A539="","",K539-_xll.BDP($A539&amp;" Corp","YAS_BOND_YLD","YAS_YLD_FLAG=15","SETTLE_DT",Company_desc!$A$2))</f>
        <v/>
      </c>
      <c r="N539" s="79">
        <f>IF($A539="","",_xll.BDP($A539&amp;" Corp","YAS_OAS_SPRD"))</f>
        <v/>
      </c>
      <c r="O539" s="67">
        <f>IF($A539="","",_xll.BDP($A539&amp;" Corp","YAS_MOD_DUR"))</f>
        <v/>
      </c>
      <c r="P539" s="80">
        <f>IF($A539="","",IFERROR(INDEX(Sheet1!$P:$P,MATCH($A539,Sheet1!$A:$A,0)),""))</f>
        <v/>
      </c>
      <c r="Q539" s="75">
        <f>IF($A539="","",IFERROR(INDEX(Company_desc!$C:$C,MATCH($A539,Company_desc!$A:$A,0)),IFERROR(INDEX(Sheet1!$Q:$Q,MATCH($A539,Sheet1!$A:$A,0)),"")))</f>
        <v/>
      </c>
      <c r="R539" s="75">
        <f>IF($A539="","",_xll.BDP($A539&amp;" Corp","CRNCY"))</f>
        <v/>
      </c>
      <c r="S539" s="75">
        <f>IF($A539="","",IFERROR(INDEX(Sheet1!$S:$S,MATCH($A539,Sheet1!$A:$A,0)),""))</f>
        <v/>
      </c>
      <c r="T539" s="75">
        <f>IF($A539="","",IFERROR(INDEX(Sheet1!$T:$T,MATCH($A539,Sheet1!$A:$A,0)),_xll.BDP($A539&amp;" Corp","RTG_SP")))</f>
        <v/>
      </c>
      <c r="U539" s="75">
        <f>IF($A539="","",IFERROR(INDEX(Sheet1!$U:$U,MATCH($A539,Sheet1!$A:$A,0)),""))</f>
        <v/>
      </c>
      <c r="W539" s="81">
        <f>IF($A539="","",N539-_xll.BDP($A539&amp;" Corp","YAS_OAS_SPRD","SETTLE_DT",Company_desc!$A$1))</f>
        <v/>
      </c>
      <c r="X539" s="81">
        <f>IF($A539="","",N539-_xll.BDP($A539&amp;" Corp","YAS_OAS_SPRD","SETTLE_DT",Company_desc!$A$2))</f>
        <v/>
      </c>
      <c r="Y539" s="80">
        <f>IF($A539="","",N539-_xll.BDP($A539&amp;" Corp","YAS_OAS_SPRD","SETTLE_DT",Company_desc!$D$1))</f>
        <v/>
      </c>
      <c r="Z539" s="82">
        <f>IF($A539="","",K539-_xll.BDP($A539&amp;" Corp","YAS_BOND_YLD","YAS_YLD_FLAG=15","SETTLE_DT",Company_desc!$D$1))</f>
        <v/>
      </c>
      <c r="AA539" s="80">
        <f>IF($A539="","",_xll.BDP($A539&amp;" Corp","YAS_OAS_SPRD","SETTLE_DT",Company_desc!$D$1))</f>
        <v/>
      </c>
    </row>
    <row r="540">
      <c r="B540" s="75">
        <f>IF($A540="","",IFERROR(INDEX(Sheet1!$B:$B,MATCH($A540,Sheet1!$A:$A,0)),""))</f>
        <v/>
      </c>
      <c r="C540" s="75">
        <f>IF($A540="","",PROPER(_xll.BDP($A540&amp;" Corp","NAME")))</f>
        <v/>
      </c>
      <c r="D540" s="76">
        <f>IF($A540="","",_xll.BDP($A540&amp;" Corp","CPN"))</f>
        <v/>
      </c>
      <c r="E540" s="75">
        <f>IF($A540="","",_xll.BDP($A540&amp;" Corp","PAYMENT_RANK"))</f>
        <v/>
      </c>
      <c r="F540" s="100">
        <f>IF($A540="","",_xll.BDP($A540&amp;" Corp","MATURITY"))</f>
        <v/>
      </c>
      <c r="G540" s="75">
        <f>IF($A540="","",PROPER(_xll.BDP($A540&amp;" Corp","COUNTRY_FULL_NAME")))</f>
        <v/>
      </c>
      <c r="H540" s="75">
        <f>IF($A540="","",_xll.BDP($A540&amp;" Corp","INDUSTRY_SECTOR"))</f>
        <v/>
      </c>
      <c r="I540" s="101">
        <f>IF($A540="","",IFERROR(_xll.BDP($A540&amp;" Corp","MIN_PIECE")/1000,""))</f>
        <v/>
      </c>
      <c r="J540" s="31">
        <f>IF($A540="","",_xll.BDP($A540&amp;" Corp","PX_LAST"))</f>
        <v/>
      </c>
      <c r="K540" s="31">
        <f>IF($A540="","",_xll.BDP($A540&amp;" Corp","YAS_BOND_YLD","YAS_YLD_FLAG=15"))</f>
        <v/>
      </c>
      <c r="L540" s="31">
        <f>IF($A540="","",K540-_xll.BDP($A540&amp;" Corp","YAS_BOND_YLD","YAS_YLD_FLAG=15","SETTLE_DT",Company_desc!$A$1))</f>
        <v/>
      </c>
      <c r="M540" s="31">
        <f>IF($A540="","",K540-_xll.BDP($A540&amp;" Corp","YAS_BOND_YLD","YAS_YLD_FLAG=15","SETTLE_DT",Company_desc!$A$2))</f>
        <v/>
      </c>
      <c r="N540" s="79">
        <f>IF($A540="","",_xll.BDP($A540&amp;" Corp","YAS_OAS_SPRD"))</f>
        <v/>
      </c>
      <c r="O540" s="67">
        <f>IF($A540="","",_xll.BDP($A540&amp;" Corp","YAS_MOD_DUR"))</f>
        <v/>
      </c>
      <c r="P540" s="80">
        <f>IF($A540="","",IFERROR(INDEX(Sheet1!$P:$P,MATCH($A540,Sheet1!$A:$A,0)),""))</f>
        <v/>
      </c>
      <c r="Q540" s="75">
        <f>IF($A540="","",IFERROR(INDEX(Company_desc!$C:$C,MATCH($A540,Company_desc!$A:$A,0)),IFERROR(INDEX(Sheet1!$Q:$Q,MATCH($A540,Sheet1!$A:$A,0)),"")))</f>
        <v/>
      </c>
      <c r="R540" s="75">
        <f>IF($A540="","",_xll.BDP($A540&amp;" Corp","CRNCY"))</f>
        <v/>
      </c>
      <c r="S540" s="75">
        <f>IF($A540="","",IFERROR(INDEX(Sheet1!$S:$S,MATCH($A540,Sheet1!$A:$A,0)),""))</f>
        <v/>
      </c>
      <c r="T540" s="75">
        <f>IF($A540="","",IFERROR(INDEX(Sheet1!$T:$T,MATCH($A540,Sheet1!$A:$A,0)),_xll.BDP($A540&amp;" Corp","RTG_SP")))</f>
        <v/>
      </c>
      <c r="U540" s="75">
        <f>IF($A540="","",IFERROR(INDEX(Sheet1!$U:$U,MATCH($A540,Sheet1!$A:$A,0)),""))</f>
        <v/>
      </c>
      <c r="W540" s="81">
        <f>IF($A540="","",N540-_xll.BDP($A540&amp;" Corp","YAS_OAS_SPRD","SETTLE_DT",Company_desc!$A$1))</f>
        <v/>
      </c>
      <c r="X540" s="81">
        <f>IF($A540="","",N540-_xll.BDP($A540&amp;" Corp","YAS_OAS_SPRD","SETTLE_DT",Company_desc!$A$2))</f>
        <v/>
      </c>
      <c r="Y540" s="80">
        <f>IF($A540="","",N540-_xll.BDP($A540&amp;" Corp","YAS_OAS_SPRD","SETTLE_DT",Company_desc!$D$1))</f>
        <v/>
      </c>
      <c r="Z540" s="82">
        <f>IF($A540="","",K540-_xll.BDP($A540&amp;" Corp","YAS_BOND_YLD","YAS_YLD_FLAG=15","SETTLE_DT",Company_desc!$D$1))</f>
        <v/>
      </c>
      <c r="AA540" s="80">
        <f>IF($A540="","",_xll.BDP($A540&amp;" Corp","YAS_OAS_SPRD","SETTLE_DT",Company_desc!$D$1))</f>
        <v/>
      </c>
    </row>
    <row r="541">
      <c r="B541" s="75">
        <f>IF($A541="","",IFERROR(INDEX(Sheet1!$B:$B,MATCH($A541,Sheet1!$A:$A,0)),""))</f>
        <v/>
      </c>
      <c r="C541" s="75">
        <f>IF($A541="","",PROPER(_xll.BDP($A541&amp;" Corp","NAME")))</f>
        <v/>
      </c>
      <c r="D541" s="76">
        <f>IF($A541="","",_xll.BDP($A541&amp;" Corp","CPN"))</f>
        <v/>
      </c>
      <c r="E541" s="75">
        <f>IF($A541="","",_xll.BDP($A541&amp;" Corp","PAYMENT_RANK"))</f>
        <v/>
      </c>
      <c r="F541" s="100">
        <f>IF($A541="","",_xll.BDP($A541&amp;" Corp","MATURITY"))</f>
        <v/>
      </c>
      <c r="G541" s="75">
        <f>IF($A541="","",PROPER(_xll.BDP($A541&amp;" Corp","COUNTRY_FULL_NAME")))</f>
        <v/>
      </c>
      <c r="H541" s="75">
        <f>IF($A541="","",_xll.BDP($A541&amp;" Corp","INDUSTRY_SECTOR"))</f>
        <v/>
      </c>
      <c r="I541" s="101">
        <f>IF($A541="","",IFERROR(_xll.BDP($A541&amp;" Corp","MIN_PIECE")/1000,""))</f>
        <v/>
      </c>
      <c r="J541" s="31">
        <f>IF($A541="","",_xll.BDP($A541&amp;" Corp","PX_LAST"))</f>
        <v/>
      </c>
      <c r="K541" s="31">
        <f>IF($A541="","",_xll.BDP($A541&amp;" Corp","YAS_BOND_YLD","YAS_YLD_FLAG=15"))</f>
        <v/>
      </c>
      <c r="L541" s="31">
        <f>IF($A541="","",K541-_xll.BDP($A541&amp;" Corp","YAS_BOND_YLD","YAS_YLD_FLAG=15","SETTLE_DT",Company_desc!$A$1))</f>
        <v/>
      </c>
      <c r="M541" s="31">
        <f>IF($A541="","",K541-_xll.BDP($A541&amp;" Corp","YAS_BOND_YLD","YAS_YLD_FLAG=15","SETTLE_DT",Company_desc!$A$2))</f>
        <v/>
      </c>
      <c r="N541" s="79">
        <f>IF($A541="","",_xll.BDP($A541&amp;" Corp","YAS_OAS_SPRD"))</f>
        <v/>
      </c>
      <c r="O541" s="67">
        <f>IF($A541="","",_xll.BDP($A541&amp;" Corp","YAS_MOD_DUR"))</f>
        <v/>
      </c>
      <c r="P541" s="80">
        <f>IF($A541="","",IFERROR(INDEX(Sheet1!$P:$P,MATCH($A541,Sheet1!$A:$A,0)),""))</f>
        <v/>
      </c>
      <c r="Q541" s="75">
        <f>IF($A541="","",IFERROR(INDEX(Company_desc!$C:$C,MATCH($A541,Company_desc!$A:$A,0)),IFERROR(INDEX(Sheet1!$Q:$Q,MATCH($A541,Sheet1!$A:$A,0)),"")))</f>
        <v/>
      </c>
      <c r="R541" s="75">
        <f>IF($A541="","",_xll.BDP($A541&amp;" Corp","CRNCY"))</f>
        <v/>
      </c>
      <c r="S541" s="75">
        <f>IF($A541="","",IFERROR(INDEX(Sheet1!$S:$S,MATCH($A541,Sheet1!$A:$A,0)),""))</f>
        <v/>
      </c>
      <c r="T541" s="75">
        <f>IF($A541="","",IFERROR(INDEX(Sheet1!$T:$T,MATCH($A541,Sheet1!$A:$A,0)),_xll.BDP($A541&amp;" Corp","RTG_SP")))</f>
        <v/>
      </c>
      <c r="U541" s="75">
        <f>IF($A541="","",IFERROR(INDEX(Sheet1!$U:$U,MATCH($A541,Sheet1!$A:$A,0)),""))</f>
        <v/>
      </c>
      <c r="W541" s="81">
        <f>IF($A541="","",N541-_xll.BDP($A541&amp;" Corp","YAS_OAS_SPRD","SETTLE_DT",Company_desc!$A$1))</f>
        <v/>
      </c>
      <c r="X541" s="81">
        <f>IF($A541="","",N541-_xll.BDP($A541&amp;" Corp","YAS_OAS_SPRD","SETTLE_DT",Company_desc!$A$2))</f>
        <v/>
      </c>
      <c r="Y541" s="80">
        <f>IF($A541="","",N541-_xll.BDP($A541&amp;" Corp","YAS_OAS_SPRD","SETTLE_DT",Company_desc!$D$1))</f>
        <v/>
      </c>
      <c r="Z541" s="82">
        <f>IF($A541="","",K541-_xll.BDP($A541&amp;" Corp","YAS_BOND_YLD","YAS_YLD_FLAG=15","SETTLE_DT",Company_desc!$D$1))</f>
        <v/>
      </c>
      <c r="AA541" s="80">
        <f>IF($A541="","",_xll.BDP($A541&amp;" Corp","YAS_OAS_SPRD","SETTLE_DT",Company_desc!$D$1))</f>
        <v/>
      </c>
    </row>
    <row r="542">
      <c r="B542" s="75">
        <f>IF($A542="","",IFERROR(INDEX(Sheet1!$B:$B,MATCH($A542,Sheet1!$A:$A,0)),""))</f>
        <v/>
      </c>
      <c r="C542" s="75">
        <f>IF($A542="","",PROPER(_xll.BDP($A542&amp;" Corp","NAME")))</f>
        <v/>
      </c>
      <c r="D542" s="76">
        <f>IF($A542="","",_xll.BDP($A542&amp;" Corp","CPN"))</f>
        <v/>
      </c>
      <c r="E542" s="75">
        <f>IF($A542="","",_xll.BDP($A542&amp;" Corp","PAYMENT_RANK"))</f>
        <v/>
      </c>
      <c r="F542" s="100">
        <f>IF($A542="","",_xll.BDP($A542&amp;" Corp","MATURITY"))</f>
        <v/>
      </c>
      <c r="G542" s="75">
        <f>IF($A542="","",PROPER(_xll.BDP($A542&amp;" Corp","COUNTRY_FULL_NAME")))</f>
        <v/>
      </c>
      <c r="H542" s="75">
        <f>IF($A542="","",_xll.BDP($A542&amp;" Corp","INDUSTRY_SECTOR"))</f>
        <v/>
      </c>
      <c r="I542" s="101">
        <f>IF($A542="","",IFERROR(_xll.BDP($A542&amp;" Corp","MIN_PIECE")/1000,""))</f>
        <v/>
      </c>
      <c r="J542" s="31">
        <f>IF($A542="","",_xll.BDP($A542&amp;" Corp","PX_LAST"))</f>
        <v/>
      </c>
      <c r="K542" s="31">
        <f>IF($A542="","",_xll.BDP($A542&amp;" Corp","YAS_BOND_YLD","YAS_YLD_FLAG=15"))</f>
        <v/>
      </c>
      <c r="L542" s="31">
        <f>IF($A542="","",K542-_xll.BDP($A542&amp;" Corp","YAS_BOND_YLD","YAS_YLD_FLAG=15","SETTLE_DT",Company_desc!$A$1))</f>
        <v/>
      </c>
      <c r="M542" s="31">
        <f>IF($A542="","",K542-_xll.BDP($A542&amp;" Corp","YAS_BOND_YLD","YAS_YLD_FLAG=15","SETTLE_DT",Company_desc!$A$2))</f>
        <v/>
      </c>
      <c r="N542" s="79">
        <f>IF($A542="","",_xll.BDP($A542&amp;" Corp","YAS_OAS_SPRD"))</f>
        <v/>
      </c>
      <c r="O542" s="67">
        <f>IF($A542="","",_xll.BDP($A542&amp;" Corp","YAS_MOD_DUR"))</f>
        <v/>
      </c>
      <c r="P542" s="80">
        <f>IF($A542="","",IFERROR(INDEX(Sheet1!$P:$P,MATCH($A542,Sheet1!$A:$A,0)),""))</f>
        <v/>
      </c>
      <c r="Q542" s="75">
        <f>IF($A542="","",IFERROR(INDEX(Company_desc!$C:$C,MATCH($A542,Company_desc!$A:$A,0)),IFERROR(INDEX(Sheet1!$Q:$Q,MATCH($A542,Sheet1!$A:$A,0)),"")))</f>
        <v/>
      </c>
      <c r="R542" s="75">
        <f>IF($A542="","",_xll.BDP($A542&amp;" Corp","CRNCY"))</f>
        <v/>
      </c>
      <c r="S542" s="75">
        <f>IF($A542="","",IFERROR(INDEX(Sheet1!$S:$S,MATCH($A542,Sheet1!$A:$A,0)),""))</f>
        <v/>
      </c>
      <c r="T542" s="75">
        <f>IF($A542="","",IFERROR(INDEX(Sheet1!$T:$T,MATCH($A542,Sheet1!$A:$A,0)),_xll.BDP($A542&amp;" Corp","RTG_SP")))</f>
        <v/>
      </c>
      <c r="U542" s="75">
        <f>IF($A542="","",IFERROR(INDEX(Sheet1!$U:$U,MATCH($A542,Sheet1!$A:$A,0)),""))</f>
        <v/>
      </c>
      <c r="W542" s="81">
        <f>IF($A542="","",N542-_xll.BDP($A542&amp;" Corp","YAS_OAS_SPRD","SETTLE_DT",Company_desc!$A$1))</f>
        <v/>
      </c>
      <c r="X542" s="81">
        <f>IF($A542="","",N542-_xll.BDP($A542&amp;" Corp","YAS_OAS_SPRD","SETTLE_DT",Company_desc!$A$2))</f>
        <v/>
      </c>
      <c r="Y542" s="80">
        <f>IF($A542="","",N542-_xll.BDP($A542&amp;" Corp","YAS_OAS_SPRD","SETTLE_DT",Company_desc!$D$1))</f>
        <v/>
      </c>
      <c r="Z542" s="82">
        <f>IF($A542="","",K542-_xll.BDP($A542&amp;" Corp","YAS_BOND_YLD","YAS_YLD_FLAG=15","SETTLE_DT",Company_desc!$D$1))</f>
        <v/>
      </c>
      <c r="AA542" s="80">
        <f>IF($A542="","",_xll.BDP($A542&amp;" Corp","YAS_OAS_SPRD","SETTLE_DT",Company_desc!$D$1))</f>
        <v/>
      </c>
    </row>
    <row r="543">
      <c r="B543" s="75">
        <f>IF($A543="","",IFERROR(INDEX(Sheet1!$B:$B,MATCH($A543,Sheet1!$A:$A,0)),""))</f>
        <v/>
      </c>
      <c r="C543" s="75">
        <f>IF($A543="","",PROPER(_xll.BDP($A543&amp;" Corp","NAME")))</f>
        <v/>
      </c>
      <c r="D543" s="76">
        <f>IF($A543="","",_xll.BDP($A543&amp;" Corp","CPN"))</f>
        <v/>
      </c>
      <c r="E543" s="75">
        <f>IF($A543="","",_xll.BDP($A543&amp;" Corp","PAYMENT_RANK"))</f>
        <v/>
      </c>
      <c r="F543" s="100">
        <f>IF($A543="","",_xll.BDP($A543&amp;" Corp","MATURITY"))</f>
        <v/>
      </c>
      <c r="G543" s="75">
        <f>IF($A543="","",PROPER(_xll.BDP($A543&amp;" Corp","COUNTRY_FULL_NAME")))</f>
        <v/>
      </c>
      <c r="H543" s="75">
        <f>IF($A543="","",_xll.BDP($A543&amp;" Corp","INDUSTRY_SECTOR"))</f>
        <v/>
      </c>
      <c r="I543" s="101">
        <f>IF($A543="","",IFERROR(_xll.BDP($A543&amp;" Corp","MIN_PIECE")/1000,""))</f>
        <v/>
      </c>
      <c r="J543" s="31">
        <f>IF($A543="","",_xll.BDP($A543&amp;" Corp","PX_LAST"))</f>
        <v/>
      </c>
      <c r="K543" s="31">
        <f>IF($A543="","",_xll.BDP($A543&amp;" Corp","YAS_BOND_YLD","YAS_YLD_FLAG=15"))</f>
        <v/>
      </c>
      <c r="L543" s="31">
        <f>IF($A543="","",K543-_xll.BDP($A543&amp;" Corp","YAS_BOND_YLD","YAS_YLD_FLAG=15","SETTLE_DT",Company_desc!$A$1))</f>
        <v/>
      </c>
      <c r="M543" s="31">
        <f>IF($A543="","",K543-_xll.BDP($A543&amp;" Corp","YAS_BOND_YLD","YAS_YLD_FLAG=15","SETTLE_DT",Company_desc!$A$2))</f>
        <v/>
      </c>
      <c r="N543" s="79">
        <f>IF($A543="","",_xll.BDP($A543&amp;" Corp","YAS_OAS_SPRD"))</f>
        <v/>
      </c>
      <c r="O543" s="67">
        <f>IF($A543="","",_xll.BDP($A543&amp;" Corp","YAS_MOD_DUR"))</f>
        <v/>
      </c>
      <c r="P543" s="80">
        <f>IF($A543="","",IFERROR(INDEX(Sheet1!$P:$P,MATCH($A543,Sheet1!$A:$A,0)),""))</f>
        <v/>
      </c>
      <c r="Q543" s="75">
        <f>IF($A543="","",IFERROR(INDEX(Company_desc!$C:$C,MATCH($A543,Company_desc!$A:$A,0)),IFERROR(INDEX(Sheet1!$Q:$Q,MATCH($A543,Sheet1!$A:$A,0)),"")))</f>
        <v/>
      </c>
      <c r="R543" s="75">
        <f>IF($A543="","",_xll.BDP($A543&amp;" Corp","CRNCY"))</f>
        <v/>
      </c>
      <c r="S543" s="75">
        <f>IF($A543="","",IFERROR(INDEX(Sheet1!$S:$S,MATCH($A543,Sheet1!$A:$A,0)),""))</f>
        <v/>
      </c>
      <c r="T543" s="75">
        <f>IF($A543="","",IFERROR(INDEX(Sheet1!$T:$T,MATCH($A543,Sheet1!$A:$A,0)),_xll.BDP($A543&amp;" Corp","RTG_SP")))</f>
        <v/>
      </c>
      <c r="U543" s="75">
        <f>IF($A543="","",IFERROR(INDEX(Sheet1!$U:$U,MATCH($A543,Sheet1!$A:$A,0)),""))</f>
        <v/>
      </c>
      <c r="W543" s="81">
        <f>IF($A543="","",N543-_xll.BDP($A543&amp;" Corp","YAS_OAS_SPRD","SETTLE_DT",Company_desc!$A$1))</f>
        <v/>
      </c>
      <c r="X543" s="81">
        <f>IF($A543="","",N543-_xll.BDP($A543&amp;" Corp","YAS_OAS_SPRD","SETTLE_DT",Company_desc!$A$2))</f>
        <v/>
      </c>
      <c r="Y543" s="80">
        <f>IF($A543="","",N543-_xll.BDP($A543&amp;" Corp","YAS_OAS_SPRD","SETTLE_DT",Company_desc!$D$1))</f>
        <v/>
      </c>
      <c r="Z543" s="82">
        <f>IF($A543="","",K543-_xll.BDP($A543&amp;" Corp","YAS_BOND_YLD","YAS_YLD_FLAG=15","SETTLE_DT",Company_desc!$D$1))</f>
        <v/>
      </c>
      <c r="AA543" s="80">
        <f>IF($A543="","",_xll.BDP($A543&amp;" Corp","YAS_OAS_SPRD","SETTLE_DT",Company_desc!$D$1))</f>
        <v/>
      </c>
    </row>
    <row r="544">
      <c r="B544" s="75">
        <f>IF($A544="","",IFERROR(INDEX(Sheet1!$B:$B,MATCH($A544,Sheet1!$A:$A,0)),""))</f>
        <v/>
      </c>
      <c r="C544" s="75">
        <f>IF($A544="","",PROPER(_xll.BDP($A544&amp;" Corp","NAME")))</f>
        <v/>
      </c>
      <c r="D544" s="76">
        <f>IF($A544="","",_xll.BDP($A544&amp;" Corp","CPN"))</f>
        <v/>
      </c>
      <c r="E544" s="75">
        <f>IF($A544="","",_xll.BDP($A544&amp;" Corp","PAYMENT_RANK"))</f>
        <v/>
      </c>
      <c r="F544" s="100">
        <f>IF($A544="","",_xll.BDP($A544&amp;" Corp","MATURITY"))</f>
        <v/>
      </c>
      <c r="G544" s="75">
        <f>IF($A544="","",PROPER(_xll.BDP($A544&amp;" Corp","COUNTRY_FULL_NAME")))</f>
        <v/>
      </c>
      <c r="H544" s="75">
        <f>IF($A544="","",_xll.BDP($A544&amp;" Corp","INDUSTRY_SECTOR"))</f>
        <v/>
      </c>
      <c r="I544" s="101">
        <f>IF($A544="","",IFERROR(_xll.BDP($A544&amp;" Corp","MIN_PIECE")/1000,""))</f>
        <v/>
      </c>
      <c r="J544" s="31">
        <f>IF($A544="","",_xll.BDP($A544&amp;" Corp","PX_LAST"))</f>
        <v/>
      </c>
      <c r="K544" s="31">
        <f>IF($A544="","",_xll.BDP($A544&amp;" Corp","YAS_BOND_YLD","YAS_YLD_FLAG=15"))</f>
        <v/>
      </c>
      <c r="L544" s="31">
        <f>IF($A544="","",K544-_xll.BDP($A544&amp;" Corp","YAS_BOND_YLD","YAS_YLD_FLAG=15","SETTLE_DT",Company_desc!$A$1))</f>
        <v/>
      </c>
      <c r="M544" s="31">
        <f>IF($A544="","",K544-_xll.BDP($A544&amp;" Corp","YAS_BOND_YLD","YAS_YLD_FLAG=15","SETTLE_DT",Company_desc!$A$2))</f>
        <v/>
      </c>
      <c r="N544" s="79">
        <f>IF($A544="","",_xll.BDP($A544&amp;" Corp","YAS_OAS_SPRD"))</f>
        <v/>
      </c>
      <c r="O544" s="67">
        <f>IF($A544="","",_xll.BDP($A544&amp;" Corp","YAS_MOD_DUR"))</f>
        <v/>
      </c>
      <c r="P544" s="80">
        <f>IF($A544="","",IFERROR(INDEX(Sheet1!$P:$P,MATCH($A544,Sheet1!$A:$A,0)),""))</f>
        <v/>
      </c>
      <c r="Q544" s="75">
        <f>IF($A544="","",IFERROR(INDEX(Company_desc!$C:$C,MATCH($A544,Company_desc!$A:$A,0)),IFERROR(INDEX(Sheet1!$Q:$Q,MATCH($A544,Sheet1!$A:$A,0)),"")))</f>
        <v/>
      </c>
      <c r="R544" s="75">
        <f>IF($A544="","",_xll.BDP($A544&amp;" Corp","CRNCY"))</f>
        <v/>
      </c>
      <c r="S544" s="75">
        <f>IF($A544="","",IFERROR(INDEX(Sheet1!$S:$S,MATCH($A544,Sheet1!$A:$A,0)),""))</f>
        <v/>
      </c>
      <c r="T544" s="75">
        <f>IF($A544="","",IFERROR(INDEX(Sheet1!$T:$T,MATCH($A544,Sheet1!$A:$A,0)),_xll.BDP($A544&amp;" Corp","RTG_SP")))</f>
        <v/>
      </c>
      <c r="U544" s="75">
        <f>IF($A544="","",IFERROR(INDEX(Sheet1!$U:$U,MATCH($A544,Sheet1!$A:$A,0)),""))</f>
        <v/>
      </c>
      <c r="W544" s="81">
        <f>IF($A544="","",N544-_xll.BDP($A544&amp;" Corp","YAS_OAS_SPRD","SETTLE_DT",Company_desc!$A$1))</f>
        <v/>
      </c>
      <c r="X544" s="81">
        <f>IF($A544="","",N544-_xll.BDP($A544&amp;" Corp","YAS_OAS_SPRD","SETTLE_DT",Company_desc!$A$2))</f>
        <v/>
      </c>
      <c r="Y544" s="80">
        <f>IF($A544="","",N544-_xll.BDP($A544&amp;" Corp","YAS_OAS_SPRD","SETTLE_DT",Company_desc!$D$1))</f>
        <v/>
      </c>
      <c r="Z544" s="82">
        <f>IF($A544="","",K544-_xll.BDP($A544&amp;" Corp","YAS_BOND_YLD","YAS_YLD_FLAG=15","SETTLE_DT",Company_desc!$D$1))</f>
        <v/>
      </c>
      <c r="AA544" s="80">
        <f>IF($A544="","",_xll.BDP($A544&amp;" Corp","YAS_OAS_SPRD","SETTLE_DT",Company_desc!$D$1))</f>
        <v/>
      </c>
    </row>
    <row r="545">
      <c r="B545" s="75">
        <f>IF($A545="","",IFERROR(INDEX(Sheet1!$B:$B,MATCH($A545,Sheet1!$A:$A,0)),""))</f>
        <v/>
      </c>
      <c r="C545" s="75">
        <f>IF($A545="","",PROPER(_xll.BDP($A545&amp;" Corp","NAME")))</f>
        <v/>
      </c>
      <c r="D545" s="76">
        <f>IF($A545="","",_xll.BDP($A545&amp;" Corp","CPN"))</f>
        <v/>
      </c>
      <c r="E545" s="75">
        <f>IF($A545="","",_xll.BDP($A545&amp;" Corp","PAYMENT_RANK"))</f>
        <v/>
      </c>
      <c r="F545" s="100">
        <f>IF($A545="","",_xll.BDP($A545&amp;" Corp","MATURITY"))</f>
        <v/>
      </c>
      <c r="G545" s="75">
        <f>IF($A545="","",PROPER(_xll.BDP($A545&amp;" Corp","COUNTRY_FULL_NAME")))</f>
        <v/>
      </c>
      <c r="H545" s="75">
        <f>IF($A545="","",_xll.BDP($A545&amp;" Corp","INDUSTRY_SECTOR"))</f>
        <v/>
      </c>
      <c r="I545" s="101">
        <f>IF($A545="","",IFERROR(_xll.BDP($A545&amp;" Corp","MIN_PIECE")/1000,""))</f>
        <v/>
      </c>
      <c r="J545" s="31">
        <f>IF($A545="","",_xll.BDP($A545&amp;" Corp","PX_LAST"))</f>
        <v/>
      </c>
      <c r="K545" s="31">
        <f>IF($A545="","",_xll.BDP($A545&amp;" Corp","YAS_BOND_YLD","YAS_YLD_FLAG=15"))</f>
        <v/>
      </c>
      <c r="L545" s="31">
        <f>IF($A545="","",K545-_xll.BDP($A545&amp;" Corp","YAS_BOND_YLD","YAS_YLD_FLAG=15","SETTLE_DT",Company_desc!$A$1))</f>
        <v/>
      </c>
      <c r="M545" s="31">
        <f>IF($A545="","",K545-_xll.BDP($A545&amp;" Corp","YAS_BOND_YLD","YAS_YLD_FLAG=15","SETTLE_DT",Company_desc!$A$2))</f>
        <v/>
      </c>
      <c r="N545" s="79">
        <f>IF($A545="","",_xll.BDP($A545&amp;" Corp","YAS_OAS_SPRD"))</f>
        <v/>
      </c>
      <c r="O545" s="67">
        <f>IF($A545="","",_xll.BDP($A545&amp;" Corp","YAS_MOD_DUR"))</f>
        <v/>
      </c>
      <c r="P545" s="80">
        <f>IF($A545="","",IFERROR(INDEX(Sheet1!$P:$P,MATCH($A545,Sheet1!$A:$A,0)),""))</f>
        <v/>
      </c>
      <c r="Q545" s="75">
        <f>IF($A545="","",IFERROR(INDEX(Company_desc!$C:$C,MATCH($A545,Company_desc!$A:$A,0)),IFERROR(INDEX(Sheet1!$Q:$Q,MATCH($A545,Sheet1!$A:$A,0)),"")))</f>
        <v/>
      </c>
      <c r="R545" s="75">
        <f>IF($A545="","",_xll.BDP($A545&amp;" Corp","CRNCY"))</f>
        <v/>
      </c>
      <c r="S545" s="75">
        <f>IF($A545="","",IFERROR(INDEX(Sheet1!$S:$S,MATCH($A545,Sheet1!$A:$A,0)),""))</f>
        <v/>
      </c>
      <c r="T545" s="75">
        <f>IF($A545="","",IFERROR(INDEX(Sheet1!$T:$T,MATCH($A545,Sheet1!$A:$A,0)),_xll.BDP($A545&amp;" Corp","RTG_SP")))</f>
        <v/>
      </c>
      <c r="U545" s="75">
        <f>IF($A545="","",IFERROR(INDEX(Sheet1!$U:$U,MATCH($A545,Sheet1!$A:$A,0)),""))</f>
        <v/>
      </c>
      <c r="W545" s="81">
        <f>IF($A545="","",N545-_xll.BDP($A545&amp;" Corp","YAS_OAS_SPRD","SETTLE_DT",Company_desc!$A$1))</f>
        <v/>
      </c>
      <c r="X545" s="81">
        <f>IF($A545="","",N545-_xll.BDP($A545&amp;" Corp","YAS_OAS_SPRD","SETTLE_DT",Company_desc!$A$2))</f>
        <v/>
      </c>
      <c r="Y545" s="80">
        <f>IF($A545="","",N545-_xll.BDP($A545&amp;" Corp","YAS_OAS_SPRD","SETTLE_DT",Company_desc!$D$1))</f>
        <v/>
      </c>
      <c r="Z545" s="82">
        <f>IF($A545="","",K545-_xll.BDP($A545&amp;" Corp","YAS_BOND_YLD","YAS_YLD_FLAG=15","SETTLE_DT",Company_desc!$D$1))</f>
        <v/>
      </c>
      <c r="AA545" s="80">
        <f>IF($A545="","",_xll.BDP($A545&amp;" Corp","YAS_OAS_SPRD","SETTLE_DT",Company_desc!$D$1))</f>
        <v/>
      </c>
    </row>
    <row r="546">
      <c r="B546" s="75">
        <f>IF($A546="","",IFERROR(INDEX(Sheet1!$B:$B,MATCH($A546,Sheet1!$A:$A,0)),""))</f>
        <v/>
      </c>
      <c r="C546" s="75">
        <f>IF($A546="","",PROPER(_xll.BDP($A546&amp;" Corp","NAME")))</f>
        <v/>
      </c>
      <c r="D546" s="76">
        <f>IF($A546="","",_xll.BDP($A546&amp;" Corp","CPN"))</f>
        <v/>
      </c>
      <c r="E546" s="75">
        <f>IF($A546="","",_xll.BDP($A546&amp;" Corp","PAYMENT_RANK"))</f>
        <v/>
      </c>
      <c r="F546" s="100">
        <f>IF($A546="","",_xll.BDP($A546&amp;" Corp","MATURITY"))</f>
        <v/>
      </c>
      <c r="G546" s="75">
        <f>IF($A546="","",PROPER(_xll.BDP($A546&amp;" Corp","COUNTRY_FULL_NAME")))</f>
        <v/>
      </c>
      <c r="H546" s="75">
        <f>IF($A546="","",_xll.BDP($A546&amp;" Corp","INDUSTRY_SECTOR"))</f>
        <v/>
      </c>
      <c r="I546" s="101">
        <f>IF($A546="","",IFERROR(_xll.BDP($A546&amp;" Corp","MIN_PIECE")/1000,""))</f>
        <v/>
      </c>
      <c r="J546" s="31">
        <f>IF($A546="","",_xll.BDP($A546&amp;" Corp","PX_LAST"))</f>
        <v/>
      </c>
      <c r="K546" s="31">
        <f>IF($A546="","",_xll.BDP($A546&amp;" Corp","YAS_BOND_YLD","YAS_YLD_FLAG=15"))</f>
        <v/>
      </c>
      <c r="L546" s="31">
        <f>IF($A546="","",K546-_xll.BDP($A546&amp;" Corp","YAS_BOND_YLD","YAS_YLD_FLAG=15","SETTLE_DT",Company_desc!$A$1))</f>
        <v/>
      </c>
      <c r="M546" s="31">
        <f>IF($A546="","",K546-_xll.BDP($A546&amp;" Corp","YAS_BOND_YLD","YAS_YLD_FLAG=15","SETTLE_DT",Company_desc!$A$2))</f>
        <v/>
      </c>
      <c r="N546" s="79">
        <f>IF($A546="","",_xll.BDP($A546&amp;" Corp","YAS_OAS_SPRD"))</f>
        <v/>
      </c>
      <c r="O546" s="67">
        <f>IF($A546="","",_xll.BDP($A546&amp;" Corp","YAS_MOD_DUR"))</f>
        <v/>
      </c>
      <c r="P546" s="80">
        <f>IF($A546="","",IFERROR(INDEX(Sheet1!$P:$P,MATCH($A546,Sheet1!$A:$A,0)),""))</f>
        <v/>
      </c>
      <c r="Q546" s="75">
        <f>IF($A546="","",IFERROR(INDEX(Company_desc!$C:$C,MATCH($A546,Company_desc!$A:$A,0)),IFERROR(INDEX(Sheet1!$Q:$Q,MATCH($A546,Sheet1!$A:$A,0)),"")))</f>
        <v/>
      </c>
      <c r="R546" s="75">
        <f>IF($A546="","",_xll.BDP($A546&amp;" Corp","CRNCY"))</f>
        <v/>
      </c>
      <c r="S546" s="75">
        <f>IF($A546="","",IFERROR(INDEX(Sheet1!$S:$S,MATCH($A546,Sheet1!$A:$A,0)),""))</f>
        <v/>
      </c>
      <c r="T546" s="75">
        <f>IF($A546="","",IFERROR(INDEX(Sheet1!$T:$T,MATCH($A546,Sheet1!$A:$A,0)),_xll.BDP($A546&amp;" Corp","RTG_SP")))</f>
        <v/>
      </c>
      <c r="U546" s="83">
        <f>IF($A546="","",IFERROR(INDEX(Sheet1!$U:$U,MATCH($A546,Sheet1!$A:$A,0)),""))</f>
        <v/>
      </c>
      <c r="W546" s="81">
        <f>IF($A546="","",N546-_xll.BDP($A546&amp;" Corp","YAS_OAS_SPRD","SETTLE_DT",Company_desc!$A$1))</f>
        <v/>
      </c>
      <c r="X546" s="81">
        <f>IF($A546="","",N546-_xll.BDP($A546&amp;" Corp","YAS_OAS_SPRD","SETTLE_DT",Company_desc!$A$2))</f>
        <v/>
      </c>
      <c r="Y546" s="80">
        <f>IF($A546="","",N546-_xll.BDP($A546&amp;" Corp","YAS_OAS_SPRD","SETTLE_DT",Company_desc!$D$1))</f>
        <v/>
      </c>
      <c r="Z546" s="82">
        <f>IF($A546="","",K546-_xll.BDP($A546&amp;" Corp","YAS_BOND_YLD","YAS_YLD_FLAG=15","SETTLE_DT",Company_desc!$D$1))</f>
        <v/>
      </c>
      <c r="AA546" s="80">
        <f>IF($A546="","",_xll.BDP($A546&amp;" Corp","YAS_OAS_SPRD","SETTLE_DT",Company_desc!$D$1))</f>
        <v/>
      </c>
    </row>
    <row r="547">
      <c r="A547" s="42" t="n"/>
      <c r="B547" s="28">
        <f>IF($A547="","",IFERROR(INDEX(Sheet1!$B:$B,MATCH($A547,Sheet1!$A:$A,0)),""))</f>
        <v/>
      </c>
      <c r="C547" s="29">
        <f>IF($A547="","",PROPER(_xll.BDP($A547&amp;" Corp","NAME")))</f>
        <v/>
      </c>
      <c r="D547" s="84">
        <f>IF($A547="","",_xll.BDP($A547&amp;" Corp","CPN"))</f>
        <v/>
      </c>
      <c r="E547" s="84">
        <f>IF($A547="","",_xll.BDP($A547&amp;" Corp","PAYMENT_RANK"))</f>
        <v/>
      </c>
      <c r="F547" s="102">
        <f>IF($A547="","",_xll.BDP($A547&amp;" Corp","MATURITY"))</f>
        <v/>
      </c>
      <c r="G547" s="43">
        <f>IF($A547="","",PROPER(_xll.BDP($A547&amp;" Corp","COUNTRY_FULL_NAME")))</f>
        <v/>
      </c>
      <c r="H547" s="29">
        <f>IF($A547="","",_xll.BDP($A547&amp;" Corp","INDUSTRY_SECTOR"))</f>
        <v/>
      </c>
      <c r="I547" s="103">
        <f>IF($A547="","",IFERROR(_xll.BDP($A547&amp;" Corp","MIN_PIECE")/1000,""))</f>
        <v/>
      </c>
      <c r="J547" s="31">
        <f>IF($A547="","",_xll.BDP($A547&amp;" Corp","PX_LAST"))</f>
        <v/>
      </c>
      <c r="K547" s="31">
        <f>IF($A547="","",_xll.BDP($A547&amp;" Corp","YAS_BOND_YLD","YAS_YLD_FLAG=15"))</f>
        <v/>
      </c>
      <c r="L547" s="31">
        <f>IF($A547="","",K547-_xll.BDP($A547&amp;" Corp","YAS_BOND_YLD","YAS_YLD_FLAG=15","SETTLE_DT",Company_desc!$A$1))</f>
        <v/>
      </c>
      <c r="M547" s="31">
        <f>IF($A547="","",K547-_xll.BDP($A547&amp;" Corp","YAS_BOND_YLD","YAS_YLD_FLAG=15","SETTLE_DT",Company_desc!$A$2))</f>
        <v/>
      </c>
      <c r="N547" s="79">
        <f>IF($A547="","",_xll.BDP($A547&amp;" Corp","YAS_OAS_SPRD"))</f>
        <v/>
      </c>
      <c r="O547" s="67">
        <f>IF($A547="","",_xll.BDP($A547&amp;" Corp","YAS_MOD_DUR"))</f>
        <v/>
      </c>
      <c r="P547" s="79">
        <f>IF($A547="","",IFERROR(INDEX(Sheet1!$P:$P,MATCH($A547,Sheet1!$A:$A,0)),""))</f>
        <v/>
      </c>
      <c r="Q547" s="27">
        <f>IF($A547="","",IFERROR(INDEX(Company_desc!$C:$C,MATCH($A547,Company_desc!$A:$A,0)),IFERROR(INDEX(Sheet1!$Q:$Q,MATCH($A547,Sheet1!$A:$A,0)),"")))</f>
        <v/>
      </c>
      <c r="R547" s="27">
        <f>IF($A547="","",_xll.BDP($A547&amp;" Corp","CRNCY"))</f>
        <v/>
      </c>
      <c r="S547" s="27">
        <f>IF($A547="","",IFERROR(INDEX(Sheet1!$S:$S,MATCH($A547,Sheet1!$A:$A,0)),""))</f>
        <v/>
      </c>
      <c r="T547" s="47">
        <f>IF($A547="","",IFERROR(INDEX(Sheet1!$T:$T,MATCH($A547,Sheet1!$A:$A,0)),_xll.BDP($A547&amp;" Corp","RTG_SP")))</f>
        <v/>
      </c>
      <c r="U547" s="75">
        <f>IF($A547="","",IFERROR(INDEX(Sheet1!$U:$U,MATCH($A547,Sheet1!$A:$A,0)),""))</f>
        <v/>
      </c>
      <c r="W547" s="81">
        <f>IF($A547="","",N547-_xll.BDP($A547&amp;" Corp","YAS_OAS_SPRD","SETTLE_DT",Company_desc!$A$1))</f>
        <v/>
      </c>
      <c r="X547" s="81">
        <f>IF($A547="","",N547-_xll.BDP($A547&amp;" Corp","YAS_OAS_SPRD","SETTLE_DT",Company_desc!$A$2))</f>
        <v/>
      </c>
      <c r="Y547" s="80">
        <f>IF($A547="","",N547-_xll.BDP($A547&amp;" Corp","YAS_OAS_SPRD","SETTLE_DT",Company_desc!$D$1))</f>
        <v/>
      </c>
      <c r="Z547" s="82">
        <f>IF($A547="","",K547-_xll.BDP($A547&amp;" Corp","YAS_BOND_YLD","YAS_YLD_FLAG=15","SETTLE_DT",Company_desc!$D$1))</f>
        <v/>
      </c>
      <c r="AA547" s="80">
        <f>IF($A547="","",_xll.BDP($A547&amp;" Corp","YAS_OAS_SPRD","SETTLE_DT",Company_desc!$D$1))</f>
        <v/>
      </c>
    </row>
    <row r="548">
      <c r="B548" s="75">
        <f>IF($A548="","",IFERROR(INDEX(Sheet1!$B:$B,MATCH($A548,Sheet1!$A:$A,0)),""))</f>
        <v/>
      </c>
      <c r="C548" s="75">
        <f>IF($A548="","",PROPER(_xll.BDP($A548&amp;" Corp","NAME")))</f>
        <v/>
      </c>
      <c r="D548" s="76">
        <f>IF($A548="","",_xll.BDP($A548&amp;" Corp","CPN"))</f>
        <v/>
      </c>
      <c r="E548" s="75">
        <f>IF($A548="","",_xll.BDP($A548&amp;" Corp","PAYMENT_RANK"))</f>
        <v/>
      </c>
      <c r="F548" s="100">
        <f>IF($A548="","",_xll.BDP($A548&amp;" Corp","MATURITY"))</f>
        <v/>
      </c>
      <c r="G548" s="75">
        <f>IF($A548="","",PROPER(_xll.BDP($A548&amp;" Corp","COUNTRY_FULL_NAME")))</f>
        <v/>
      </c>
      <c r="H548" s="75">
        <f>IF($A548="","",_xll.BDP($A548&amp;" Corp","INDUSTRY_SECTOR"))</f>
        <v/>
      </c>
      <c r="I548" s="101">
        <f>IF($A548="","",IFERROR(_xll.BDP($A548&amp;" Corp","MIN_PIECE")/1000,""))</f>
        <v/>
      </c>
      <c r="J548" s="31">
        <f>IF($A548="","",_xll.BDP($A548&amp;" Corp","PX_LAST"))</f>
        <v/>
      </c>
      <c r="K548" s="31">
        <f>IF($A548="","",_xll.BDP($A548&amp;" Corp","YAS_BOND_YLD","YAS_YLD_FLAG=15"))</f>
        <v/>
      </c>
      <c r="L548" s="31">
        <f>IF($A548="","",K548-_xll.BDP($A548&amp;" Corp","YAS_BOND_YLD","YAS_YLD_FLAG=15","SETTLE_DT",Company_desc!$A$1))</f>
        <v/>
      </c>
      <c r="M548" s="31">
        <f>IF($A548="","",K548-_xll.BDP($A548&amp;" Corp","YAS_BOND_YLD","YAS_YLD_FLAG=15","SETTLE_DT",Company_desc!$A$2))</f>
        <v/>
      </c>
      <c r="N548" s="79">
        <f>IF($A548="","",_xll.BDP($A548&amp;" Corp","YAS_OAS_SPRD"))</f>
        <v/>
      </c>
      <c r="O548" s="67">
        <f>IF($A548="","",_xll.BDP($A548&amp;" Corp","YAS_MOD_DUR"))</f>
        <v/>
      </c>
      <c r="P548" s="80">
        <f>IF($A548="","",IFERROR(INDEX(Sheet1!$P:$P,MATCH($A548,Sheet1!$A:$A,0)),""))</f>
        <v/>
      </c>
      <c r="Q548" s="75">
        <f>IF($A548="","",IFERROR(INDEX(Company_desc!$C:$C,MATCH($A548,Company_desc!$A:$A,0)),IFERROR(INDEX(Sheet1!$Q:$Q,MATCH($A548,Sheet1!$A:$A,0)),"")))</f>
        <v/>
      </c>
      <c r="R548" s="75">
        <f>IF($A548="","",_xll.BDP($A548&amp;" Corp","CRNCY"))</f>
        <v/>
      </c>
      <c r="S548" s="75">
        <f>IF($A548="","",IFERROR(INDEX(Sheet1!$S:$S,MATCH($A548,Sheet1!$A:$A,0)),""))</f>
        <v/>
      </c>
      <c r="T548" s="75">
        <f>IF($A548="","",IFERROR(INDEX(Sheet1!$T:$T,MATCH($A548,Sheet1!$A:$A,0)),_xll.BDP($A548&amp;" Corp","RTG_SP")))</f>
        <v/>
      </c>
      <c r="U548" s="75">
        <f>IF($A548="","",IFERROR(INDEX(Sheet1!$U:$U,MATCH($A548,Sheet1!$A:$A,0)),""))</f>
        <v/>
      </c>
      <c r="W548" s="81">
        <f>IF($A548="","",N548-_xll.BDP($A548&amp;" Corp","YAS_OAS_SPRD","SETTLE_DT",Company_desc!$A$1))</f>
        <v/>
      </c>
      <c r="X548" s="81">
        <f>IF($A548="","",N548-_xll.BDP($A548&amp;" Corp","YAS_OAS_SPRD","SETTLE_DT",Company_desc!$A$2))</f>
        <v/>
      </c>
      <c r="Y548" s="80">
        <f>IF($A548="","",N548-_xll.BDP($A548&amp;" Corp","YAS_OAS_SPRD","SETTLE_DT",Company_desc!$D$1))</f>
        <v/>
      </c>
      <c r="Z548" s="82">
        <f>IF($A548="","",K548-_xll.BDP($A548&amp;" Corp","YAS_BOND_YLD","YAS_YLD_FLAG=15","SETTLE_DT",Company_desc!$D$1))</f>
        <v/>
      </c>
      <c r="AA548" s="80">
        <f>IF($A548="","",_xll.BDP($A548&amp;" Corp","YAS_OAS_SPRD","SETTLE_DT",Company_desc!$D$1))</f>
        <v/>
      </c>
    </row>
    <row r="549">
      <c r="B549" s="75">
        <f>IF($A549="","",IFERROR(INDEX(Sheet1!$B:$B,MATCH($A549,Sheet1!$A:$A,0)),""))</f>
        <v/>
      </c>
      <c r="C549" s="75">
        <f>IF($A549="","",PROPER(_xll.BDP($A549&amp;" Corp","NAME")))</f>
        <v/>
      </c>
      <c r="D549" s="76">
        <f>IF($A549="","",_xll.BDP($A549&amp;" Corp","CPN"))</f>
        <v/>
      </c>
      <c r="E549" s="75">
        <f>IF($A549="","",_xll.BDP($A549&amp;" Corp","PAYMENT_RANK"))</f>
        <v/>
      </c>
      <c r="F549" s="100">
        <f>IF($A549="","",_xll.BDP($A549&amp;" Corp","MATURITY"))</f>
        <v/>
      </c>
      <c r="G549" s="75">
        <f>IF($A549="","",PROPER(_xll.BDP($A549&amp;" Corp","COUNTRY_FULL_NAME")))</f>
        <v/>
      </c>
      <c r="H549" s="75">
        <f>IF($A549="","",_xll.BDP($A549&amp;" Corp","INDUSTRY_SECTOR"))</f>
        <v/>
      </c>
      <c r="I549" s="101">
        <f>IF($A549="","",IFERROR(_xll.BDP($A549&amp;" Corp","MIN_PIECE")/1000,""))</f>
        <v/>
      </c>
      <c r="J549" s="31">
        <f>IF($A549="","",_xll.BDP($A549&amp;" Corp","PX_LAST"))</f>
        <v/>
      </c>
      <c r="K549" s="31">
        <f>IF($A549="","",_xll.BDP($A549&amp;" Corp","YAS_BOND_YLD","YAS_YLD_FLAG=15"))</f>
        <v/>
      </c>
      <c r="L549" s="31">
        <f>IF($A549="","",K549-_xll.BDP($A549&amp;" Corp","YAS_BOND_YLD","YAS_YLD_FLAG=15","SETTLE_DT",Company_desc!$A$1))</f>
        <v/>
      </c>
      <c r="M549" s="31">
        <f>IF($A549="","",K549-_xll.BDP($A549&amp;" Corp","YAS_BOND_YLD","YAS_YLD_FLAG=15","SETTLE_DT",Company_desc!$A$2))</f>
        <v/>
      </c>
      <c r="N549" s="79">
        <f>IF($A549="","",_xll.BDP($A549&amp;" Corp","YAS_OAS_SPRD"))</f>
        <v/>
      </c>
      <c r="O549" s="67">
        <f>IF($A549="","",_xll.BDP($A549&amp;" Corp","YAS_MOD_DUR"))</f>
        <v/>
      </c>
      <c r="P549" s="80">
        <f>IF($A549="","",IFERROR(INDEX(Sheet1!$P:$P,MATCH($A549,Sheet1!$A:$A,0)),""))</f>
        <v/>
      </c>
      <c r="Q549" s="75">
        <f>IF($A549="","",IFERROR(INDEX(Company_desc!$C:$C,MATCH($A549,Company_desc!$A:$A,0)),IFERROR(INDEX(Sheet1!$Q:$Q,MATCH($A549,Sheet1!$A:$A,0)),"")))</f>
        <v/>
      </c>
      <c r="R549" s="75">
        <f>IF($A549="","",_xll.BDP($A549&amp;" Corp","CRNCY"))</f>
        <v/>
      </c>
      <c r="S549" s="75">
        <f>IF($A549="","",IFERROR(INDEX(Sheet1!$S:$S,MATCH($A549,Sheet1!$A:$A,0)),""))</f>
        <v/>
      </c>
      <c r="T549" s="75">
        <f>IF($A549="","",IFERROR(INDEX(Sheet1!$T:$T,MATCH($A549,Sheet1!$A:$A,0)),_xll.BDP($A549&amp;" Corp","RTG_SP")))</f>
        <v/>
      </c>
      <c r="U549" s="75">
        <f>IF($A549="","",IFERROR(INDEX(Sheet1!$U:$U,MATCH($A549,Sheet1!$A:$A,0)),""))</f>
        <v/>
      </c>
      <c r="W549" s="81">
        <f>IF($A549="","",N549-_xll.BDP($A549&amp;" Corp","YAS_OAS_SPRD","SETTLE_DT",Company_desc!$A$1))</f>
        <v/>
      </c>
      <c r="X549" s="81">
        <f>IF($A549="","",N549-_xll.BDP($A549&amp;" Corp","YAS_OAS_SPRD","SETTLE_DT",Company_desc!$A$2))</f>
        <v/>
      </c>
      <c r="Y549" s="80">
        <f>IF($A549="","",N549-_xll.BDP($A549&amp;" Corp","YAS_OAS_SPRD","SETTLE_DT",Company_desc!$D$1))</f>
        <v/>
      </c>
      <c r="Z549" s="82">
        <f>IF($A549="","",K549-_xll.BDP($A549&amp;" Corp","YAS_BOND_YLD","YAS_YLD_FLAG=15","SETTLE_DT",Company_desc!$D$1))</f>
        <v/>
      </c>
      <c r="AA549" s="80">
        <f>IF($A549="","",_xll.BDP($A549&amp;" Corp","YAS_OAS_SPRD","SETTLE_DT",Company_desc!$D$1))</f>
        <v/>
      </c>
    </row>
    <row r="550">
      <c r="B550" s="75">
        <f>IF($A550="","",IFERROR(INDEX(Sheet1!$B:$B,MATCH($A550,Sheet1!$A:$A,0)),""))</f>
        <v/>
      </c>
      <c r="C550" s="75">
        <f>IF($A550="","",PROPER(_xll.BDP($A550&amp;" Corp","NAME")))</f>
        <v/>
      </c>
      <c r="D550" s="76">
        <f>IF($A550="","",_xll.BDP($A550&amp;" Corp","CPN"))</f>
        <v/>
      </c>
      <c r="E550" s="75">
        <f>IF($A550="","",_xll.BDP($A550&amp;" Corp","PAYMENT_RANK"))</f>
        <v/>
      </c>
      <c r="F550" s="100">
        <f>IF($A550="","",_xll.BDP($A550&amp;" Corp","MATURITY"))</f>
        <v/>
      </c>
      <c r="G550" s="75">
        <f>IF($A550="","",PROPER(_xll.BDP($A550&amp;" Corp","COUNTRY_FULL_NAME")))</f>
        <v/>
      </c>
      <c r="H550" s="75">
        <f>IF($A550="","",_xll.BDP($A550&amp;" Corp","INDUSTRY_SECTOR"))</f>
        <v/>
      </c>
      <c r="I550" s="101">
        <f>IF($A550="","",IFERROR(_xll.BDP($A550&amp;" Corp","MIN_PIECE")/1000,""))</f>
        <v/>
      </c>
      <c r="J550" s="31">
        <f>IF($A550="","",_xll.BDP($A550&amp;" Corp","PX_LAST"))</f>
        <v/>
      </c>
      <c r="K550" s="31">
        <f>IF($A550="","",_xll.BDP($A550&amp;" Corp","YAS_BOND_YLD","YAS_YLD_FLAG=15"))</f>
        <v/>
      </c>
      <c r="L550" s="31">
        <f>IF($A550="","",K550-_xll.BDP($A550&amp;" Corp","YAS_BOND_YLD","YAS_YLD_FLAG=15","SETTLE_DT",Company_desc!$A$1))</f>
        <v/>
      </c>
      <c r="M550" s="31">
        <f>IF($A550="","",K550-_xll.BDP($A550&amp;" Corp","YAS_BOND_YLD","YAS_YLD_FLAG=15","SETTLE_DT",Company_desc!$A$2))</f>
        <v/>
      </c>
      <c r="N550" s="79">
        <f>IF($A550="","",_xll.BDP($A550&amp;" Corp","YAS_OAS_SPRD"))</f>
        <v/>
      </c>
      <c r="O550" s="67">
        <f>IF($A550="","",_xll.BDP($A550&amp;" Corp","YAS_MOD_DUR"))</f>
        <v/>
      </c>
      <c r="P550" s="80">
        <f>IF($A550="","",IFERROR(INDEX(Sheet1!$P:$P,MATCH($A550,Sheet1!$A:$A,0)),""))</f>
        <v/>
      </c>
      <c r="Q550" s="75">
        <f>IF($A550="","",IFERROR(INDEX(Company_desc!$C:$C,MATCH($A550,Company_desc!$A:$A,0)),IFERROR(INDEX(Sheet1!$Q:$Q,MATCH($A550,Sheet1!$A:$A,0)),"")))</f>
        <v/>
      </c>
      <c r="R550" s="75">
        <f>IF($A550="","",_xll.BDP($A550&amp;" Corp","CRNCY"))</f>
        <v/>
      </c>
      <c r="S550" s="75">
        <f>IF($A550="","",IFERROR(INDEX(Sheet1!$S:$S,MATCH($A550,Sheet1!$A:$A,0)),""))</f>
        <v/>
      </c>
      <c r="T550" s="75">
        <f>IF($A550="","",IFERROR(INDEX(Sheet1!$T:$T,MATCH($A550,Sheet1!$A:$A,0)),_xll.BDP($A550&amp;" Corp","RTG_SP")))</f>
        <v/>
      </c>
      <c r="U550" s="75">
        <f>IF($A550="","",IFERROR(INDEX(Sheet1!$U:$U,MATCH($A550,Sheet1!$A:$A,0)),""))</f>
        <v/>
      </c>
      <c r="W550" s="81">
        <f>IF($A550="","",N550-_xll.BDP($A550&amp;" Corp","YAS_OAS_SPRD","SETTLE_DT",Company_desc!$A$1))</f>
        <v/>
      </c>
      <c r="X550" s="81">
        <f>IF($A550="","",N550-_xll.BDP($A550&amp;" Corp","YAS_OAS_SPRD","SETTLE_DT",Company_desc!$A$2))</f>
        <v/>
      </c>
      <c r="Y550" s="80">
        <f>IF($A550="","",N550-_xll.BDP($A550&amp;" Corp","YAS_OAS_SPRD","SETTLE_DT",Company_desc!$D$1))</f>
        <v/>
      </c>
      <c r="Z550" s="82">
        <f>IF($A550="","",K550-_xll.BDP($A550&amp;" Corp","YAS_BOND_YLD","YAS_YLD_FLAG=15","SETTLE_DT",Company_desc!$D$1))</f>
        <v/>
      </c>
      <c r="AA550" s="80">
        <f>IF($A550="","",_xll.BDP($A550&amp;" Corp","YAS_OAS_SPRD","SETTLE_DT",Company_desc!$D$1))</f>
        <v/>
      </c>
    </row>
    <row r="551">
      <c r="B551" s="75">
        <f>IF($A551="","",IFERROR(INDEX(Sheet1!$B:$B,MATCH($A551,Sheet1!$A:$A,0)),""))</f>
        <v/>
      </c>
      <c r="C551" s="75">
        <f>IF($A551="","",PROPER(_xll.BDP($A551&amp;" Corp","NAME")))</f>
        <v/>
      </c>
      <c r="D551" s="76">
        <f>IF($A551="","",_xll.BDP($A551&amp;" Corp","CPN"))</f>
        <v/>
      </c>
      <c r="E551" s="75">
        <f>IF($A551="","",_xll.BDP($A551&amp;" Corp","PAYMENT_RANK"))</f>
        <v/>
      </c>
      <c r="F551" s="100">
        <f>IF($A551="","",_xll.BDP($A551&amp;" Corp","MATURITY"))</f>
        <v/>
      </c>
      <c r="G551" s="75">
        <f>IF($A551="","",PROPER(_xll.BDP($A551&amp;" Corp","COUNTRY_FULL_NAME")))</f>
        <v/>
      </c>
      <c r="H551" s="75">
        <f>IF($A551="","",_xll.BDP($A551&amp;" Corp","INDUSTRY_SECTOR"))</f>
        <v/>
      </c>
      <c r="I551" s="101">
        <f>IF($A551="","",IFERROR(_xll.BDP($A551&amp;" Corp","MIN_PIECE")/1000,""))</f>
        <v/>
      </c>
      <c r="J551" s="31">
        <f>IF($A551="","",_xll.BDP($A551&amp;" Corp","PX_LAST"))</f>
        <v/>
      </c>
      <c r="K551" s="31">
        <f>IF($A551="","",_xll.BDP($A551&amp;" Corp","YAS_BOND_YLD","YAS_YLD_FLAG=15"))</f>
        <v/>
      </c>
      <c r="L551" s="31">
        <f>IF($A551="","",K551-_xll.BDP($A551&amp;" Corp","YAS_BOND_YLD","YAS_YLD_FLAG=15","SETTLE_DT",Company_desc!$A$1))</f>
        <v/>
      </c>
      <c r="M551" s="31">
        <f>IF($A551="","",K551-_xll.BDP($A551&amp;" Corp","YAS_BOND_YLD","YAS_YLD_FLAG=15","SETTLE_DT",Company_desc!$A$2))</f>
        <v/>
      </c>
      <c r="N551" s="79">
        <f>IF($A551="","",_xll.BDP($A551&amp;" Corp","YAS_OAS_SPRD"))</f>
        <v/>
      </c>
      <c r="O551" s="67">
        <f>IF($A551="","",_xll.BDP($A551&amp;" Corp","YAS_MOD_DUR"))</f>
        <v/>
      </c>
      <c r="P551" s="80">
        <f>IF($A551="","",IFERROR(INDEX(Sheet1!$P:$P,MATCH($A551,Sheet1!$A:$A,0)),""))</f>
        <v/>
      </c>
      <c r="Q551" s="75">
        <f>IF($A551="","",IFERROR(INDEX(Company_desc!$C:$C,MATCH($A551,Company_desc!$A:$A,0)),IFERROR(INDEX(Sheet1!$Q:$Q,MATCH($A551,Sheet1!$A:$A,0)),"")))</f>
        <v/>
      </c>
      <c r="R551" s="75">
        <f>IF($A551="","",_xll.BDP($A551&amp;" Corp","CRNCY"))</f>
        <v/>
      </c>
      <c r="S551" s="75">
        <f>IF($A551="","",IFERROR(INDEX(Sheet1!$S:$S,MATCH($A551,Sheet1!$A:$A,0)),""))</f>
        <v/>
      </c>
      <c r="T551" s="75">
        <f>IF($A551="","",IFERROR(INDEX(Sheet1!$T:$T,MATCH($A551,Sheet1!$A:$A,0)),_xll.BDP($A551&amp;" Corp","RTG_SP")))</f>
        <v/>
      </c>
      <c r="U551" s="75">
        <f>IF($A551="","",IFERROR(INDEX(Sheet1!$U:$U,MATCH($A551,Sheet1!$A:$A,0)),""))</f>
        <v/>
      </c>
      <c r="W551" s="81">
        <f>IF($A551="","",N551-_xll.BDP($A551&amp;" Corp","YAS_OAS_SPRD","SETTLE_DT",Company_desc!$A$1))</f>
        <v/>
      </c>
      <c r="X551" s="81">
        <f>IF($A551="","",N551-_xll.BDP($A551&amp;" Corp","YAS_OAS_SPRD","SETTLE_DT",Company_desc!$A$2))</f>
        <v/>
      </c>
      <c r="Y551" s="80">
        <f>IF($A551="","",N551-_xll.BDP($A551&amp;" Corp","YAS_OAS_SPRD","SETTLE_DT",Company_desc!$D$1))</f>
        <v/>
      </c>
      <c r="Z551" s="82">
        <f>IF($A551="","",K551-_xll.BDP($A551&amp;" Corp","YAS_BOND_YLD","YAS_YLD_FLAG=15","SETTLE_DT",Company_desc!$D$1))</f>
        <v/>
      </c>
      <c r="AA551" s="80">
        <f>IF($A551="","",_xll.BDP($A551&amp;" Corp","YAS_OAS_SPRD","SETTLE_DT",Company_desc!$D$1))</f>
        <v/>
      </c>
    </row>
    <row r="552">
      <c r="B552" s="75">
        <f>IF($A552="","",IFERROR(INDEX(Sheet1!$B:$B,MATCH($A552,Sheet1!$A:$A,0)),""))</f>
        <v/>
      </c>
      <c r="C552" s="75">
        <f>IF($A552="","",PROPER(_xll.BDP($A552&amp;" Corp","NAME")))</f>
        <v/>
      </c>
      <c r="D552" s="76">
        <f>IF($A552="","",_xll.BDP($A552&amp;" Corp","CPN"))</f>
        <v/>
      </c>
      <c r="E552" s="75">
        <f>IF($A552="","",_xll.BDP($A552&amp;" Corp","PAYMENT_RANK"))</f>
        <v/>
      </c>
      <c r="F552" s="100">
        <f>IF($A552="","",_xll.BDP($A552&amp;" Corp","MATURITY"))</f>
        <v/>
      </c>
      <c r="G552" s="75">
        <f>IF($A552="","",PROPER(_xll.BDP($A552&amp;" Corp","COUNTRY_FULL_NAME")))</f>
        <v/>
      </c>
      <c r="H552" s="75">
        <f>IF($A552="","",_xll.BDP($A552&amp;" Corp","INDUSTRY_SECTOR"))</f>
        <v/>
      </c>
      <c r="I552" s="101">
        <f>IF($A552="","",IFERROR(_xll.BDP($A552&amp;" Corp","MIN_PIECE")/1000,""))</f>
        <v/>
      </c>
      <c r="J552" s="31">
        <f>IF($A552="","",_xll.BDP($A552&amp;" Corp","PX_LAST"))</f>
        <v/>
      </c>
      <c r="K552" s="31">
        <f>IF($A552="","",_xll.BDP($A552&amp;" Corp","YAS_BOND_YLD","YAS_YLD_FLAG=15"))</f>
        <v/>
      </c>
      <c r="L552" s="31">
        <f>IF($A552="","",K552-_xll.BDP($A552&amp;" Corp","YAS_BOND_YLD","YAS_YLD_FLAG=15","SETTLE_DT",Company_desc!$A$1))</f>
        <v/>
      </c>
      <c r="M552" s="31">
        <f>IF($A552="","",K552-_xll.BDP($A552&amp;" Corp","YAS_BOND_YLD","YAS_YLD_FLAG=15","SETTLE_DT",Company_desc!$A$2))</f>
        <v/>
      </c>
      <c r="N552" s="79">
        <f>IF($A552="","",_xll.BDP($A552&amp;" Corp","YAS_OAS_SPRD"))</f>
        <v/>
      </c>
      <c r="O552" s="67">
        <f>IF($A552="","",_xll.BDP($A552&amp;" Corp","YAS_MOD_DUR"))</f>
        <v/>
      </c>
      <c r="P552" s="80">
        <f>IF($A552="","",IFERROR(INDEX(Sheet1!$P:$P,MATCH($A552,Sheet1!$A:$A,0)),""))</f>
        <v/>
      </c>
      <c r="Q552" s="75">
        <f>IF($A552="","",IFERROR(INDEX(Company_desc!$C:$C,MATCH($A552,Company_desc!$A:$A,0)),IFERROR(INDEX(Sheet1!$Q:$Q,MATCH($A552,Sheet1!$A:$A,0)),"")))</f>
        <v/>
      </c>
      <c r="R552" s="75">
        <f>IF($A552="","",_xll.BDP($A552&amp;" Corp","CRNCY"))</f>
        <v/>
      </c>
      <c r="S552" s="75">
        <f>IF($A552="","",IFERROR(INDEX(Sheet1!$S:$S,MATCH($A552,Sheet1!$A:$A,0)),""))</f>
        <v/>
      </c>
      <c r="T552" s="75">
        <f>IF($A552="","",IFERROR(INDEX(Sheet1!$T:$T,MATCH($A552,Sheet1!$A:$A,0)),_xll.BDP($A552&amp;" Corp","RTG_SP")))</f>
        <v/>
      </c>
      <c r="U552" s="75">
        <f>IF($A552="","",IFERROR(INDEX(Sheet1!$U:$U,MATCH($A552,Sheet1!$A:$A,0)),""))</f>
        <v/>
      </c>
      <c r="W552" s="81">
        <f>IF($A552="","",N552-_xll.BDP($A552&amp;" Corp","YAS_OAS_SPRD","SETTLE_DT",Company_desc!$A$1))</f>
        <v/>
      </c>
      <c r="X552" s="81">
        <f>IF($A552="","",N552-_xll.BDP($A552&amp;" Corp","YAS_OAS_SPRD","SETTLE_DT",Company_desc!$A$2))</f>
        <v/>
      </c>
      <c r="Y552" s="80">
        <f>IF($A552="","",N552-_xll.BDP($A552&amp;" Corp","YAS_OAS_SPRD","SETTLE_DT",Company_desc!$D$1))</f>
        <v/>
      </c>
      <c r="Z552" s="82">
        <f>IF($A552="","",K552-_xll.BDP($A552&amp;" Corp","YAS_BOND_YLD","YAS_YLD_FLAG=15","SETTLE_DT",Company_desc!$D$1))</f>
        <v/>
      </c>
      <c r="AA552" s="80">
        <f>IF($A552="","",_xll.BDP($A552&amp;" Corp","YAS_OAS_SPRD","SETTLE_DT",Company_desc!$D$1))</f>
        <v/>
      </c>
    </row>
    <row r="553">
      <c r="B553" s="75">
        <f>IF($A553="","",IFERROR(INDEX(Sheet1!$B:$B,MATCH($A553,Sheet1!$A:$A,0)),""))</f>
        <v/>
      </c>
      <c r="C553" s="75">
        <f>IF($A553="","",PROPER(_xll.BDP($A553&amp;" Corp","NAME")))</f>
        <v/>
      </c>
      <c r="D553" s="76">
        <f>IF($A553="","",_xll.BDP($A553&amp;" Corp","CPN"))</f>
        <v/>
      </c>
      <c r="E553" s="75">
        <f>IF($A553="","",_xll.BDP($A553&amp;" Corp","PAYMENT_RANK"))</f>
        <v/>
      </c>
      <c r="F553" s="100">
        <f>IF($A553="","",_xll.BDP($A553&amp;" Corp","MATURITY"))</f>
        <v/>
      </c>
      <c r="G553" s="75">
        <f>IF($A553="","",PROPER(_xll.BDP($A553&amp;" Corp","COUNTRY_FULL_NAME")))</f>
        <v/>
      </c>
      <c r="H553" s="75">
        <f>IF($A553="","",_xll.BDP($A553&amp;" Corp","INDUSTRY_SECTOR"))</f>
        <v/>
      </c>
      <c r="I553" s="101">
        <f>IF($A553="","",IFERROR(_xll.BDP($A553&amp;" Corp","MIN_PIECE")/1000,""))</f>
        <v/>
      </c>
      <c r="J553" s="31">
        <f>IF($A553="","",_xll.BDP($A553&amp;" Corp","PX_LAST"))</f>
        <v/>
      </c>
      <c r="K553" s="31">
        <f>IF($A553="","",_xll.BDP($A553&amp;" Corp","YAS_BOND_YLD","YAS_YLD_FLAG=15"))</f>
        <v/>
      </c>
      <c r="L553" s="31">
        <f>IF($A553="","",K553-_xll.BDP($A553&amp;" Corp","YAS_BOND_YLD","YAS_YLD_FLAG=15","SETTLE_DT",Company_desc!$A$1))</f>
        <v/>
      </c>
      <c r="M553" s="31">
        <f>IF($A553="","",K553-_xll.BDP($A553&amp;" Corp","YAS_BOND_YLD","YAS_YLD_FLAG=15","SETTLE_DT",Company_desc!$A$2))</f>
        <v/>
      </c>
      <c r="N553" s="79">
        <f>IF($A553="","",_xll.BDP($A553&amp;" Corp","YAS_OAS_SPRD"))</f>
        <v/>
      </c>
      <c r="O553" s="67">
        <f>IF($A553="","",_xll.BDP($A553&amp;" Corp","YAS_MOD_DUR"))</f>
        <v/>
      </c>
      <c r="P553" s="80">
        <f>IF($A553="","",IFERROR(INDEX(Sheet1!$P:$P,MATCH($A553,Sheet1!$A:$A,0)),""))</f>
        <v/>
      </c>
      <c r="Q553" s="75">
        <f>IF($A553="","",IFERROR(INDEX(Company_desc!$C:$C,MATCH($A553,Company_desc!$A:$A,0)),IFERROR(INDEX(Sheet1!$Q:$Q,MATCH($A553,Sheet1!$A:$A,0)),"")))</f>
        <v/>
      </c>
      <c r="R553" s="75">
        <f>IF($A553="","",_xll.BDP($A553&amp;" Corp","CRNCY"))</f>
        <v/>
      </c>
      <c r="S553" s="75">
        <f>IF($A553="","",IFERROR(INDEX(Sheet1!$S:$S,MATCH($A553,Sheet1!$A:$A,0)),""))</f>
        <v/>
      </c>
      <c r="T553" s="75">
        <f>IF($A553="","",IFERROR(INDEX(Sheet1!$T:$T,MATCH($A553,Sheet1!$A:$A,0)),_xll.BDP($A553&amp;" Corp","RTG_SP")))</f>
        <v/>
      </c>
      <c r="U553" s="75">
        <f>IF($A553="","",IFERROR(INDEX(Sheet1!$U:$U,MATCH($A553,Sheet1!$A:$A,0)),""))</f>
        <v/>
      </c>
      <c r="W553" s="81">
        <f>IF($A553="","",N553-_xll.BDP($A553&amp;" Corp","YAS_OAS_SPRD","SETTLE_DT",Company_desc!$A$1))</f>
        <v/>
      </c>
      <c r="X553" s="81">
        <f>IF($A553="","",N553-_xll.BDP($A553&amp;" Corp","YAS_OAS_SPRD","SETTLE_DT",Company_desc!$A$2))</f>
        <v/>
      </c>
      <c r="Y553" s="80">
        <f>IF($A553="","",N553-_xll.BDP($A553&amp;" Corp","YAS_OAS_SPRD","SETTLE_DT",Company_desc!$D$1))</f>
        <v/>
      </c>
      <c r="Z553" s="82">
        <f>IF($A553="","",K553-_xll.BDP($A553&amp;" Corp","YAS_BOND_YLD","YAS_YLD_FLAG=15","SETTLE_DT",Company_desc!$D$1))</f>
        <v/>
      </c>
      <c r="AA553" s="80">
        <f>IF($A553="","",_xll.BDP($A553&amp;" Corp","YAS_OAS_SPRD","SETTLE_DT",Company_desc!$D$1))</f>
        <v/>
      </c>
    </row>
    <row r="554">
      <c r="B554" s="75">
        <f>IF($A554="","",IFERROR(INDEX(Sheet1!$B:$B,MATCH($A554,Sheet1!$A:$A,0)),""))</f>
        <v/>
      </c>
      <c r="C554" s="75">
        <f>IF($A554="","",PROPER(_xll.BDP($A554&amp;" Corp","NAME")))</f>
        <v/>
      </c>
      <c r="D554" s="76">
        <f>IF($A554="","",_xll.BDP($A554&amp;" Corp","CPN"))</f>
        <v/>
      </c>
      <c r="E554" s="75">
        <f>IF($A554="","",_xll.BDP($A554&amp;" Corp","PAYMENT_RANK"))</f>
        <v/>
      </c>
      <c r="F554" s="100">
        <f>IF($A554="","",_xll.BDP($A554&amp;" Corp","MATURITY"))</f>
        <v/>
      </c>
      <c r="G554" s="75">
        <f>IF($A554="","",PROPER(_xll.BDP($A554&amp;" Corp","COUNTRY_FULL_NAME")))</f>
        <v/>
      </c>
      <c r="H554" s="75">
        <f>IF($A554="","",_xll.BDP($A554&amp;" Corp","INDUSTRY_SECTOR"))</f>
        <v/>
      </c>
      <c r="I554" s="101">
        <f>IF($A554="","",IFERROR(_xll.BDP($A554&amp;" Corp","MIN_PIECE")/1000,""))</f>
        <v/>
      </c>
      <c r="J554" s="31">
        <f>IF($A554="","",_xll.BDP($A554&amp;" Corp","PX_LAST"))</f>
        <v/>
      </c>
      <c r="K554" s="31">
        <f>IF($A554="","",_xll.BDP($A554&amp;" Corp","YAS_BOND_YLD","YAS_YLD_FLAG=15"))</f>
        <v/>
      </c>
      <c r="L554" s="31">
        <f>IF($A554="","",K554-_xll.BDP($A554&amp;" Corp","YAS_BOND_YLD","YAS_YLD_FLAG=15","SETTLE_DT",Company_desc!$A$1))</f>
        <v/>
      </c>
      <c r="M554" s="31">
        <f>IF($A554="","",K554-_xll.BDP($A554&amp;" Corp","YAS_BOND_YLD","YAS_YLD_FLAG=15","SETTLE_DT",Company_desc!$A$2))</f>
        <v/>
      </c>
      <c r="N554" s="79">
        <f>IF($A554="","",_xll.BDP($A554&amp;" Corp","YAS_OAS_SPRD"))</f>
        <v/>
      </c>
      <c r="O554" s="67">
        <f>IF($A554="","",_xll.BDP($A554&amp;" Corp","YAS_MOD_DUR"))</f>
        <v/>
      </c>
      <c r="P554" s="80">
        <f>IF($A554="","",IFERROR(INDEX(Sheet1!$P:$P,MATCH($A554,Sheet1!$A:$A,0)),""))</f>
        <v/>
      </c>
      <c r="Q554" s="75">
        <f>IF($A554="","",IFERROR(INDEX(Company_desc!$C:$C,MATCH($A554,Company_desc!$A:$A,0)),IFERROR(INDEX(Sheet1!$Q:$Q,MATCH($A554,Sheet1!$A:$A,0)),"")))</f>
        <v/>
      </c>
      <c r="R554" s="75">
        <f>IF($A554="","",_xll.BDP($A554&amp;" Corp","CRNCY"))</f>
        <v/>
      </c>
      <c r="S554" s="75">
        <f>IF($A554="","",IFERROR(INDEX(Sheet1!$S:$S,MATCH($A554,Sheet1!$A:$A,0)),""))</f>
        <v/>
      </c>
      <c r="T554" s="75">
        <f>IF($A554="","",IFERROR(INDEX(Sheet1!$T:$T,MATCH($A554,Sheet1!$A:$A,0)),_xll.BDP($A554&amp;" Corp","RTG_SP")))</f>
        <v/>
      </c>
      <c r="U554" s="75">
        <f>IF($A554="","",IFERROR(INDEX(Sheet1!$U:$U,MATCH($A554,Sheet1!$A:$A,0)),""))</f>
        <v/>
      </c>
      <c r="W554" s="81">
        <f>IF($A554="","",N554-_xll.BDP($A554&amp;" Corp","YAS_OAS_SPRD","SETTLE_DT",Company_desc!$A$1))</f>
        <v/>
      </c>
      <c r="X554" s="81">
        <f>IF($A554="","",N554-_xll.BDP($A554&amp;" Corp","YAS_OAS_SPRD","SETTLE_DT",Company_desc!$A$2))</f>
        <v/>
      </c>
      <c r="Y554" s="80">
        <f>IF($A554="","",N554-_xll.BDP($A554&amp;" Corp","YAS_OAS_SPRD","SETTLE_DT",Company_desc!$D$1))</f>
        <v/>
      </c>
      <c r="Z554" s="82">
        <f>IF($A554="","",K554-_xll.BDP($A554&amp;" Corp","YAS_BOND_YLD","YAS_YLD_FLAG=15","SETTLE_DT",Company_desc!$D$1))</f>
        <v/>
      </c>
      <c r="AA554" s="80">
        <f>IF($A554="","",_xll.BDP($A554&amp;" Corp","YAS_OAS_SPRD","SETTLE_DT",Company_desc!$D$1))</f>
        <v/>
      </c>
    </row>
    <row r="555">
      <c r="B555" s="75">
        <f>IF($A555="","",IFERROR(INDEX(Sheet1!$B:$B,MATCH($A555,Sheet1!$A:$A,0)),""))</f>
        <v/>
      </c>
      <c r="C555" s="75">
        <f>IF($A555="","",PROPER(_xll.BDP($A555&amp;" Corp","NAME")))</f>
        <v/>
      </c>
      <c r="D555" s="76">
        <f>IF($A555="","",_xll.BDP($A555&amp;" Corp","CPN"))</f>
        <v/>
      </c>
      <c r="E555" s="75">
        <f>IF($A555="","",_xll.BDP($A555&amp;" Corp","PAYMENT_RANK"))</f>
        <v/>
      </c>
      <c r="F555" s="100">
        <f>IF($A555="","",_xll.BDP($A555&amp;" Corp","MATURITY"))</f>
        <v/>
      </c>
      <c r="G555" s="75">
        <f>IF($A555="","",PROPER(_xll.BDP($A555&amp;" Corp","COUNTRY_FULL_NAME")))</f>
        <v/>
      </c>
      <c r="H555" s="75">
        <f>IF($A555="","",_xll.BDP($A555&amp;" Corp","INDUSTRY_SECTOR"))</f>
        <v/>
      </c>
      <c r="I555" s="101">
        <f>IF($A555="","",IFERROR(_xll.BDP($A555&amp;" Corp","MIN_PIECE")/1000,""))</f>
        <v/>
      </c>
      <c r="J555" s="31">
        <f>IF($A555="","",_xll.BDP($A555&amp;" Corp","PX_LAST"))</f>
        <v/>
      </c>
      <c r="K555" s="31">
        <f>IF($A555="","",_xll.BDP($A555&amp;" Corp","YAS_BOND_YLD","YAS_YLD_FLAG=15"))</f>
        <v/>
      </c>
      <c r="L555" s="31">
        <f>IF($A555="","",K555-_xll.BDP($A555&amp;" Corp","YAS_BOND_YLD","YAS_YLD_FLAG=15","SETTLE_DT",Company_desc!$A$1))</f>
        <v/>
      </c>
      <c r="M555" s="31">
        <f>IF($A555="","",K555-_xll.BDP($A555&amp;" Corp","YAS_BOND_YLD","YAS_YLD_FLAG=15","SETTLE_DT",Company_desc!$A$2))</f>
        <v/>
      </c>
      <c r="N555" s="79">
        <f>IF($A555="","",_xll.BDP($A555&amp;" Corp","YAS_OAS_SPRD"))</f>
        <v/>
      </c>
      <c r="O555" s="67">
        <f>IF($A555="","",_xll.BDP($A555&amp;" Corp","YAS_MOD_DUR"))</f>
        <v/>
      </c>
      <c r="P555" s="80">
        <f>IF($A555="","",IFERROR(INDEX(Sheet1!$P:$P,MATCH($A555,Sheet1!$A:$A,0)),""))</f>
        <v/>
      </c>
      <c r="Q555" s="75">
        <f>IF($A555="","",IFERROR(INDEX(Company_desc!$C:$C,MATCH($A555,Company_desc!$A:$A,0)),IFERROR(INDEX(Sheet1!$Q:$Q,MATCH($A555,Sheet1!$A:$A,0)),"")))</f>
        <v/>
      </c>
      <c r="R555" s="75">
        <f>IF($A555="","",_xll.BDP($A555&amp;" Corp","CRNCY"))</f>
        <v/>
      </c>
      <c r="S555" s="75">
        <f>IF($A555="","",IFERROR(INDEX(Sheet1!$S:$S,MATCH($A555,Sheet1!$A:$A,0)),""))</f>
        <v/>
      </c>
      <c r="T555" s="75">
        <f>IF($A555="","",IFERROR(INDEX(Sheet1!$T:$T,MATCH($A555,Sheet1!$A:$A,0)),_xll.BDP($A555&amp;" Corp","RTG_SP")))</f>
        <v/>
      </c>
      <c r="U555" s="75">
        <f>IF($A555="","",IFERROR(INDEX(Sheet1!$U:$U,MATCH($A555,Sheet1!$A:$A,0)),""))</f>
        <v/>
      </c>
      <c r="W555" s="81">
        <f>IF($A555="","",N555-_xll.BDP($A555&amp;" Corp","YAS_OAS_SPRD","SETTLE_DT",Company_desc!$A$1))</f>
        <v/>
      </c>
      <c r="X555" s="81">
        <f>IF($A555="","",N555-_xll.BDP($A555&amp;" Corp","YAS_OAS_SPRD","SETTLE_DT",Company_desc!$A$2))</f>
        <v/>
      </c>
      <c r="Y555" s="80">
        <f>IF($A555="","",N555-_xll.BDP($A555&amp;" Corp","YAS_OAS_SPRD","SETTLE_DT",Company_desc!$D$1))</f>
        <v/>
      </c>
      <c r="Z555" s="82">
        <f>IF($A555="","",K555-_xll.BDP($A555&amp;" Corp","YAS_BOND_YLD","YAS_YLD_FLAG=15","SETTLE_DT",Company_desc!$D$1))</f>
        <v/>
      </c>
      <c r="AA555" s="80">
        <f>IF($A555="","",_xll.BDP($A555&amp;" Corp","YAS_OAS_SPRD","SETTLE_DT",Company_desc!$D$1))</f>
        <v/>
      </c>
    </row>
    <row r="556">
      <c r="B556" s="75">
        <f>IF($A556="","",IFERROR(INDEX(Sheet1!$B:$B,MATCH($A556,Sheet1!$A:$A,0)),""))</f>
        <v/>
      </c>
      <c r="C556" s="75">
        <f>IF($A556="","",PROPER(_xll.BDP($A556&amp;" Corp","NAME")))</f>
        <v/>
      </c>
      <c r="D556" s="76">
        <f>IF($A556="","",_xll.BDP($A556&amp;" Corp","CPN"))</f>
        <v/>
      </c>
      <c r="E556" s="75">
        <f>IF($A556="","",_xll.BDP($A556&amp;" Corp","PAYMENT_RANK"))</f>
        <v/>
      </c>
      <c r="F556" s="100">
        <f>IF($A556="","",_xll.BDP($A556&amp;" Corp","MATURITY"))</f>
        <v/>
      </c>
      <c r="G556" s="75">
        <f>IF($A556="","",PROPER(_xll.BDP($A556&amp;" Corp","COUNTRY_FULL_NAME")))</f>
        <v/>
      </c>
      <c r="H556" s="75">
        <f>IF($A556="","",_xll.BDP($A556&amp;" Corp","INDUSTRY_SECTOR"))</f>
        <v/>
      </c>
      <c r="I556" s="101">
        <f>IF($A556="","",IFERROR(_xll.BDP($A556&amp;" Corp","MIN_PIECE")/1000,""))</f>
        <v/>
      </c>
      <c r="J556" s="31">
        <f>IF($A556="","",_xll.BDP($A556&amp;" Corp","PX_LAST"))</f>
        <v/>
      </c>
      <c r="K556" s="31">
        <f>IF($A556="","",_xll.BDP($A556&amp;" Corp","YAS_BOND_YLD","YAS_YLD_FLAG=15"))</f>
        <v/>
      </c>
      <c r="L556" s="31">
        <f>IF($A556="","",K556-_xll.BDP($A556&amp;" Corp","YAS_BOND_YLD","YAS_YLD_FLAG=15","SETTLE_DT",Company_desc!$A$1))</f>
        <v/>
      </c>
      <c r="M556" s="31">
        <f>IF($A556="","",K556-_xll.BDP($A556&amp;" Corp","YAS_BOND_YLD","YAS_YLD_FLAG=15","SETTLE_DT",Company_desc!$A$2))</f>
        <v/>
      </c>
      <c r="N556" s="79">
        <f>IF($A556="","",_xll.BDP($A556&amp;" Corp","YAS_OAS_SPRD"))</f>
        <v/>
      </c>
      <c r="O556" s="67">
        <f>IF($A556="","",_xll.BDP($A556&amp;" Corp","YAS_MOD_DUR"))</f>
        <v/>
      </c>
      <c r="P556" s="80">
        <f>IF($A556="","",IFERROR(INDEX(Sheet1!$P:$P,MATCH($A556,Sheet1!$A:$A,0)),""))</f>
        <v/>
      </c>
      <c r="Q556" s="75">
        <f>IF($A556="","",IFERROR(INDEX(Company_desc!$C:$C,MATCH($A556,Company_desc!$A:$A,0)),IFERROR(INDEX(Sheet1!$Q:$Q,MATCH($A556,Sheet1!$A:$A,0)),"")))</f>
        <v/>
      </c>
      <c r="R556" s="75">
        <f>IF($A556="","",_xll.BDP($A556&amp;" Corp","CRNCY"))</f>
        <v/>
      </c>
      <c r="S556" s="75">
        <f>IF($A556="","",IFERROR(INDEX(Sheet1!$S:$S,MATCH($A556,Sheet1!$A:$A,0)),""))</f>
        <v/>
      </c>
      <c r="T556" s="75">
        <f>IF($A556="","",IFERROR(INDEX(Sheet1!$T:$T,MATCH($A556,Sheet1!$A:$A,0)),_xll.BDP($A556&amp;" Corp","RTG_SP")))</f>
        <v/>
      </c>
      <c r="U556" s="75">
        <f>IF($A556="","",IFERROR(INDEX(Sheet1!$U:$U,MATCH($A556,Sheet1!$A:$A,0)),""))</f>
        <v/>
      </c>
      <c r="W556" s="81">
        <f>IF($A556="","",N556-_xll.BDP($A556&amp;" Corp","YAS_OAS_SPRD","SETTLE_DT",Company_desc!$A$1))</f>
        <v/>
      </c>
      <c r="X556" s="81">
        <f>IF($A556="","",N556-_xll.BDP($A556&amp;" Corp","YAS_OAS_SPRD","SETTLE_DT",Company_desc!$A$2))</f>
        <v/>
      </c>
      <c r="Y556" s="80">
        <f>IF($A556="","",N556-_xll.BDP($A556&amp;" Corp","YAS_OAS_SPRD","SETTLE_DT",Company_desc!$D$1))</f>
        <v/>
      </c>
      <c r="Z556" s="82">
        <f>IF($A556="","",K556-_xll.BDP($A556&amp;" Corp","YAS_BOND_YLD","YAS_YLD_FLAG=15","SETTLE_DT",Company_desc!$D$1))</f>
        <v/>
      </c>
      <c r="AA556" s="80">
        <f>IF($A556="","",_xll.BDP($A556&amp;" Corp","YAS_OAS_SPRD","SETTLE_DT",Company_desc!$D$1))</f>
        <v/>
      </c>
    </row>
    <row r="557">
      <c r="B557" s="75">
        <f>IF($A557="","",IFERROR(INDEX(Sheet1!$B:$B,MATCH($A557,Sheet1!$A:$A,0)),""))</f>
        <v/>
      </c>
      <c r="C557" s="75">
        <f>IF($A557="","",PROPER(_xll.BDP($A557&amp;" Corp","NAME")))</f>
        <v/>
      </c>
      <c r="D557" s="76">
        <f>IF($A557="","",_xll.BDP($A557&amp;" Corp","CPN"))</f>
        <v/>
      </c>
      <c r="E557" s="75">
        <f>IF($A557="","",_xll.BDP($A557&amp;" Corp","PAYMENT_RANK"))</f>
        <v/>
      </c>
      <c r="F557" s="100">
        <f>IF($A557="","",_xll.BDP($A557&amp;" Corp","MATURITY"))</f>
        <v/>
      </c>
      <c r="G557" s="75">
        <f>IF($A557="","",PROPER(_xll.BDP($A557&amp;" Corp","COUNTRY_FULL_NAME")))</f>
        <v/>
      </c>
      <c r="H557" s="75">
        <f>IF($A557="","",_xll.BDP($A557&amp;" Corp","INDUSTRY_SECTOR"))</f>
        <v/>
      </c>
      <c r="I557" s="101">
        <f>IF($A557="","",IFERROR(_xll.BDP($A557&amp;" Corp","MIN_PIECE")/1000,""))</f>
        <v/>
      </c>
      <c r="J557" s="31">
        <f>IF($A557="","",_xll.BDP($A557&amp;" Corp","PX_LAST"))</f>
        <v/>
      </c>
      <c r="K557" s="31">
        <f>IF($A557="","",_xll.BDP($A557&amp;" Corp","YAS_BOND_YLD","YAS_YLD_FLAG=15"))</f>
        <v/>
      </c>
      <c r="L557" s="31">
        <f>IF($A557="","",K557-_xll.BDP($A557&amp;" Corp","YAS_BOND_YLD","YAS_YLD_FLAG=15","SETTLE_DT",Company_desc!$A$1))</f>
        <v/>
      </c>
      <c r="M557" s="31">
        <f>IF($A557="","",K557-_xll.BDP($A557&amp;" Corp","YAS_BOND_YLD","YAS_YLD_FLAG=15","SETTLE_DT",Company_desc!$A$2))</f>
        <v/>
      </c>
      <c r="N557" s="79">
        <f>IF($A557="","",_xll.BDP($A557&amp;" Corp","YAS_OAS_SPRD"))</f>
        <v/>
      </c>
      <c r="O557" s="67">
        <f>IF($A557="","",_xll.BDP($A557&amp;" Corp","YAS_MOD_DUR"))</f>
        <v/>
      </c>
      <c r="P557" s="80">
        <f>IF($A557="","",IFERROR(INDEX(Sheet1!$P:$P,MATCH($A557,Sheet1!$A:$A,0)),""))</f>
        <v/>
      </c>
      <c r="Q557" s="75">
        <f>IF($A557="","",IFERROR(INDEX(Company_desc!$C:$C,MATCH($A557,Company_desc!$A:$A,0)),IFERROR(INDEX(Sheet1!$Q:$Q,MATCH($A557,Sheet1!$A:$A,0)),"")))</f>
        <v/>
      </c>
      <c r="R557" s="75">
        <f>IF($A557="","",_xll.BDP($A557&amp;" Corp","CRNCY"))</f>
        <v/>
      </c>
      <c r="S557" s="75">
        <f>IF($A557="","",IFERROR(INDEX(Sheet1!$S:$S,MATCH($A557,Sheet1!$A:$A,0)),""))</f>
        <v/>
      </c>
      <c r="T557" s="75">
        <f>IF($A557="","",IFERROR(INDEX(Sheet1!$T:$T,MATCH($A557,Sheet1!$A:$A,0)),_xll.BDP($A557&amp;" Corp","RTG_SP")))</f>
        <v/>
      </c>
      <c r="U557" s="75">
        <f>IF($A557="","",IFERROR(INDEX(Sheet1!$U:$U,MATCH($A557,Sheet1!$A:$A,0)),""))</f>
        <v/>
      </c>
      <c r="W557" s="81">
        <f>IF($A557="","",N557-_xll.BDP($A557&amp;" Corp","YAS_OAS_SPRD","SETTLE_DT",Company_desc!$A$1))</f>
        <v/>
      </c>
      <c r="X557" s="81">
        <f>IF($A557="","",N557-_xll.BDP($A557&amp;" Corp","YAS_OAS_SPRD","SETTLE_DT",Company_desc!$A$2))</f>
        <v/>
      </c>
      <c r="Y557" s="80">
        <f>IF($A557="","",N557-_xll.BDP($A557&amp;" Corp","YAS_OAS_SPRD","SETTLE_DT",Company_desc!$D$1))</f>
        <v/>
      </c>
      <c r="Z557" s="82">
        <f>IF($A557="","",K557-_xll.BDP($A557&amp;" Corp","YAS_BOND_YLD","YAS_YLD_FLAG=15","SETTLE_DT",Company_desc!$D$1))</f>
        <v/>
      </c>
      <c r="AA557" s="80">
        <f>IF($A557="","",_xll.BDP($A557&amp;" Corp","YAS_OAS_SPRD","SETTLE_DT",Company_desc!$D$1))</f>
        <v/>
      </c>
    </row>
    <row r="558">
      <c r="B558" s="75">
        <f>IF($A558="","",IFERROR(INDEX(Sheet1!$B:$B,MATCH($A558,Sheet1!$A:$A,0)),""))</f>
        <v/>
      </c>
      <c r="C558" s="75">
        <f>IF($A558="","",PROPER(_xll.BDP($A558&amp;" Corp","NAME")))</f>
        <v/>
      </c>
      <c r="D558" s="76">
        <f>IF($A558="","",_xll.BDP($A558&amp;" Corp","CPN"))</f>
        <v/>
      </c>
      <c r="E558" s="75">
        <f>IF($A558="","",_xll.BDP($A558&amp;" Corp","PAYMENT_RANK"))</f>
        <v/>
      </c>
      <c r="F558" s="100">
        <f>IF($A558="","",_xll.BDP($A558&amp;" Corp","MATURITY"))</f>
        <v/>
      </c>
      <c r="G558" s="75">
        <f>IF($A558="","",PROPER(_xll.BDP($A558&amp;" Corp","COUNTRY_FULL_NAME")))</f>
        <v/>
      </c>
      <c r="H558" s="75">
        <f>IF($A558="","",_xll.BDP($A558&amp;" Corp","INDUSTRY_SECTOR"))</f>
        <v/>
      </c>
      <c r="I558" s="101">
        <f>IF($A558="","",IFERROR(_xll.BDP($A558&amp;" Corp","MIN_PIECE")/1000,""))</f>
        <v/>
      </c>
      <c r="J558" s="31">
        <f>IF($A558="","",_xll.BDP($A558&amp;" Corp","PX_LAST"))</f>
        <v/>
      </c>
      <c r="K558" s="31">
        <f>IF($A558="","",_xll.BDP($A558&amp;" Corp","YAS_BOND_YLD","YAS_YLD_FLAG=15"))</f>
        <v/>
      </c>
      <c r="L558" s="31">
        <f>IF($A558="","",K558-_xll.BDP($A558&amp;" Corp","YAS_BOND_YLD","YAS_YLD_FLAG=15","SETTLE_DT",Company_desc!$A$1))</f>
        <v/>
      </c>
      <c r="M558" s="31">
        <f>IF($A558="","",K558-_xll.BDP($A558&amp;" Corp","YAS_BOND_YLD","YAS_YLD_FLAG=15","SETTLE_DT",Company_desc!$A$2))</f>
        <v/>
      </c>
      <c r="N558" s="79">
        <f>IF($A558="","",_xll.BDP($A558&amp;" Corp","YAS_OAS_SPRD"))</f>
        <v/>
      </c>
      <c r="O558" s="67">
        <f>IF($A558="","",_xll.BDP($A558&amp;" Corp","YAS_MOD_DUR"))</f>
        <v/>
      </c>
      <c r="P558" s="80">
        <f>IF($A558="","",IFERROR(INDEX(Sheet1!$P:$P,MATCH($A558,Sheet1!$A:$A,0)),""))</f>
        <v/>
      </c>
      <c r="Q558" s="75">
        <f>IF($A558="","",IFERROR(INDEX(Company_desc!$C:$C,MATCH($A558,Company_desc!$A:$A,0)),IFERROR(INDEX(Sheet1!$Q:$Q,MATCH($A558,Sheet1!$A:$A,0)),"")))</f>
        <v/>
      </c>
      <c r="R558" s="75">
        <f>IF($A558="","",_xll.BDP($A558&amp;" Corp","CRNCY"))</f>
        <v/>
      </c>
      <c r="S558" s="75">
        <f>IF($A558="","",IFERROR(INDEX(Sheet1!$S:$S,MATCH($A558,Sheet1!$A:$A,0)),""))</f>
        <v/>
      </c>
      <c r="T558" s="75">
        <f>IF($A558="","",IFERROR(INDEX(Sheet1!$T:$T,MATCH($A558,Sheet1!$A:$A,0)),_xll.BDP($A558&amp;" Corp","RTG_SP")))</f>
        <v/>
      </c>
      <c r="U558" s="75">
        <f>IF($A558="","",IFERROR(INDEX(Sheet1!$U:$U,MATCH($A558,Sheet1!$A:$A,0)),""))</f>
        <v/>
      </c>
      <c r="W558" s="81">
        <f>IF($A558="","",N558-_xll.BDP($A558&amp;" Corp","YAS_OAS_SPRD","SETTLE_DT",Company_desc!$A$1))</f>
        <v/>
      </c>
      <c r="X558" s="81">
        <f>IF($A558="","",N558-_xll.BDP($A558&amp;" Corp","YAS_OAS_SPRD","SETTLE_DT",Company_desc!$A$2))</f>
        <v/>
      </c>
      <c r="Y558" s="80">
        <f>IF($A558="","",N558-_xll.BDP($A558&amp;" Corp","YAS_OAS_SPRD","SETTLE_DT",Company_desc!$D$1))</f>
        <v/>
      </c>
      <c r="Z558" s="82">
        <f>IF($A558="","",K558-_xll.BDP($A558&amp;" Corp","YAS_BOND_YLD","YAS_YLD_FLAG=15","SETTLE_DT",Company_desc!$D$1))</f>
        <v/>
      </c>
      <c r="AA558" s="80">
        <f>IF($A558="","",_xll.BDP($A558&amp;" Corp","YAS_OAS_SPRD","SETTLE_DT",Company_desc!$D$1))</f>
        <v/>
      </c>
    </row>
    <row r="559">
      <c r="B559" s="75">
        <f>IF($A559="","",IFERROR(INDEX(Sheet1!$B:$B,MATCH($A559,Sheet1!$A:$A,0)),""))</f>
        <v/>
      </c>
      <c r="C559" s="75">
        <f>IF($A559="","",PROPER(_xll.BDP($A559&amp;" Corp","NAME")))</f>
        <v/>
      </c>
      <c r="D559" s="76">
        <f>IF($A559="","",_xll.BDP($A559&amp;" Corp","CPN"))</f>
        <v/>
      </c>
      <c r="E559" s="75">
        <f>IF($A559="","",_xll.BDP($A559&amp;" Corp","PAYMENT_RANK"))</f>
        <v/>
      </c>
      <c r="F559" s="100">
        <f>IF($A559="","",_xll.BDP($A559&amp;" Corp","MATURITY"))</f>
        <v/>
      </c>
      <c r="G559" s="75">
        <f>IF($A559="","",PROPER(_xll.BDP($A559&amp;" Corp","COUNTRY_FULL_NAME")))</f>
        <v/>
      </c>
      <c r="H559" s="75">
        <f>IF($A559="","",_xll.BDP($A559&amp;" Corp","INDUSTRY_SECTOR"))</f>
        <v/>
      </c>
      <c r="I559" s="101">
        <f>IF($A559="","",IFERROR(_xll.BDP($A559&amp;" Corp","MIN_PIECE")/1000,""))</f>
        <v/>
      </c>
      <c r="J559" s="31">
        <f>IF($A559="","",_xll.BDP($A559&amp;" Corp","PX_LAST"))</f>
        <v/>
      </c>
      <c r="K559" s="31">
        <f>IF($A559="","",_xll.BDP($A559&amp;" Corp","YAS_BOND_YLD","YAS_YLD_FLAG=15"))</f>
        <v/>
      </c>
      <c r="L559" s="31">
        <f>IF($A559="","",K559-_xll.BDP($A559&amp;" Corp","YAS_BOND_YLD","YAS_YLD_FLAG=15","SETTLE_DT",Company_desc!$A$1))</f>
        <v/>
      </c>
      <c r="M559" s="31">
        <f>IF($A559="","",K559-_xll.BDP($A559&amp;" Corp","YAS_BOND_YLD","YAS_YLD_FLAG=15","SETTLE_DT",Company_desc!$A$2))</f>
        <v/>
      </c>
      <c r="N559" s="79">
        <f>IF($A559="","",_xll.BDP($A559&amp;" Corp","YAS_OAS_SPRD"))</f>
        <v/>
      </c>
      <c r="O559" s="67">
        <f>IF($A559="","",_xll.BDP($A559&amp;" Corp","YAS_MOD_DUR"))</f>
        <v/>
      </c>
      <c r="P559" s="80">
        <f>IF($A559="","",IFERROR(INDEX(Sheet1!$P:$P,MATCH($A559,Sheet1!$A:$A,0)),""))</f>
        <v/>
      </c>
      <c r="Q559" s="75">
        <f>IF($A559="","",IFERROR(INDEX(Company_desc!$C:$C,MATCH($A559,Company_desc!$A:$A,0)),IFERROR(INDEX(Sheet1!$Q:$Q,MATCH($A559,Sheet1!$A:$A,0)),"")))</f>
        <v/>
      </c>
      <c r="R559" s="75">
        <f>IF($A559="","",_xll.BDP($A559&amp;" Corp","CRNCY"))</f>
        <v/>
      </c>
      <c r="S559" s="75">
        <f>IF($A559="","",IFERROR(INDEX(Sheet1!$S:$S,MATCH($A559,Sheet1!$A:$A,0)),""))</f>
        <v/>
      </c>
      <c r="T559" s="75">
        <f>IF($A559="","",IFERROR(INDEX(Sheet1!$T:$T,MATCH($A559,Sheet1!$A:$A,0)),_xll.BDP($A559&amp;" Corp","RTG_SP")))</f>
        <v/>
      </c>
      <c r="U559" s="75">
        <f>IF($A559="","",IFERROR(INDEX(Sheet1!$U:$U,MATCH($A559,Sheet1!$A:$A,0)),""))</f>
        <v/>
      </c>
      <c r="W559" s="81">
        <f>IF($A559="","",N559-_xll.BDP($A559&amp;" Corp","YAS_OAS_SPRD","SETTLE_DT",Company_desc!$A$1))</f>
        <v/>
      </c>
      <c r="X559" s="81">
        <f>IF($A559="","",N559-_xll.BDP($A559&amp;" Corp","YAS_OAS_SPRD","SETTLE_DT",Company_desc!$A$2))</f>
        <v/>
      </c>
      <c r="Y559" s="80">
        <f>IF($A559="","",N559-_xll.BDP($A559&amp;" Corp","YAS_OAS_SPRD","SETTLE_DT",Company_desc!$D$1))</f>
        <v/>
      </c>
      <c r="Z559" s="82">
        <f>IF($A559="","",K559-_xll.BDP($A559&amp;" Corp","YAS_BOND_YLD","YAS_YLD_FLAG=15","SETTLE_DT",Company_desc!$D$1))</f>
        <v/>
      </c>
      <c r="AA559" s="80">
        <f>IF($A559="","",_xll.BDP($A559&amp;" Corp","YAS_OAS_SPRD","SETTLE_DT",Company_desc!$D$1))</f>
        <v/>
      </c>
    </row>
    <row r="560">
      <c r="B560" s="75">
        <f>IF($A560="","",IFERROR(INDEX(Sheet1!$B:$B,MATCH($A560,Sheet1!$A:$A,0)),""))</f>
        <v/>
      </c>
      <c r="C560" s="75">
        <f>IF($A560="","",PROPER(_xll.BDP($A560&amp;" Corp","NAME")))</f>
        <v/>
      </c>
      <c r="D560" s="76">
        <f>IF($A560="","",_xll.BDP($A560&amp;" Corp","CPN"))</f>
        <v/>
      </c>
      <c r="E560" s="75">
        <f>IF($A560="","",_xll.BDP($A560&amp;" Corp","PAYMENT_RANK"))</f>
        <v/>
      </c>
      <c r="F560" s="100">
        <f>IF($A560="","",_xll.BDP($A560&amp;" Corp","MATURITY"))</f>
        <v/>
      </c>
      <c r="G560" s="75">
        <f>IF($A560="","",PROPER(_xll.BDP($A560&amp;" Corp","COUNTRY_FULL_NAME")))</f>
        <v/>
      </c>
      <c r="H560" s="75">
        <f>IF($A560="","",_xll.BDP($A560&amp;" Corp","INDUSTRY_SECTOR"))</f>
        <v/>
      </c>
      <c r="I560" s="101">
        <f>IF($A560="","",IFERROR(_xll.BDP($A560&amp;" Corp","MIN_PIECE")/1000,""))</f>
        <v/>
      </c>
      <c r="J560" s="31">
        <f>IF($A560="","",_xll.BDP($A560&amp;" Corp","PX_LAST"))</f>
        <v/>
      </c>
      <c r="K560" s="31">
        <f>IF($A560="","",_xll.BDP($A560&amp;" Corp","YAS_BOND_YLD","YAS_YLD_FLAG=15"))</f>
        <v/>
      </c>
      <c r="L560" s="31">
        <f>IF($A560="","",K560-_xll.BDP($A560&amp;" Corp","YAS_BOND_YLD","YAS_YLD_FLAG=15","SETTLE_DT",Company_desc!$A$1))</f>
        <v/>
      </c>
      <c r="M560" s="31">
        <f>IF($A560="","",K560-_xll.BDP($A560&amp;" Corp","YAS_BOND_YLD","YAS_YLD_FLAG=15","SETTLE_DT",Company_desc!$A$2))</f>
        <v/>
      </c>
      <c r="N560" s="79">
        <f>IF($A560="","",_xll.BDP($A560&amp;" Corp","YAS_OAS_SPRD"))</f>
        <v/>
      </c>
      <c r="O560" s="67">
        <f>IF($A560="","",_xll.BDP($A560&amp;" Corp","YAS_MOD_DUR"))</f>
        <v/>
      </c>
      <c r="P560" s="80">
        <f>IF($A560="","",IFERROR(INDEX(Sheet1!$P:$P,MATCH($A560,Sheet1!$A:$A,0)),""))</f>
        <v/>
      </c>
      <c r="Q560" s="75">
        <f>IF($A560="","",IFERROR(INDEX(Company_desc!$C:$C,MATCH($A560,Company_desc!$A:$A,0)),IFERROR(INDEX(Sheet1!$Q:$Q,MATCH($A560,Sheet1!$A:$A,0)),"")))</f>
        <v/>
      </c>
      <c r="R560" s="75">
        <f>IF($A560="","",_xll.BDP($A560&amp;" Corp","CRNCY"))</f>
        <v/>
      </c>
      <c r="S560" s="75">
        <f>IF($A560="","",IFERROR(INDEX(Sheet1!$S:$S,MATCH($A560,Sheet1!$A:$A,0)),""))</f>
        <v/>
      </c>
      <c r="T560" s="75">
        <f>IF($A560="","",IFERROR(INDEX(Sheet1!$T:$T,MATCH($A560,Sheet1!$A:$A,0)),_xll.BDP($A560&amp;" Corp","RTG_SP")))</f>
        <v/>
      </c>
      <c r="U560" s="75">
        <f>IF($A560="","",IFERROR(INDEX(Sheet1!$U:$U,MATCH($A560,Sheet1!$A:$A,0)),""))</f>
        <v/>
      </c>
      <c r="W560" s="81">
        <f>IF($A560="","",N560-_xll.BDP($A560&amp;" Corp","YAS_OAS_SPRD","SETTLE_DT",Company_desc!$A$1))</f>
        <v/>
      </c>
      <c r="X560" s="81">
        <f>IF($A560="","",N560-_xll.BDP($A560&amp;" Corp","YAS_OAS_SPRD","SETTLE_DT",Company_desc!$A$2))</f>
        <v/>
      </c>
      <c r="Y560" s="80">
        <f>IF($A560="","",N560-_xll.BDP($A560&amp;" Corp","YAS_OAS_SPRD","SETTLE_DT",Company_desc!$D$1))</f>
        <v/>
      </c>
      <c r="Z560" s="82">
        <f>IF($A560="","",K560-_xll.BDP($A560&amp;" Corp","YAS_BOND_YLD","YAS_YLD_FLAG=15","SETTLE_DT",Company_desc!$D$1))</f>
        <v/>
      </c>
      <c r="AA560" s="80">
        <f>IF($A560="","",_xll.BDP($A560&amp;" Corp","YAS_OAS_SPRD","SETTLE_DT",Company_desc!$D$1))</f>
        <v/>
      </c>
    </row>
    <row r="561">
      <c r="B561" s="75">
        <f>IF($A561="","",IFERROR(INDEX(Sheet1!$B:$B,MATCH($A561,Sheet1!$A:$A,0)),""))</f>
        <v/>
      </c>
      <c r="C561" s="75">
        <f>IF($A561="","",PROPER(_xll.BDP($A561&amp;" Corp","NAME")))</f>
        <v/>
      </c>
      <c r="D561" s="76">
        <f>IF($A561="","",_xll.BDP($A561&amp;" Corp","CPN"))</f>
        <v/>
      </c>
      <c r="E561" s="75">
        <f>IF($A561="","",_xll.BDP($A561&amp;" Corp","PAYMENT_RANK"))</f>
        <v/>
      </c>
      <c r="F561" s="100">
        <f>IF($A561="","",_xll.BDP($A561&amp;" Corp","MATURITY"))</f>
        <v/>
      </c>
      <c r="G561" s="75">
        <f>IF($A561="","",PROPER(_xll.BDP($A561&amp;" Corp","COUNTRY_FULL_NAME")))</f>
        <v/>
      </c>
      <c r="H561" s="75">
        <f>IF($A561="","",_xll.BDP($A561&amp;" Corp","INDUSTRY_SECTOR"))</f>
        <v/>
      </c>
      <c r="I561" s="101">
        <f>IF($A561="","",IFERROR(_xll.BDP($A561&amp;" Corp","MIN_PIECE")/1000,""))</f>
        <v/>
      </c>
      <c r="J561" s="31">
        <f>IF($A561="","",_xll.BDP($A561&amp;" Corp","PX_LAST"))</f>
        <v/>
      </c>
      <c r="K561" s="31">
        <f>IF($A561="","",_xll.BDP($A561&amp;" Corp","YAS_BOND_YLD","YAS_YLD_FLAG=15"))</f>
        <v/>
      </c>
      <c r="L561" s="31">
        <f>IF($A561="","",K561-_xll.BDP($A561&amp;" Corp","YAS_BOND_YLD","YAS_YLD_FLAG=15","SETTLE_DT",Company_desc!$A$1))</f>
        <v/>
      </c>
      <c r="M561" s="31">
        <f>IF($A561="","",K561-_xll.BDP($A561&amp;" Corp","YAS_BOND_YLD","YAS_YLD_FLAG=15","SETTLE_DT",Company_desc!$A$2))</f>
        <v/>
      </c>
      <c r="N561" s="79">
        <f>IF($A561="","",_xll.BDP($A561&amp;" Corp","YAS_OAS_SPRD"))</f>
        <v/>
      </c>
      <c r="O561" s="67">
        <f>IF($A561="","",_xll.BDP($A561&amp;" Corp","YAS_MOD_DUR"))</f>
        <v/>
      </c>
      <c r="P561" s="80">
        <f>IF($A561="","",IFERROR(INDEX(Sheet1!$P:$P,MATCH($A561,Sheet1!$A:$A,0)),""))</f>
        <v/>
      </c>
      <c r="Q561" s="75">
        <f>IF($A561="","",IFERROR(INDEX(Company_desc!$C:$C,MATCH($A561,Company_desc!$A:$A,0)),IFERROR(INDEX(Sheet1!$Q:$Q,MATCH($A561,Sheet1!$A:$A,0)),"")))</f>
        <v/>
      </c>
      <c r="R561" s="75">
        <f>IF($A561="","",_xll.BDP($A561&amp;" Corp","CRNCY"))</f>
        <v/>
      </c>
      <c r="S561" s="75">
        <f>IF($A561="","",IFERROR(INDEX(Sheet1!$S:$S,MATCH($A561,Sheet1!$A:$A,0)),""))</f>
        <v/>
      </c>
      <c r="T561" s="75">
        <f>IF($A561="","",IFERROR(INDEX(Sheet1!$T:$T,MATCH($A561,Sheet1!$A:$A,0)),_xll.BDP($A561&amp;" Corp","RTG_SP")))</f>
        <v/>
      </c>
      <c r="U561" s="75">
        <f>IF($A561="","",IFERROR(INDEX(Sheet1!$U:$U,MATCH($A561,Sheet1!$A:$A,0)),""))</f>
        <v/>
      </c>
      <c r="W561" s="81">
        <f>IF($A561="","",N561-_xll.BDP($A561&amp;" Corp","YAS_OAS_SPRD","SETTLE_DT",Company_desc!$A$1))</f>
        <v/>
      </c>
      <c r="X561" s="81">
        <f>IF($A561="","",N561-_xll.BDP($A561&amp;" Corp","YAS_OAS_SPRD","SETTLE_DT",Company_desc!$A$2))</f>
        <v/>
      </c>
      <c r="Y561" s="80">
        <f>IF($A561="","",N561-_xll.BDP($A561&amp;" Corp","YAS_OAS_SPRD","SETTLE_DT",Company_desc!$D$1))</f>
        <v/>
      </c>
      <c r="Z561" s="82">
        <f>IF($A561="","",K561-_xll.BDP($A561&amp;" Corp","YAS_BOND_YLD","YAS_YLD_FLAG=15","SETTLE_DT",Company_desc!$D$1))</f>
        <v/>
      </c>
      <c r="AA561" s="80">
        <f>IF($A561="","",_xll.BDP($A561&amp;" Corp","YAS_OAS_SPRD","SETTLE_DT",Company_desc!$D$1))</f>
        <v/>
      </c>
    </row>
    <row r="562">
      <c r="B562" s="28">
        <f>IF($A562="","",IFERROR(INDEX(Sheet1!$B:$B,MATCH($A562,Sheet1!$A:$A,0)),""))</f>
        <v/>
      </c>
      <c r="C562" s="29">
        <f>IF($A562="","",PROPER(_xll.BDP($A562&amp;" Corp","NAME")))</f>
        <v/>
      </c>
      <c r="D562" s="84">
        <f>IF($A562="","",_xll.BDP($A562&amp;" Corp","CPN"))</f>
        <v/>
      </c>
      <c r="E562" s="84">
        <f>IF($A562="","",_xll.BDP($A562&amp;" Corp","PAYMENT_RANK"))</f>
        <v/>
      </c>
      <c r="F562" s="102">
        <f>IF($A562="","",_xll.BDP($A562&amp;" Corp","MATURITY"))</f>
        <v/>
      </c>
      <c r="G562" s="43">
        <f>IF($A562="","",PROPER(_xll.BDP($A562&amp;" Corp","COUNTRY_FULL_NAME")))</f>
        <v/>
      </c>
      <c r="H562" s="29">
        <f>IF($A562="","",_xll.BDP($A562&amp;" Corp","INDUSTRY_SECTOR"))</f>
        <v/>
      </c>
      <c r="I562" s="103">
        <f>IF($A562="","",IFERROR(_xll.BDP($A562&amp;" Corp","MIN_PIECE")/1000,""))</f>
        <v/>
      </c>
      <c r="J562" s="31">
        <f>IF($A562="","",_xll.BDP($A562&amp;" Corp","PX_LAST"))</f>
        <v/>
      </c>
      <c r="K562" s="31">
        <f>IF($A562="","",_xll.BDP($A562&amp;" Corp","YAS_BOND_YLD","YAS_YLD_FLAG=15"))</f>
        <v/>
      </c>
      <c r="L562" s="31">
        <f>IF($A562="","",K562-_xll.BDP($A562&amp;" Corp","YAS_BOND_YLD","YAS_YLD_FLAG=15","SETTLE_DT",Company_desc!$A$1))</f>
        <v/>
      </c>
      <c r="M562" s="31">
        <f>IF($A562="","",K562-_xll.BDP($A562&amp;" Corp","YAS_BOND_YLD","YAS_YLD_FLAG=15","SETTLE_DT",Company_desc!$A$2))</f>
        <v/>
      </c>
      <c r="N562" s="79">
        <f>IF($A562="","",_xll.BDP($A562&amp;" Corp","YAS_OAS_SPRD"))</f>
        <v/>
      </c>
      <c r="O562" s="67">
        <f>IF($A562="","",_xll.BDP($A562&amp;" Corp","YAS_MOD_DUR"))</f>
        <v/>
      </c>
      <c r="P562" s="79">
        <f>IF($A562="","",IFERROR(INDEX(Sheet1!$P:$P,MATCH($A562,Sheet1!$A:$A,0)),""))</f>
        <v/>
      </c>
      <c r="Q562" s="27">
        <f>IF($A562="","",IFERROR(INDEX(Company_desc!$C:$C,MATCH($A562,Company_desc!$A:$A,0)),IFERROR(INDEX(Sheet1!$Q:$Q,MATCH($A562,Sheet1!$A:$A,0)),"")))</f>
        <v/>
      </c>
      <c r="R562" s="27">
        <f>IF($A562="","",_xll.BDP($A562&amp;" Corp","CRNCY"))</f>
        <v/>
      </c>
      <c r="S562" s="27">
        <f>IF($A562="","",IFERROR(INDEX(Sheet1!$S:$S,MATCH($A562,Sheet1!$A:$A,0)),""))</f>
        <v/>
      </c>
      <c r="T562" s="47">
        <f>IF($A562="","",IFERROR(INDEX(Sheet1!$T:$T,MATCH($A562,Sheet1!$A:$A,0)),_xll.BDP($A562&amp;" Corp","RTG_SP")))</f>
        <v/>
      </c>
      <c r="U562" s="75">
        <f>IF($A562="","",IFERROR(INDEX(Sheet1!$U:$U,MATCH($A562,Sheet1!$A:$A,0)),""))</f>
        <v/>
      </c>
      <c r="W562" s="81">
        <f>IF($A562="","",N562-_xll.BDP($A562&amp;" Corp","YAS_OAS_SPRD","SETTLE_DT",Company_desc!$A$1))</f>
        <v/>
      </c>
      <c r="X562" s="81">
        <f>IF($A562="","",N562-_xll.BDP($A562&amp;" Corp","YAS_OAS_SPRD","SETTLE_DT",Company_desc!$A$2))</f>
        <v/>
      </c>
      <c r="Y562" s="80">
        <f>IF($A562="","",N562-_xll.BDP($A562&amp;" Corp","YAS_OAS_SPRD","SETTLE_DT",Company_desc!$D$1))</f>
        <v/>
      </c>
      <c r="Z562" s="82">
        <f>IF($A562="","",K562-_xll.BDP($A562&amp;" Corp","YAS_BOND_YLD","YAS_YLD_FLAG=15","SETTLE_DT",Company_desc!$D$1))</f>
        <v/>
      </c>
      <c r="AA562" s="80">
        <f>IF($A562="","",_xll.BDP($A562&amp;" Corp","YAS_OAS_SPRD","SETTLE_DT",Company_desc!$D$1))</f>
        <v/>
      </c>
    </row>
    <row r="563">
      <c r="B563" s="75">
        <f>IF($A563="","",IFERROR(INDEX(Sheet1!$B:$B,MATCH($A563,Sheet1!$A:$A,0)),""))</f>
        <v/>
      </c>
      <c r="C563" s="75">
        <f>IF($A563="","",PROPER(_xll.BDP($A563&amp;" Corp","NAME")))</f>
        <v/>
      </c>
      <c r="D563" s="76">
        <f>IF($A563="","",_xll.BDP($A563&amp;" Corp","CPN"))</f>
        <v/>
      </c>
      <c r="E563" s="75">
        <f>IF($A563="","",_xll.BDP($A563&amp;" Corp","PAYMENT_RANK"))</f>
        <v/>
      </c>
      <c r="F563" s="100">
        <f>IF($A563="","",_xll.BDP($A563&amp;" Corp","MATURITY"))</f>
        <v/>
      </c>
      <c r="G563" s="75">
        <f>IF($A563="","",PROPER(_xll.BDP($A563&amp;" Corp","COUNTRY_FULL_NAME")))</f>
        <v/>
      </c>
      <c r="H563" s="75">
        <f>IF($A563="","",_xll.BDP($A563&amp;" Corp","INDUSTRY_SECTOR"))</f>
        <v/>
      </c>
      <c r="I563" s="101">
        <f>IF($A563="","",IFERROR(_xll.BDP($A563&amp;" Corp","MIN_PIECE")/1000,""))</f>
        <v/>
      </c>
      <c r="J563" s="31">
        <f>IF($A563="","",_xll.BDP($A563&amp;" Corp","PX_LAST"))</f>
        <v/>
      </c>
      <c r="K563" s="31">
        <f>IF($A563="","",_xll.BDP($A563&amp;" Corp","YAS_BOND_YLD","YAS_YLD_FLAG=15"))</f>
        <v/>
      </c>
      <c r="L563" s="31">
        <f>IF($A563="","",K563-_xll.BDP($A563&amp;" Corp","YAS_BOND_YLD","YAS_YLD_FLAG=15","SETTLE_DT",Company_desc!$A$1))</f>
        <v/>
      </c>
      <c r="M563" s="31">
        <f>IF($A563="","",K563-_xll.BDP($A563&amp;" Corp","YAS_BOND_YLD","YAS_YLD_FLAG=15","SETTLE_DT",Company_desc!$A$2))</f>
        <v/>
      </c>
      <c r="N563" s="79">
        <f>IF($A563="","",_xll.BDP($A563&amp;" Corp","YAS_OAS_SPRD"))</f>
        <v/>
      </c>
      <c r="O563" s="67">
        <f>IF($A563="","",_xll.BDP($A563&amp;" Corp","YAS_MOD_DUR"))</f>
        <v/>
      </c>
      <c r="P563" s="80">
        <f>IF($A563="","",IFERROR(INDEX(Sheet1!$P:$P,MATCH($A563,Sheet1!$A:$A,0)),""))</f>
        <v/>
      </c>
      <c r="Q563" s="75">
        <f>IF($A563="","",IFERROR(INDEX(Company_desc!$C:$C,MATCH($A563,Company_desc!$A:$A,0)),IFERROR(INDEX(Sheet1!$Q:$Q,MATCH($A563,Sheet1!$A:$A,0)),"")))</f>
        <v/>
      </c>
      <c r="R563" s="75">
        <f>IF($A563="","",_xll.BDP($A563&amp;" Corp","CRNCY"))</f>
        <v/>
      </c>
      <c r="S563" s="75">
        <f>IF($A563="","",IFERROR(INDEX(Sheet1!$S:$S,MATCH($A563,Sheet1!$A:$A,0)),""))</f>
        <v/>
      </c>
      <c r="T563" s="75">
        <f>IF($A563="","",IFERROR(INDEX(Sheet1!$T:$T,MATCH($A563,Sheet1!$A:$A,0)),_xll.BDP($A563&amp;" Corp","RTG_SP")))</f>
        <v/>
      </c>
      <c r="U563" s="75">
        <f>IF($A563="","",IFERROR(INDEX(Sheet1!$U:$U,MATCH($A563,Sheet1!$A:$A,0)),""))</f>
        <v/>
      </c>
      <c r="W563" s="81">
        <f>IF($A563="","",N563-_xll.BDP($A563&amp;" Corp","YAS_OAS_SPRD","SETTLE_DT",Company_desc!$A$1))</f>
        <v/>
      </c>
      <c r="X563" s="81">
        <f>IF($A563="","",N563-_xll.BDP($A563&amp;" Corp","YAS_OAS_SPRD","SETTLE_DT",Company_desc!$A$2))</f>
        <v/>
      </c>
      <c r="Y563" s="80">
        <f>IF($A563="","",N563-_xll.BDP($A563&amp;" Corp","YAS_OAS_SPRD","SETTLE_DT",Company_desc!$D$1))</f>
        <v/>
      </c>
      <c r="Z563" s="82">
        <f>IF($A563="","",K563-_xll.BDP($A563&amp;" Corp","YAS_BOND_YLD","YAS_YLD_FLAG=15","SETTLE_DT",Company_desc!$D$1))</f>
        <v/>
      </c>
      <c r="AA563" s="80">
        <f>IF($A563="","",_xll.BDP($A563&amp;" Corp","YAS_OAS_SPRD","SETTLE_DT",Company_desc!$D$1))</f>
        <v/>
      </c>
    </row>
    <row r="564">
      <c r="B564" s="75">
        <f>IF($A564="","",IFERROR(INDEX(Sheet1!$B:$B,MATCH($A564,Sheet1!$A:$A,0)),""))</f>
        <v/>
      </c>
      <c r="C564" s="75">
        <f>IF($A564="","",PROPER(_xll.BDP($A564&amp;" Corp","NAME")))</f>
        <v/>
      </c>
      <c r="D564" s="76">
        <f>IF($A564="","",_xll.BDP($A564&amp;" Corp","CPN"))</f>
        <v/>
      </c>
      <c r="E564" s="75">
        <f>IF($A564="","",_xll.BDP($A564&amp;" Corp","PAYMENT_RANK"))</f>
        <v/>
      </c>
      <c r="F564" s="100">
        <f>IF($A564="","",_xll.BDP($A564&amp;" Corp","MATURITY"))</f>
        <v/>
      </c>
      <c r="G564" s="75">
        <f>IF($A564="","",PROPER(_xll.BDP($A564&amp;" Corp","COUNTRY_FULL_NAME")))</f>
        <v/>
      </c>
      <c r="H564" s="75">
        <f>IF($A564="","",_xll.BDP($A564&amp;" Corp","INDUSTRY_SECTOR"))</f>
        <v/>
      </c>
      <c r="I564" s="101">
        <f>IF($A564="","",IFERROR(_xll.BDP($A564&amp;" Corp","MIN_PIECE")/1000,""))</f>
        <v/>
      </c>
      <c r="J564" s="31">
        <f>IF($A564="","",_xll.BDP($A564&amp;" Corp","PX_LAST"))</f>
        <v/>
      </c>
      <c r="K564" s="31">
        <f>IF($A564="","",_xll.BDP($A564&amp;" Corp","YAS_BOND_YLD","YAS_YLD_FLAG=15"))</f>
        <v/>
      </c>
      <c r="L564" s="31">
        <f>IF($A564="","",K564-_xll.BDP($A564&amp;" Corp","YAS_BOND_YLD","YAS_YLD_FLAG=15","SETTLE_DT",Company_desc!$A$1))</f>
        <v/>
      </c>
      <c r="M564" s="31">
        <f>IF($A564="","",K564-_xll.BDP($A564&amp;" Corp","YAS_BOND_YLD","YAS_YLD_FLAG=15","SETTLE_DT",Company_desc!$A$2))</f>
        <v/>
      </c>
      <c r="N564" s="79">
        <f>IF($A564="","",_xll.BDP($A564&amp;" Corp","YAS_OAS_SPRD"))</f>
        <v/>
      </c>
      <c r="O564" s="67">
        <f>IF($A564="","",_xll.BDP($A564&amp;" Corp","YAS_MOD_DUR"))</f>
        <v/>
      </c>
      <c r="P564" s="80">
        <f>IF($A564="","",IFERROR(INDEX(Sheet1!$P:$P,MATCH($A564,Sheet1!$A:$A,0)),""))</f>
        <v/>
      </c>
      <c r="Q564" s="75">
        <f>IF($A564="","",IFERROR(INDEX(Company_desc!$C:$C,MATCH($A564,Company_desc!$A:$A,0)),IFERROR(INDEX(Sheet1!$Q:$Q,MATCH($A564,Sheet1!$A:$A,0)),"")))</f>
        <v/>
      </c>
      <c r="R564" s="75">
        <f>IF($A564="","",_xll.BDP($A564&amp;" Corp","CRNCY"))</f>
        <v/>
      </c>
      <c r="S564" s="75">
        <f>IF($A564="","",IFERROR(INDEX(Sheet1!$S:$S,MATCH($A564,Sheet1!$A:$A,0)),""))</f>
        <v/>
      </c>
      <c r="T564" s="75">
        <f>IF($A564="","",IFERROR(INDEX(Sheet1!$T:$T,MATCH($A564,Sheet1!$A:$A,0)),_xll.BDP($A564&amp;" Corp","RTG_SP")))</f>
        <v/>
      </c>
      <c r="U564" s="75">
        <f>IF($A564="","",IFERROR(INDEX(Sheet1!$U:$U,MATCH($A564,Sheet1!$A:$A,0)),""))</f>
        <v/>
      </c>
      <c r="W564" s="81">
        <f>IF($A564="","",N564-_xll.BDP($A564&amp;" Corp","YAS_OAS_SPRD","SETTLE_DT",Company_desc!$A$1))</f>
        <v/>
      </c>
      <c r="X564" s="81">
        <f>IF($A564="","",N564-_xll.BDP($A564&amp;" Corp","YAS_OAS_SPRD","SETTLE_DT",Company_desc!$A$2))</f>
        <v/>
      </c>
      <c r="Y564" s="80">
        <f>IF($A564="","",N564-_xll.BDP($A564&amp;" Corp","YAS_OAS_SPRD","SETTLE_DT",Company_desc!$D$1))</f>
        <v/>
      </c>
      <c r="Z564" s="82">
        <f>IF($A564="","",K564-_xll.BDP($A564&amp;" Corp","YAS_BOND_YLD","YAS_YLD_FLAG=15","SETTLE_DT",Company_desc!$D$1))</f>
        <v/>
      </c>
      <c r="AA564" s="80">
        <f>IF($A564="","",_xll.BDP($A564&amp;" Corp","YAS_OAS_SPRD","SETTLE_DT",Company_desc!$D$1))</f>
        <v/>
      </c>
    </row>
    <row r="565">
      <c r="B565" s="28">
        <f>IF($A565="","",IFERROR(INDEX(Sheet1!$B:$B,MATCH($A565,Sheet1!$A:$A,0)),""))</f>
        <v/>
      </c>
      <c r="C565" s="29">
        <f>IF($A565="","",PROPER(_xll.BDP($A565&amp;" Corp","NAME")))</f>
        <v/>
      </c>
      <c r="D565" s="84">
        <f>IF($A565="","",_xll.BDP($A565&amp;" Corp","CPN"))</f>
        <v/>
      </c>
      <c r="E565" s="84">
        <f>IF($A565="","",_xll.BDP($A565&amp;" Corp","PAYMENT_RANK"))</f>
        <v/>
      </c>
      <c r="F565" s="102">
        <f>IF($A565="","",_xll.BDP($A565&amp;" Corp","MATURITY"))</f>
        <v/>
      </c>
      <c r="G565" s="43">
        <f>IF($A565="","",PROPER(_xll.BDP($A565&amp;" Corp","COUNTRY_FULL_NAME")))</f>
        <v/>
      </c>
      <c r="H565" s="29">
        <f>IF($A565="","",_xll.BDP($A565&amp;" Corp","INDUSTRY_SECTOR"))</f>
        <v/>
      </c>
      <c r="I565" s="103">
        <f>IF($A565="","",IFERROR(_xll.BDP($A565&amp;" Corp","MIN_PIECE")/1000,""))</f>
        <v/>
      </c>
      <c r="J565" s="31">
        <f>IF($A565="","",_xll.BDP($A565&amp;" Corp","PX_LAST"))</f>
        <v/>
      </c>
      <c r="K565" s="31">
        <f>IF($A565="","",_xll.BDP($A565&amp;" Corp","YAS_BOND_YLD","YAS_YLD_FLAG=15"))</f>
        <v/>
      </c>
      <c r="L565" s="31">
        <f>IF($A565="","",K565-_xll.BDP($A565&amp;" Corp","YAS_BOND_YLD","YAS_YLD_FLAG=15","SETTLE_DT",Company_desc!$A$1))</f>
        <v/>
      </c>
      <c r="M565" s="31">
        <f>IF($A565="","",K565-_xll.BDP($A565&amp;" Corp","YAS_BOND_YLD","YAS_YLD_FLAG=15","SETTLE_DT",Company_desc!$A$2))</f>
        <v/>
      </c>
      <c r="N565" s="79">
        <f>IF($A565="","",_xll.BDP($A565&amp;" Corp","YAS_OAS_SPRD"))</f>
        <v/>
      </c>
      <c r="O565" s="67">
        <f>IF($A565="","",_xll.BDP($A565&amp;" Corp","YAS_MOD_DUR"))</f>
        <v/>
      </c>
      <c r="P565" s="79">
        <f>IF($A565="","",IFERROR(INDEX(Sheet1!$P:$P,MATCH($A565,Sheet1!$A:$A,0)),""))</f>
        <v/>
      </c>
      <c r="Q565" s="27">
        <f>IF($A565="","",IFERROR(INDEX(Company_desc!$C:$C,MATCH($A565,Company_desc!$A:$A,0)),IFERROR(INDEX(Sheet1!$Q:$Q,MATCH($A565,Sheet1!$A:$A,0)),"")))</f>
        <v/>
      </c>
      <c r="R565" s="27">
        <f>IF($A565="","",_xll.BDP($A565&amp;" Corp","CRNCY"))</f>
        <v/>
      </c>
      <c r="S565" s="27">
        <f>IF($A565="","",IFERROR(INDEX(Sheet1!$S:$S,MATCH($A565,Sheet1!$A:$A,0)),""))</f>
        <v/>
      </c>
      <c r="T565" s="47">
        <f>IF($A565="","",IFERROR(INDEX(Sheet1!$T:$T,MATCH($A565,Sheet1!$A:$A,0)),_xll.BDP($A565&amp;" Corp","RTG_SP")))</f>
        <v/>
      </c>
      <c r="U565" s="75">
        <f>IF($A565="","",IFERROR(INDEX(Sheet1!$U:$U,MATCH($A565,Sheet1!$A:$A,0)),""))</f>
        <v/>
      </c>
      <c r="W565" s="81">
        <f>IF($A565="","",N565-_xll.BDP($A565&amp;" Corp","YAS_OAS_SPRD","SETTLE_DT",Company_desc!$A$1))</f>
        <v/>
      </c>
      <c r="X565" s="81">
        <f>IF($A565="","",N565-_xll.BDP($A565&amp;" Corp","YAS_OAS_SPRD","SETTLE_DT",Company_desc!$A$2))</f>
        <v/>
      </c>
      <c r="Y565" s="80">
        <f>IF($A565="","",N565-_xll.BDP($A565&amp;" Corp","YAS_OAS_SPRD","SETTLE_DT",Company_desc!$D$1))</f>
        <v/>
      </c>
      <c r="Z565" s="82">
        <f>IF($A565="","",K565-_xll.BDP($A565&amp;" Corp","YAS_BOND_YLD","YAS_YLD_FLAG=15","SETTLE_DT",Company_desc!$D$1))</f>
        <v/>
      </c>
      <c r="AA565" s="80">
        <f>IF($A565="","",_xll.BDP($A565&amp;" Corp","YAS_OAS_SPRD","SETTLE_DT",Company_desc!$D$1))</f>
        <v/>
      </c>
    </row>
    <row r="566">
      <c r="B566" s="75">
        <f>IF($A566="","",IFERROR(INDEX(Sheet1!$B:$B,MATCH($A566,Sheet1!$A:$A,0)),""))</f>
        <v/>
      </c>
      <c r="C566" s="75">
        <f>IF($A566="","",PROPER(_xll.BDP($A566&amp;" Corp","NAME")))</f>
        <v/>
      </c>
      <c r="D566" s="76">
        <f>IF($A566="","",_xll.BDP($A566&amp;" Corp","CPN"))</f>
        <v/>
      </c>
      <c r="E566" s="75">
        <f>IF($A566="","",_xll.BDP($A566&amp;" Corp","PAYMENT_RANK"))</f>
        <v/>
      </c>
      <c r="F566" s="100">
        <f>IF($A566="","",_xll.BDP($A566&amp;" Corp","MATURITY"))</f>
        <v/>
      </c>
      <c r="G566" s="75">
        <f>IF($A566="","",PROPER(_xll.BDP($A566&amp;" Corp","COUNTRY_FULL_NAME")))</f>
        <v/>
      </c>
      <c r="H566" s="75">
        <f>IF($A566="","",_xll.BDP($A566&amp;" Corp","INDUSTRY_SECTOR"))</f>
        <v/>
      </c>
      <c r="I566" s="101">
        <f>IF($A566="","",IFERROR(_xll.BDP($A566&amp;" Corp","MIN_PIECE")/1000,""))</f>
        <v/>
      </c>
      <c r="J566" s="31">
        <f>IF($A566="","",_xll.BDP($A566&amp;" Corp","PX_LAST"))</f>
        <v/>
      </c>
      <c r="K566" s="31">
        <f>IF($A566="","",_xll.BDP($A566&amp;" Corp","YAS_BOND_YLD","YAS_YLD_FLAG=15"))</f>
        <v/>
      </c>
      <c r="L566" s="31">
        <f>IF($A566="","",K566-_xll.BDP($A566&amp;" Corp","YAS_BOND_YLD","YAS_YLD_FLAG=15","SETTLE_DT",Company_desc!$A$1))</f>
        <v/>
      </c>
      <c r="M566" s="31">
        <f>IF($A566="","",K566-_xll.BDP($A566&amp;" Corp","YAS_BOND_YLD","YAS_YLD_FLAG=15","SETTLE_DT",Company_desc!$A$2))</f>
        <v/>
      </c>
      <c r="N566" s="79">
        <f>IF($A566="","",_xll.BDP($A566&amp;" Corp","YAS_OAS_SPRD"))</f>
        <v/>
      </c>
      <c r="O566" s="67">
        <f>IF($A566="","",_xll.BDP($A566&amp;" Corp","YAS_MOD_DUR"))</f>
        <v/>
      </c>
      <c r="P566" s="80">
        <f>IF($A566="","",IFERROR(INDEX(Sheet1!$P:$P,MATCH($A566,Sheet1!$A:$A,0)),""))</f>
        <v/>
      </c>
      <c r="Q566" s="75">
        <f>IF($A566="","",IFERROR(INDEX(Company_desc!$C:$C,MATCH($A566,Company_desc!$A:$A,0)),IFERROR(INDEX(Sheet1!$Q:$Q,MATCH($A566,Sheet1!$A:$A,0)),"")))</f>
        <v/>
      </c>
      <c r="R566" s="75">
        <f>IF($A566="","",_xll.BDP($A566&amp;" Corp","CRNCY"))</f>
        <v/>
      </c>
      <c r="S566" s="75">
        <f>IF($A566="","",IFERROR(INDEX(Sheet1!$S:$S,MATCH($A566,Sheet1!$A:$A,0)),""))</f>
        <v/>
      </c>
      <c r="T566" s="75">
        <f>IF($A566="","",IFERROR(INDEX(Sheet1!$T:$T,MATCH($A566,Sheet1!$A:$A,0)),_xll.BDP($A566&amp;" Corp","RTG_SP")))</f>
        <v/>
      </c>
      <c r="U566" s="75">
        <f>IF($A566="","",IFERROR(INDEX(Sheet1!$U:$U,MATCH($A566,Sheet1!$A:$A,0)),""))</f>
        <v/>
      </c>
      <c r="W566" s="81">
        <f>IF($A566="","",N566-_xll.BDP($A566&amp;" Corp","YAS_OAS_SPRD","SETTLE_DT",Company_desc!$A$1))</f>
        <v/>
      </c>
      <c r="X566" s="81">
        <f>IF($A566="","",N566-_xll.BDP($A566&amp;" Corp","YAS_OAS_SPRD","SETTLE_DT",Company_desc!$A$2))</f>
        <v/>
      </c>
      <c r="Y566" s="80">
        <f>IF($A566="","",N566-_xll.BDP($A566&amp;" Corp","YAS_OAS_SPRD","SETTLE_DT",Company_desc!$D$1))</f>
        <v/>
      </c>
      <c r="Z566" s="82">
        <f>IF($A566="","",K566-_xll.BDP($A566&amp;" Corp","YAS_BOND_YLD","YAS_YLD_FLAG=15","SETTLE_DT",Company_desc!$D$1))</f>
        <v/>
      </c>
      <c r="AA566" s="80">
        <f>IF($A566="","",_xll.BDP($A566&amp;" Corp","YAS_OAS_SPRD","SETTLE_DT",Company_desc!$D$1))</f>
        <v/>
      </c>
    </row>
    <row r="567">
      <c r="B567" s="75">
        <f>IF($A567="","",IFERROR(INDEX(Sheet1!$B:$B,MATCH($A567,Sheet1!$A:$A,0)),""))</f>
        <v/>
      </c>
      <c r="C567" s="75">
        <f>IF($A567="","",PROPER(_xll.BDP($A567&amp;" Corp","NAME")))</f>
        <v/>
      </c>
      <c r="D567" s="76">
        <f>IF($A567="","",_xll.BDP($A567&amp;" Corp","CPN"))</f>
        <v/>
      </c>
      <c r="E567" s="75">
        <f>IF($A567="","",_xll.BDP($A567&amp;" Corp","PAYMENT_RANK"))</f>
        <v/>
      </c>
      <c r="F567" s="100">
        <f>IF($A567="","",_xll.BDP($A567&amp;" Corp","MATURITY"))</f>
        <v/>
      </c>
      <c r="G567" s="75">
        <f>IF($A567="","",PROPER(_xll.BDP($A567&amp;" Corp","COUNTRY_FULL_NAME")))</f>
        <v/>
      </c>
      <c r="H567" s="75">
        <f>IF($A567="","",_xll.BDP($A567&amp;" Corp","INDUSTRY_SECTOR"))</f>
        <v/>
      </c>
      <c r="I567" s="101">
        <f>IF($A567="","",IFERROR(_xll.BDP($A567&amp;" Corp","MIN_PIECE")/1000,""))</f>
        <v/>
      </c>
      <c r="J567" s="31">
        <f>IF($A567="","",_xll.BDP($A567&amp;" Corp","PX_LAST"))</f>
        <v/>
      </c>
      <c r="K567" s="31">
        <f>IF($A567="","",_xll.BDP($A567&amp;" Corp","YAS_BOND_YLD","YAS_YLD_FLAG=15"))</f>
        <v/>
      </c>
      <c r="L567" s="31">
        <f>IF($A567="","",K567-_xll.BDP($A567&amp;" Corp","YAS_BOND_YLD","YAS_YLD_FLAG=15","SETTLE_DT",Company_desc!$A$1))</f>
        <v/>
      </c>
      <c r="M567" s="31">
        <f>IF($A567="","",K567-_xll.BDP($A567&amp;" Corp","YAS_BOND_YLD","YAS_YLD_FLAG=15","SETTLE_DT",Company_desc!$A$2))</f>
        <v/>
      </c>
      <c r="N567" s="79">
        <f>IF($A567="","",_xll.BDP($A567&amp;" Corp","YAS_OAS_SPRD"))</f>
        <v/>
      </c>
      <c r="O567" s="67">
        <f>IF($A567="","",_xll.BDP($A567&amp;" Corp","YAS_MOD_DUR"))</f>
        <v/>
      </c>
      <c r="P567" s="80">
        <f>IF($A567="","",IFERROR(INDEX(Sheet1!$P:$P,MATCH($A567,Sheet1!$A:$A,0)),""))</f>
        <v/>
      </c>
      <c r="Q567" s="75">
        <f>IF($A567="","",IFERROR(INDEX(Company_desc!$C:$C,MATCH($A567,Company_desc!$A:$A,0)),IFERROR(INDEX(Sheet1!$Q:$Q,MATCH($A567,Sheet1!$A:$A,0)),"")))</f>
        <v/>
      </c>
      <c r="R567" s="75">
        <f>IF($A567="","",_xll.BDP($A567&amp;" Corp","CRNCY"))</f>
        <v/>
      </c>
      <c r="S567" s="75">
        <f>IF($A567="","",IFERROR(INDEX(Sheet1!$S:$S,MATCH($A567,Sheet1!$A:$A,0)),""))</f>
        <v/>
      </c>
      <c r="T567" s="75">
        <f>IF($A567="","",IFERROR(INDEX(Sheet1!$T:$T,MATCH($A567,Sheet1!$A:$A,0)),_xll.BDP($A567&amp;" Corp","RTG_SP")))</f>
        <v/>
      </c>
      <c r="U567" s="75">
        <f>IF($A567="","",IFERROR(INDEX(Sheet1!$U:$U,MATCH($A567,Sheet1!$A:$A,0)),""))</f>
        <v/>
      </c>
      <c r="W567" s="81">
        <f>IF($A567="","",N567-_xll.BDP($A567&amp;" Corp","YAS_OAS_SPRD","SETTLE_DT",Company_desc!$A$1))</f>
        <v/>
      </c>
      <c r="X567" s="81">
        <f>IF($A567="","",N567-_xll.BDP($A567&amp;" Corp","YAS_OAS_SPRD","SETTLE_DT",Company_desc!$A$2))</f>
        <v/>
      </c>
      <c r="Y567" s="80">
        <f>IF($A567="","",N567-_xll.BDP($A567&amp;" Corp","YAS_OAS_SPRD","SETTLE_DT",Company_desc!$D$1))</f>
        <v/>
      </c>
      <c r="Z567" s="82">
        <f>IF($A567="","",K567-_xll.BDP($A567&amp;" Corp","YAS_BOND_YLD","YAS_YLD_FLAG=15","SETTLE_DT",Company_desc!$D$1))</f>
        <v/>
      </c>
      <c r="AA567" s="80">
        <f>IF($A567="","",_xll.BDP($A567&amp;" Corp","YAS_OAS_SPRD","SETTLE_DT",Company_desc!$D$1))</f>
        <v/>
      </c>
    </row>
    <row r="568">
      <c r="B568" s="75">
        <f>IF($A568="","",IFERROR(INDEX(Sheet1!$B:$B,MATCH($A568,Sheet1!$A:$A,0)),""))</f>
        <v/>
      </c>
      <c r="C568" s="75">
        <f>IF($A568="","",PROPER(_xll.BDP($A568&amp;" Corp","NAME")))</f>
        <v/>
      </c>
      <c r="D568" s="76">
        <f>IF($A568="","",_xll.BDP($A568&amp;" Corp","CPN"))</f>
        <v/>
      </c>
      <c r="E568" s="75">
        <f>IF($A568="","",_xll.BDP($A568&amp;" Corp","PAYMENT_RANK"))</f>
        <v/>
      </c>
      <c r="F568" s="100">
        <f>IF($A568="","",_xll.BDP($A568&amp;" Corp","MATURITY"))</f>
        <v/>
      </c>
      <c r="G568" s="75">
        <f>IF($A568="","",PROPER(_xll.BDP($A568&amp;" Corp","COUNTRY_FULL_NAME")))</f>
        <v/>
      </c>
      <c r="H568" s="75">
        <f>IF($A568="","",_xll.BDP($A568&amp;" Corp","INDUSTRY_SECTOR"))</f>
        <v/>
      </c>
      <c r="I568" s="101">
        <f>IF($A568="","",IFERROR(_xll.BDP($A568&amp;" Corp","MIN_PIECE")/1000,""))</f>
        <v/>
      </c>
      <c r="J568" s="31">
        <f>IF($A568="","",_xll.BDP($A568&amp;" Corp","PX_LAST"))</f>
        <v/>
      </c>
      <c r="K568" s="31">
        <f>IF($A568="","",_xll.BDP($A568&amp;" Corp","YAS_BOND_YLD","YAS_YLD_FLAG=15"))</f>
        <v/>
      </c>
      <c r="L568" s="31">
        <f>IF($A568="","",K568-_xll.BDP($A568&amp;" Corp","YAS_BOND_YLD","YAS_YLD_FLAG=15","SETTLE_DT",Company_desc!$A$1))</f>
        <v/>
      </c>
      <c r="M568" s="31">
        <f>IF($A568="","",K568-_xll.BDP($A568&amp;" Corp","YAS_BOND_YLD","YAS_YLD_FLAG=15","SETTLE_DT",Company_desc!$A$2))</f>
        <v/>
      </c>
      <c r="N568" s="79">
        <f>IF($A568="","",_xll.BDP($A568&amp;" Corp","YAS_OAS_SPRD"))</f>
        <v/>
      </c>
      <c r="O568" s="67">
        <f>IF($A568="","",_xll.BDP($A568&amp;" Corp","YAS_MOD_DUR"))</f>
        <v/>
      </c>
      <c r="P568" s="80">
        <f>IF($A568="","",IFERROR(INDEX(Sheet1!$P:$P,MATCH($A568,Sheet1!$A:$A,0)),""))</f>
        <v/>
      </c>
      <c r="Q568" s="75">
        <f>IF($A568="","",IFERROR(INDEX(Company_desc!$C:$C,MATCH($A568,Company_desc!$A:$A,0)),IFERROR(INDEX(Sheet1!$Q:$Q,MATCH($A568,Sheet1!$A:$A,0)),"")))</f>
        <v/>
      </c>
      <c r="R568" s="75">
        <f>IF($A568="","",_xll.BDP($A568&amp;" Corp","CRNCY"))</f>
        <v/>
      </c>
      <c r="S568" s="75">
        <f>IF($A568="","",IFERROR(INDEX(Sheet1!$S:$S,MATCH($A568,Sheet1!$A:$A,0)),""))</f>
        <v/>
      </c>
      <c r="T568" s="75">
        <f>IF($A568="","",IFERROR(INDEX(Sheet1!$T:$T,MATCH($A568,Sheet1!$A:$A,0)),_xll.BDP($A568&amp;" Corp","RTG_SP")))</f>
        <v/>
      </c>
      <c r="U568" s="75">
        <f>IF($A568="","",IFERROR(INDEX(Sheet1!$U:$U,MATCH($A568,Sheet1!$A:$A,0)),""))</f>
        <v/>
      </c>
      <c r="W568" s="81">
        <f>IF($A568="","",N568-_xll.BDP($A568&amp;" Corp","YAS_OAS_SPRD","SETTLE_DT",Company_desc!$A$1))</f>
        <v/>
      </c>
      <c r="X568" s="81">
        <f>IF($A568="","",N568-_xll.BDP($A568&amp;" Corp","YAS_OAS_SPRD","SETTLE_DT",Company_desc!$A$2))</f>
        <v/>
      </c>
      <c r="Y568" s="80">
        <f>IF($A568="","",N568-_xll.BDP($A568&amp;" Corp","YAS_OAS_SPRD","SETTLE_DT",Company_desc!$D$1))</f>
        <v/>
      </c>
      <c r="Z568" s="82">
        <f>IF($A568="","",K568-_xll.BDP($A568&amp;" Corp","YAS_BOND_YLD","YAS_YLD_FLAG=15","SETTLE_DT",Company_desc!$D$1))</f>
        <v/>
      </c>
      <c r="AA568" s="80">
        <f>IF($A568="","",_xll.BDP($A568&amp;" Corp","YAS_OAS_SPRD","SETTLE_DT",Company_desc!$D$1))</f>
        <v/>
      </c>
    </row>
    <row r="569">
      <c r="B569" s="75">
        <f>IF($A569="","",IFERROR(INDEX(Sheet1!$B:$B,MATCH($A569,Sheet1!$A:$A,0)),""))</f>
        <v/>
      </c>
      <c r="C569" s="75">
        <f>IF($A569="","",PROPER(_xll.BDP($A569&amp;" Corp","NAME")))</f>
        <v/>
      </c>
      <c r="D569" s="76">
        <f>IF($A569="","",_xll.BDP($A569&amp;" Corp","CPN"))</f>
        <v/>
      </c>
      <c r="E569" s="75">
        <f>IF($A569="","",_xll.BDP($A569&amp;" Corp","PAYMENT_RANK"))</f>
        <v/>
      </c>
      <c r="F569" s="100">
        <f>IF($A569="","",_xll.BDP($A569&amp;" Corp","MATURITY"))</f>
        <v/>
      </c>
      <c r="G569" s="75">
        <f>IF($A569="","",PROPER(_xll.BDP($A569&amp;" Corp","COUNTRY_FULL_NAME")))</f>
        <v/>
      </c>
      <c r="H569" s="75">
        <f>IF($A569="","",_xll.BDP($A569&amp;" Corp","INDUSTRY_SECTOR"))</f>
        <v/>
      </c>
      <c r="I569" s="101">
        <f>IF($A569="","",IFERROR(_xll.BDP($A569&amp;" Corp","MIN_PIECE")/1000,""))</f>
        <v/>
      </c>
      <c r="J569" s="31">
        <f>IF($A569="","",_xll.BDP($A569&amp;" Corp","PX_LAST"))</f>
        <v/>
      </c>
      <c r="K569" s="31">
        <f>IF($A569="","",_xll.BDP($A569&amp;" Corp","YAS_BOND_YLD","YAS_YLD_FLAG=15"))</f>
        <v/>
      </c>
      <c r="L569" s="31">
        <f>IF($A569="","",K569-_xll.BDP($A569&amp;" Corp","YAS_BOND_YLD","YAS_YLD_FLAG=15","SETTLE_DT",Company_desc!$A$1))</f>
        <v/>
      </c>
      <c r="M569" s="31">
        <f>IF($A569="","",K569-_xll.BDP($A569&amp;" Corp","YAS_BOND_YLD","YAS_YLD_FLAG=15","SETTLE_DT",Company_desc!$A$2))</f>
        <v/>
      </c>
      <c r="N569" s="79">
        <f>IF($A569="","",_xll.BDP($A569&amp;" Corp","YAS_OAS_SPRD"))</f>
        <v/>
      </c>
      <c r="O569" s="67">
        <f>IF($A569="","",_xll.BDP($A569&amp;" Corp","YAS_MOD_DUR"))</f>
        <v/>
      </c>
      <c r="P569" s="80">
        <f>IF($A569="","",IFERROR(INDEX(Sheet1!$P:$P,MATCH($A569,Sheet1!$A:$A,0)),""))</f>
        <v/>
      </c>
      <c r="Q569" s="75">
        <f>IF($A569="","",IFERROR(INDEX(Company_desc!$C:$C,MATCH($A569,Company_desc!$A:$A,0)),IFERROR(INDEX(Sheet1!$Q:$Q,MATCH($A569,Sheet1!$A:$A,0)),"")))</f>
        <v/>
      </c>
      <c r="R569" s="75">
        <f>IF($A569="","",_xll.BDP($A569&amp;" Corp","CRNCY"))</f>
        <v/>
      </c>
      <c r="S569" s="75">
        <f>IF($A569="","",IFERROR(INDEX(Sheet1!$S:$S,MATCH($A569,Sheet1!$A:$A,0)),""))</f>
        <v/>
      </c>
      <c r="T569" s="75">
        <f>IF($A569="","",IFERROR(INDEX(Sheet1!$T:$T,MATCH($A569,Sheet1!$A:$A,0)),_xll.BDP($A569&amp;" Corp","RTG_SP")))</f>
        <v/>
      </c>
      <c r="U569" s="75">
        <f>IF($A569="","",IFERROR(INDEX(Sheet1!$U:$U,MATCH($A569,Sheet1!$A:$A,0)),""))</f>
        <v/>
      </c>
      <c r="W569" s="81">
        <f>IF($A569="","",N569-_xll.BDP($A569&amp;" Corp","YAS_OAS_SPRD","SETTLE_DT",Company_desc!$A$1))</f>
        <v/>
      </c>
      <c r="X569" s="81">
        <f>IF($A569="","",N569-_xll.BDP($A569&amp;" Corp","YAS_OAS_SPRD","SETTLE_DT",Company_desc!$A$2))</f>
        <v/>
      </c>
      <c r="Y569" s="80">
        <f>IF($A569="","",N569-_xll.BDP($A569&amp;" Corp","YAS_OAS_SPRD","SETTLE_DT",Company_desc!$D$1))</f>
        <v/>
      </c>
      <c r="Z569" s="82">
        <f>IF($A569="","",K569-_xll.BDP($A569&amp;" Corp","YAS_BOND_YLD","YAS_YLD_FLAG=15","SETTLE_DT",Company_desc!$D$1))</f>
        <v/>
      </c>
      <c r="AA569" s="80">
        <f>IF($A569="","",_xll.BDP($A569&amp;" Corp","YAS_OAS_SPRD","SETTLE_DT",Company_desc!$D$1))</f>
        <v/>
      </c>
    </row>
    <row r="570">
      <c r="B570" s="75">
        <f>IF($A570="","",IFERROR(INDEX(Sheet1!$B:$B,MATCH($A570,Sheet1!$A:$A,0)),""))</f>
        <v/>
      </c>
      <c r="C570" s="75">
        <f>IF($A570="","",PROPER(_xll.BDP($A570&amp;" Corp","NAME")))</f>
        <v/>
      </c>
      <c r="D570" s="76">
        <f>IF($A570="","",_xll.BDP($A570&amp;" Corp","CPN"))</f>
        <v/>
      </c>
      <c r="E570" s="75">
        <f>IF($A570="","",_xll.BDP($A570&amp;" Corp","PAYMENT_RANK"))</f>
        <v/>
      </c>
      <c r="F570" s="100">
        <f>IF($A570="","",_xll.BDP($A570&amp;" Corp","MATURITY"))</f>
        <v/>
      </c>
      <c r="G570" s="75">
        <f>IF($A570="","",PROPER(_xll.BDP($A570&amp;" Corp","COUNTRY_FULL_NAME")))</f>
        <v/>
      </c>
      <c r="H570" s="75">
        <f>IF($A570="","",_xll.BDP($A570&amp;" Corp","INDUSTRY_SECTOR"))</f>
        <v/>
      </c>
      <c r="I570" s="101">
        <f>IF($A570="","",IFERROR(_xll.BDP($A570&amp;" Corp","MIN_PIECE")/1000,""))</f>
        <v/>
      </c>
      <c r="J570" s="31">
        <f>IF($A570="","",_xll.BDP($A570&amp;" Corp","PX_LAST"))</f>
        <v/>
      </c>
      <c r="K570" s="31">
        <f>IF($A570="","",_xll.BDP($A570&amp;" Corp","YAS_BOND_YLD","YAS_YLD_FLAG=15"))</f>
        <v/>
      </c>
      <c r="L570" s="31">
        <f>IF($A570="","",K570-_xll.BDP($A570&amp;" Corp","YAS_BOND_YLD","YAS_YLD_FLAG=15","SETTLE_DT",Company_desc!$A$1))</f>
        <v/>
      </c>
      <c r="M570" s="31">
        <f>IF($A570="","",K570-_xll.BDP($A570&amp;" Corp","YAS_BOND_YLD","YAS_YLD_FLAG=15","SETTLE_DT",Company_desc!$A$2))</f>
        <v/>
      </c>
      <c r="N570" s="79">
        <f>IF($A570="","",_xll.BDP($A570&amp;" Corp","YAS_OAS_SPRD"))</f>
        <v/>
      </c>
      <c r="O570" s="67">
        <f>IF($A570="","",_xll.BDP($A570&amp;" Corp","YAS_MOD_DUR"))</f>
        <v/>
      </c>
      <c r="P570" s="80">
        <f>IF($A570="","",IFERROR(INDEX(Sheet1!$P:$P,MATCH($A570,Sheet1!$A:$A,0)),""))</f>
        <v/>
      </c>
      <c r="Q570" s="75">
        <f>IF($A570="","",IFERROR(INDEX(Company_desc!$C:$C,MATCH($A570,Company_desc!$A:$A,0)),IFERROR(INDEX(Sheet1!$Q:$Q,MATCH($A570,Sheet1!$A:$A,0)),"")))</f>
        <v/>
      </c>
      <c r="R570" s="75">
        <f>IF($A570="","",_xll.BDP($A570&amp;" Corp","CRNCY"))</f>
        <v/>
      </c>
      <c r="S570" s="75">
        <f>IF($A570="","",IFERROR(INDEX(Sheet1!$S:$S,MATCH($A570,Sheet1!$A:$A,0)),""))</f>
        <v/>
      </c>
      <c r="T570" s="75">
        <f>IF($A570="","",IFERROR(INDEX(Sheet1!$T:$T,MATCH($A570,Sheet1!$A:$A,0)),_xll.BDP($A570&amp;" Corp","RTG_SP")))</f>
        <v/>
      </c>
      <c r="U570" s="75">
        <f>IF($A570="","",IFERROR(INDEX(Sheet1!$U:$U,MATCH($A570,Sheet1!$A:$A,0)),""))</f>
        <v/>
      </c>
      <c r="W570" s="81">
        <f>IF($A570="","",N570-_xll.BDP($A570&amp;" Corp","YAS_OAS_SPRD","SETTLE_DT",Company_desc!$A$1))</f>
        <v/>
      </c>
      <c r="X570" s="81">
        <f>IF($A570="","",N570-_xll.BDP($A570&amp;" Corp","YAS_OAS_SPRD","SETTLE_DT",Company_desc!$A$2))</f>
        <v/>
      </c>
      <c r="Y570" s="80">
        <f>IF($A570="","",N570-_xll.BDP($A570&amp;" Corp","YAS_OAS_SPRD","SETTLE_DT",Company_desc!$D$1))</f>
        <v/>
      </c>
      <c r="Z570" s="82">
        <f>IF($A570="","",K570-_xll.BDP($A570&amp;" Corp","YAS_BOND_YLD","YAS_YLD_FLAG=15","SETTLE_DT",Company_desc!$D$1))</f>
        <v/>
      </c>
      <c r="AA570" s="80">
        <f>IF($A570="","",_xll.BDP($A570&amp;" Corp","YAS_OAS_SPRD","SETTLE_DT",Company_desc!$D$1))</f>
        <v/>
      </c>
    </row>
    <row r="571">
      <c r="B571" s="75">
        <f>IF($A571="","",IFERROR(INDEX(Sheet1!$B:$B,MATCH($A571,Sheet1!$A:$A,0)),""))</f>
        <v/>
      </c>
      <c r="C571" s="75">
        <f>IF($A571="","",PROPER(_xll.BDP($A571&amp;" Corp","NAME")))</f>
        <v/>
      </c>
      <c r="D571" s="76">
        <f>IF($A571="","",_xll.BDP($A571&amp;" Corp","CPN"))</f>
        <v/>
      </c>
      <c r="E571" s="75">
        <f>IF($A571="","",_xll.BDP($A571&amp;" Corp","PAYMENT_RANK"))</f>
        <v/>
      </c>
      <c r="F571" s="100">
        <f>IF($A571="","",_xll.BDP($A571&amp;" Corp","MATURITY"))</f>
        <v/>
      </c>
      <c r="G571" s="75">
        <f>IF($A571="","",PROPER(_xll.BDP($A571&amp;" Corp","COUNTRY_FULL_NAME")))</f>
        <v/>
      </c>
      <c r="H571" s="75">
        <f>IF($A571="","",_xll.BDP($A571&amp;" Corp","INDUSTRY_SECTOR"))</f>
        <v/>
      </c>
      <c r="I571" s="101">
        <f>IF($A571="","",IFERROR(_xll.BDP($A571&amp;" Corp","MIN_PIECE")/1000,""))</f>
        <v/>
      </c>
      <c r="J571" s="31">
        <f>IF($A571="","",_xll.BDP($A571&amp;" Corp","PX_LAST"))</f>
        <v/>
      </c>
      <c r="K571" s="31">
        <f>IF($A571="","",_xll.BDP($A571&amp;" Corp","YAS_BOND_YLD","YAS_YLD_FLAG=15"))</f>
        <v/>
      </c>
      <c r="L571" s="31">
        <f>IF($A571="","",K571-_xll.BDP($A571&amp;" Corp","YAS_BOND_YLD","YAS_YLD_FLAG=15","SETTLE_DT",Company_desc!$A$1))</f>
        <v/>
      </c>
      <c r="M571" s="31">
        <f>IF($A571="","",K571-_xll.BDP($A571&amp;" Corp","YAS_BOND_YLD","YAS_YLD_FLAG=15","SETTLE_DT",Company_desc!$A$2))</f>
        <v/>
      </c>
      <c r="N571" s="79">
        <f>IF($A571="","",_xll.BDP($A571&amp;" Corp","YAS_OAS_SPRD"))</f>
        <v/>
      </c>
      <c r="O571" s="67">
        <f>IF($A571="","",_xll.BDP($A571&amp;" Corp","YAS_MOD_DUR"))</f>
        <v/>
      </c>
      <c r="P571" s="80">
        <f>IF($A571="","",IFERROR(INDEX(Sheet1!$P:$P,MATCH($A571,Sheet1!$A:$A,0)),""))</f>
        <v/>
      </c>
      <c r="Q571" s="75">
        <f>IF($A571="","",IFERROR(INDEX(Company_desc!$C:$C,MATCH($A571,Company_desc!$A:$A,0)),IFERROR(INDEX(Sheet1!$Q:$Q,MATCH($A571,Sheet1!$A:$A,0)),"")))</f>
        <v/>
      </c>
      <c r="R571" s="75">
        <f>IF($A571="","",_xll.BDP($A571&amp;" Corp","CRNCY"))</f>
        <v/>
      </c>
      <c r="S571" s="75">
        <f>IF($A571="","",IFERROR(INDEX(Sheet1!$S:$S,MATCH($A571,Sheet1!$A:$A,0)),""))</f>
        <v/>
      </c>
      <c r="T571" s="75">
        <f>IF($A571="","",IFERROR(INDEX(Sheet1!$T:$T,MATCH($A571,Sheet1!$A:$A,0)),_xll.BDP($A571&amp;" Corp","RTG_SP")))</f>
        <v/>
      </c>
      <c r="U571" s="75">
        <f>IF($A571="","",IFERROR(INDEX(Sheet1!$U:$U,MATCH($A571,Sheet1!$A:$A,0)),""))</f>
        <v/>
      </c>
      <c r="W571" s="81">
        <f>IF($A571="","",N571-_xll.BDP($A571&amp;" Corp","YAS_OAS_SPRD","SETTLE_DT",Company_desc!$A$1))</f>
        <v/>
      </c>
      <c r="X571" s="81">
        <f>IF($A571="","",N571-_xll.BDP($A571&amp;" Corp","YAS_OAS_SPRD","SETTLE_DT",Company_desc!$A$2))</f>
        <v/>
      </c>
      <c r="Y571" s="80">
        <f>IF($A571="","",N571-_xll.BDP($A571&amp;" Corp","YAS_OAS_SPRD","SETTLE_DT",Company_desc!$D$1))</f>
        <v/>
      </c>
      <c r="Z571" s="82">
        <f>IF($A571="","",K571-_xll.BDP($A571&amp;" Corp","YAS_BOND_YLD","YAS_YLD_FLAG=15","SETTLE_DT",Company_desc!$D$1))</f>
        <v/>
      </c>
      <c r="AA571" s="80">
        <f>IF($A571="","",_xll.BDP($A571&amp;" Corp","YAS_OAS_SPRD","SETTLE_DT",Company_desc!$D$1))</f>
        <v/>
      </c>
    </row>
    <row r="572">
      <c r="B572" s="75">
        <f>IF($A572="","",IFERROR(INDEX(Sheet1!$B:$B,MATCH($A572,Sheet1!$A:$A,0)),""))</f>
        <v/>
      </c>
      <c r="C572" s="75">
        <f>IF($A572="","",PROPER(_xll.BDP($A572&amp;" Corp","NAME")))</f>
        <v/>
      </c>
      <c r="D572" s="76">
        <f>IF($A572="","",_xll.BDP($A572&amp;" Corp","CPN"))</f>
        <v/>
      </c>
      <c r="E572" s="75">
        <f>IF($A572="","",_xll.BDP($A572&amp;" Corp","PAYMENT_RANK"))</f>
        <v/>
      </c>
      <c r="F572" s="100">
        <f>IF($A572="","",_xll.BDP($A572&amp;" Corp","MATURITY"))</f>
        <v/>
      </c>
      <c r="G572" s="75">
        <f>IF($A572="","",PROPER(_xll.BDP($A572&amp;" Corp","COUNTRY_FULL_NAME")))</f>
        <v/>
      </c>
      <c r="H572" s="75">
        <f>IF($A572="","",_xll.BDP($A572&amp;" Corp","INDUSTRY_SECTOR"))</f>
        <v/>
      </c>
      <c r="I572" s="101">
        <f>IF($A572="","",IFERROR(_xll.BDP($A572&amp;" Corp","MIN_PIECE")/1000,""))</f>
        <v/>
      </c>
      <c r="J572" s="31">
        <f>IF($A572="","",_xll.BDP($A572&amp;" Corp","PX_LAST"))</f>
        <v/>
      </c>
      <c r="K572" s="31">
        <f>IF($A572="","",_xll.BDP($A572&amp;" Corp","YAS_BOND_YLD","YAS_YLD_FLAG=15"))</f>
        <v/>
      </c>
      <c r="L572" s="31">
        <f>IF($A572="","",K572-_xll.BDP($A572&amp;" Corp","YAS_BOND_YLD","YAS_YLD_FLAG=15","SETTLE_DT",Company_desc!$A$1))</f>
        <v/>
      </c>
      <c r="M572" s="31">
        <f>IF($A572="","",K572-_xll.BDP($A572&amp;" Corp","YAS_BOND_YLD","YAS_YLD_FLAG=15","SETTLE_DT",Company_desc!$A$2))</f>
        <v/>
      </c>
      <c r="N572" s="79">
        <f>IF($A572="","",_xll.BDP($A572&amp;" Corp","YAS_OAS_SPRD"))</f>
        <v/>
      </c>
      <c r="O572" s="67">
        <f>IF($A572="","",_xll.BDP($A572&amp;" Corp","YAS_MOD_DUR"))</f>
        <v/>
      </c>
      <c r="P572" s="80">
        <f>IF($A572="","",IFERROR(INDEX(Sheet1!$P:$P,MATCH($A572,Sheet1!$A:$A,0)),""))</f>
        <v/>
      </c>
      <c r="Q572" s="75">
        <f>IF($A572="","",IFERROR(INDEX(Company_desc!$C:$C,MATCH($A572,Company_desc!$A:$A,0)),IFERROR(INDEX(Sheet1!$Q:$Q,MATCH($A572,Sheet1!$A:$A,0)),"")))</f>
        <v/>
      </c>
      <c r="R572" s="75">
        <f>IF($A572="","",_xll.BDP($A572&amp;" Corp","CRNCY"))</f>
        <v/>
      </c>
      <c r="S572" s="75">
        <f>IF($A572="","",IFERROR(INDEX(Sheet1!$S:$S,MATCH($A572,Sheet1!$A:$A,0)),""))</f>
        <v/>
      </c>
      <c r="T572" s="75">
        <f>IF($A572="","",IFERROR(INDEX(Sheet1!$T:$T,MATCH($A572,Sheet1!$A:$A,0)),_xll.BDP($A572&amp;" Corp","RTG_SP")))</f>
        <v/>
      </c>
      <c r="U572" s="75">
        <f>IF($A572="","",IFERROR(INDEX(Sheet1!$U:$U,MATCH($A572,Sheet1!$A:$A,0)),""))</f>
        <v/>
      </c>
      <c r="W572" s="81">
        <f>IF($A572="","",N572-_xll.BDP($A572&amp;" Corp","YAS_OAS_SPRD","SETTLE_DT",Company_desc!$A$1))</f>
        <v/>
      </c>
      <c r="X572" s="81">
        <f>IF($A572="","",N572-_xll.BDP($A572&amp;" Corp","YAS_OAS_SPRD","SETTLE_DT",Company_desc!$A$2))</f>
        <v/>
      </c>
      <c r="Y572" s="80">
        <f>IF($A572="","",N572-_xll.BDP($A572&amp;" Corp","YAS_OAS_SPRD","SETTLE_DT",Company_desc!$D$1))</f>
        <v/>
      </c>
      <c r="Z572" s="82">
        <f>IF($A572="","",K572-_xll.BDP($A572&amp;" Corp","YAS_BOND_YLD","YAS_YLD_FLAG=15","SETTLE_DT",Company_desc!$D$1))</f>
        <v/>
      </c>
      <c r="AA572" s="80">
        <f>IF($A572="","",_xll.BDP($A572&amp;" Corp","YAS_OAS_SPRD","SETTLE_DT",Company_desc!$D$1))</f>
        <v/>
      </c>
    </row>
    <row r="573">
      <c r="B573" s="75">
        <f>IF($A573="","",IFERROR(INDEX(Sheet1!$B:$B,MATCH($A573,Sheet1!$A:$A,0)),""))</f>
        <v/>
      </c>
      <c r="C573" s="75">
        <f>IF($A573="","",PROPER(_xll.BDP($A573&amp;" Corp","NAME")))</f>
        <v/>
      </c>
      <c r="D573" s="76">
        <f>IF($A573="","",_xll.BDP($A573&amp;" Corp","CPN"))</f>
        <v/>
      </c>
      <c r="E573" s="75">
        <f>IF($A573="","",_xll.BDP($A573&amp;" Corp","PAYMENT_RANK"))</f>
        <v/>
      </c>
      <c r="F573" s="100">
        <f>IF($A573="","",_xll.BDP($A573&amp;" Corp","MATURITY"))</f>
        <v/>
      </c>
      <c r="G573" s="75">
        <f>IF($A573="","",PROPER(_xll.BDP($A573&amp;" Corp","COUNTRY_FULL_NAME")))</f>
        <v/>
      </c>
      <c r="H573" s="75">
        <f>IF($A573="","",_xll.BDP($A573&amp;" Corp","INDUSTRY_SECTOR"))</f>
        <v/>
      </c>
      <c r="I573" s="101">
        <f>IF($A573="","",IFERROR(_xll.BDP($A573&amp;" Corp","MIN_PIECE")/1000,""))</f>
        <v/>
      </c>
      <c r="J573" s="31">
        <f>IF($A573="","",_xll.BDP($A573&amp;" Corp","PX_LAST"))</f>
        <v/>
      </c>
      <c r="K573" s="31">
        <f>IF($A573="","",_xll.BDP($A573&amp;" Corp","YAS_BOND_YLD","YAS_YLD_FLAG=15"))</f>
        <v/>
      </c>
      <c r="L573" s="31">
        <f>IF($A573="","",K573-_xll.BDP($A573&amp;" Corp","YAS_BOND_YLD","YAS_YLD_FLAG=15","SETTLE_DT",Company_desc!$A$1))</f>
        <v/>
      </c>
      <c r="M573" s="31">
        <f>IF($A573="","",K573-_xll.BDP($A573&amp;" Corp","YAS_BOND_YLD","YAS_YLD_FLAG=15","SETTLE_DT",Company_desc!$A$2))</f>
        <v/>
      </c>
      <c r="N573" s="79">
        <f>IF($A573="","",_xll.BDP($A573&amp;" Corp","YAS_OAS_SPRD"))</f>
        <v/>
      </c>
      <c r="O573" s="67">
        <f>IF($A573="","",_xll.BDP($A573&amp;" Corp","YAS_MOD_DUR"))</f>
        <v/>
      </c>
      <c r="P573" s="80">
        <f>IF($A573="","",IFERROR(INDEX(Sheet1!$P:$P,MATCH($A573,Sheet1!$A:$A,0)),""))</f>
        <v/>
      </c>
      <c r="Q573" s="75">
        <f>IF($A573="","",IFERROR(INDEX(Company_desc!$C:$C,MATCH($A573,Company_desc!$A:$A,0)),IFERROR(INDEX(Sheet1!$Q:$Q,MATCH($A573,Sheet1!$A:$A,0)),"")))</f>
        <v/>
      </c>
      <c r="R573" s="75">
        <f>IF($A573="","",_xll.BDP($A573&amp;" Corp","CRNCY"))</f>
        <v/>
      </c>
      <c r="S573" s="75">
        <f>IF($A573="","",IFERROR(INDEX(Sheet1!$S:$S,MATCH($A573,Sheet1!$A:$A,0)),""))</f>
        <v/>
      </c>
      <c r="T573" s="75">
        <f>IF($A573="","",IFERROR(INDEX(Sheet1!$T:$T,MATCH($A573,Sheet1!$A:$A,0)),_xll.BDP($A573&amp;" Corp","RTG_SP")))</f>
        <v/>
      </c>
      <c r="U573" s="75">
        <f>IF($A573="","",IFERROR(INDEX(Sheet1!$U:$U,MATCH($A573,Sheet1!$A:$A,0)),""))</f>
        <v/>
      </c>
      <c r="W573" s="81">
        <f>IF($A573="","",N573-_xll.BDP($A573&amp;" Corp","YAS_OAS_SPRD","SETTLE_DT",Company_desc!$A$1))</f>
        <v/>
      </c>
      <c r="X573" s="81">
        <f>IF($A573="","",N573-_xll.BDP($A573&amp;" Corp","YAS_OAS_SPRD","SETTLE_DT",Company_desc!$A$2))</f>
        <v/>
      </c>
      <c r="Y573" s="80">
        <f>IF($A573="","",N573-_xll.BDP($A573&amp;" Corp","YAS_OAS_SPRD","SETTLE_DT",Company_desc!$D$1))</f>
        <v/>
      </c>
      <c r="Z573" s="82">
        <f>IF($A573="","",K573-_xll.BDP($A573&amp;" Corp","YAS_BOND_YLD","YAS_YLD_FLAG=15","SETTLE_DT",Company_desc!$D$1))</f>
        <v/>
      </c>
      <c r="AA573" s="80">
        <f>IF($A573="","",_xll.BDP($A573&amp;" Corp","YAS_OAS_SPRD","SETTLE_DT",Company_desc!$D$1))</f>
        <v/>
      </c>
    </row>
    <row r="574">
      <c r="B574" s="75">
        <f>IF($A574="","",IFERROR(INDEX(Sheet1!$B:$B,MATCH($A574,Sheet1!$A:$A,0)),""))</f>
        <v/>
      </c>
      <c r="C574" s="75">
        <f>IF($A574="","",PROPER(_xll.BDP($A574&amp;" Corp","NAME")))</f>
        <v/>
      </c>
      <c r="D574" s="76">
        <f>IF($A574="","",_xll.BDP($A574&amp;" Corp","CPN"))</f>
        <v/>
      </c>
      <c r="E574" s="75">
        <f>IF($A574="","",_xll.BDP($A574&amp;" Corp","PAYMENT_RANK"))</f>
        <v/>
      </c>
      <c r="F574" s="100">
        <f>IF($A574="","",_xll.BDP($A574&amp;" Corp","MATURITY"))</f>
        <v/>
      </c>
      <c r="G574" s="75">
        <f>IF($A574="","",PROPER(_xll.BDP($A574&amp;" Corp","COUNTRY_FULL_NAME")))</f>
        <v/>
      </c>
      <c r="H574" s="75">
        <f>IF($A574="","",_xll.BDP($A574&amp;" Corp","INDUSTRY_SECTOR"))</f>
        <v/>
      </c>
      <c r="I574" s="101">
        <f>IF($A574="","",IFERROR(_xll.BDP($A574&amp;" Corp","MIN_PIECE")/1000,""))</f>
        <v/>
      </c>
      <c r="J574" s="31">
        <f>IF($A574="","",_xll.BDP($A574&amp;" Corp","PX_LAST"))</f>
        <v/>
      </c>
      <c r="K574" s="31">
        <f>IF($A574="","",_xll.BDP($A574&amp;" Corp","YAS_BOND_YLD","YAS_YLD_FLAG=15"))</f>
        <v/>
      </c>
      <c r="L574" s="31">
        <f>IF($A574="","",K574-_xll.BDP($A574&amp;" Corp","YAS_BOND_YLD","YAS_YLD_FLAG=15","SETTLE_DT",Company_desc!$A$1))</f>
        <v/>
      </c>
      <c r="M574" s="31">
        <f>IF($A574="","",K574-_xll.BDP($A574&amp;" Corp","YAS_BOND_YLD","YAS_YLD_FLAG=15","SETTLE_DT",Company_desc!$A$2))</f>
        <v/>
      </c>
      <c r="N574" s="79">
        <f>IF($A574="","",_xll.BDP($A574&amp;" Corp","YAS_OAS_SPRD"))</f>
        <v/>
      </c>
      <c r="O574" s="67">
        <f>IF($A574="","",_xll.BDP($A574&amp;" Corp","YAS_MOD_DUR"))</f>
        <v/>
      </c>
      <c r="P574" s="80">
        <f>IF($A574="","",IFERROR(INDEX(Sheet1!$P:$P,MATCH($A574,Sheet1!$A:$A,0)),""))</f>
        <v/>
      </c>
      <c r="Q574" s="75">
        <f>IF($A574="","",IFERROR(INDEX(Company_desc!$C:$C,MATCH($A574,Company_desc!$A:$A,0)),IFERROR(INDEX(Sheet1!$Q:$Q,MATCH($A574,Sheet1!$A:$A,0)),"")))</f>
        <v/>
      </c>
      <c r="R574" s="75">
        <f>IF($A574="","",_xll.BDP($A574&amp;" Corp","CRNCY"))</f>
        <v/>
      </c>
      <c r="S574" s="75">
        <f>IF($A574="","",IFERROR(INDEX(Sheet1!$S:$S,MATCH($A574,Sheet1!$A:$A,0)),""))</f>
        <v/>
      </c>
      <c r="T574" s="75">
        <f>IF($A574="","",IFERROR(INDEX(Sheet1!$T:$T,MATCH($A574,Sheet1!$A:$A,0)),_xll.BDP($A574&amp;" Corp","RTG_SP")))</f>
        <v/>
      </c>
      <c r="U574" s="75">
        <f>IF($A574="","",IFERROR(INDEX(Sheet1!$U:$U,MATCH($A574,Sheet1!$A:$A,0)),""))</f>
        <v/>
      </c>
      <c r="W574" s="81">
        <f>IF($A574="","",N574-_xll.BDP($A574&amp;" Corp","YAS_OAS_SPRD","SETTLE_DT",Company_desc!$A$1))</f>
        <v/>
      </c>
      <c r="X574" s="81">
        <f>IF($A574="","",N574-_xll.BDP($A574&amp;" Corp","YAS_OAS_SPRD","SETTLE_DT",Company_desc!$A$2))</f>
        <v/>
      </c>
      <c r="Y574" s="80">
        <f>IF($A574="","",N574-_xll.BDP($A574&amp;" Corp","YAS_OAS_SPRD","SETTLE_DT",Company_desc!$D$1))</f>
        <v/>
      </c>
      <c r="Z574" s="82">
        <f>IF($A574="","",K574-_xll.BDP($A574&amp;" Corp","YAS_BOND_YLD","YAS_YLD_FLAG=15","SETTLE_DT",Company_desc!$D$1))</f>
        <v/>
      </c>
      <c r="AA574" s="80">
        <f>IF($A574="","",_xll.BDP($A574&amp;" Corp","YAS_OAS_SPRD","SETTLE_DT",Company_desc!$D$1))</f>
        <v/>
      </c>
    </row>
    <row r="575">
      <c r="B575" s="75">
        <f>IF($A575="","",IFERROR(INDEX(Sheet1!$B:$B,MATCH($A575,Sheet1!$A:$A,0)),""))</f>
        <v/>
      </c>
      <c r="C575" s="75">
        <f>IF($A575="","",PROPER(_xll.BDP($A575&amp;" Corp","NAME")))</f>
        <v/>
      </c>
      <c r="D575" s="76">
        <f>IF($A575="","",_xll.BDP($A575&amp;" Corp","CPN"))</f>
        <v/>
      </c>
      <c r="E575" s="75">
        <f>IF($A575="","",_xll.BDP($A575&amp;" Corp","PAYMENT_RANK"))</f>
        <v/>
      </c>
      <c r="F575" s="100">
        <f>IF($A575="","",_xll.BDP($A575&amp;" Corp","MATURITY"))</f>
        <v/>
      </c>
      <c r="G575" s="75">
        <f>IF($A575="","",PROPER(_xll.BDP($A575&amp;" Corp","COUNTRY_FULL_NAME")))</f>
        <v/>
      </c>
      <c r="H575" s="75">
        <f>IF($A575="","",_xll.BDP($A575&amp;" Corp","INDUSTRY_SECTOR"))</f>
        <v/>
      </c>
      <c r="I575" s="101">
        <f>IF($A575="","",IFERROR(_xll.BDP($A575&amp;" Corp","MIN_PIECE")/1000,""))</f>
        <v/>
      </c>
      <c r="J575" s="31">
        <f>IF($A575="","",_xll.BDP($A575&amp;" Corp","PX_LAST"))</f>
        <v/>
      </c>
      <c r="K575" s="31">
        <f>IF($A575="","",_xll.BDP($A575&amp;" Corp","YAS_BOND_YLD","YAS_YLD_FLAG=15"))</f>
        <v/>
      </c>
      <c r="L575" s="31">
        <f>IF($A575="","",K575-_xll.BDP($A575&amp;" Corp","YAS_BOND_YLD","YAS_YLD_FLAG=15","SETTLE_DT",Company_desc!$A$1))</f>
        <v/>
      </c>
      <c r="M575" s="31">
        <f>IF($A575="","",K575-_xll.BDP($A575&amp;" Corp","YAS_BOND_YLD","YAS_YLD_FLAG=15","SETTLE_DT",Company_desc!$A$2))</f>
        <v/>
      </c>
      <c r="N575" s="79">
        <f>IF($A575="","",_xll.BDP($A575&amp;" Corp","YAS_OAS_SPRD"))</f>
        <v/>
      </c>
      <c r="O575" s="67">
        <f>IF($A575="","",_xll.BDP($A575&amp;" Corp","YAS_MOD_DUR"))</f>
        <v/>
      </c>
      <c r="P575" s="80">
        <f>IF($A575="","",IFERROR(INDEX(Sheet1!$P:$P,MATCH($A575,Sheet1!$A:$A,0)),""))</f>
        <v/>
      </c>
      <c r="Q575" s="75">
        <f>IF($A575="","",IFERROR(INDEX(Company_desc!$C:$C,MATCH($A575,Company_desc!$A:$A,0)),IFERROR(INDEX(Sheet1!$Q:$Q,MATCH($A575,Sheet1!$A:$A,0)),"")))</f>
        <v/>
      </c>
      <c r="R575" s="75">
        <f>IF($A575="","",_xll.BDP($A575&amp;" Corp","CRNCY"))</f>
        <v/>
      </c>
      <c r="S575" s="75">
        <f>IF($A575="","",IFERROR(INDEX(Sheet1!$S:$S,MATCH($A575,Sheet1!$A:$A,0)),""))</f>
        <v/>
      </c>
      <c r="T575" s="75">
        <f>IF($A575="","",IFERROR(INDEX(Sheet1!$T:$T,MATCH($A575,Sheet1!$A:$A,0)),_xll.BDP($A575&amp;" Corp","RTG_SP")))</f>
        <v/>
      </c>
      <c r="U575" s="75">
        <f>IF($A575="","",IFERROR(INDEX(Sheet1!$U:$U,MATCH($A575,Sheet1!$A:$A,0)),""))</f>
        <v/>
      </c>
      <c r="W575" s="81">
        <f>IF($A575="","",N575-_xll.BDP($A575&amp;" Corp","YAS_OAS_SPRD","SETTLE_DT",Company_desc!$A$1))</f>
        <v/>
      </c>
      <c r="X575" s="81">
        <f>IF($A575="","",N575-_xll.BDP($A575&amp;" Corp","YAS_OAS_SPRD","SETTLE_DT",Company_desc!$A$2))</f>
        <v/>
      </c>
      <c r="Y575" s="80">
        <f>IF($A575="","",N575-_xll.BDP($A575&amp;" Corp","YAS_OAS_SPRD","SETTLE_DT",Company_desc!$D$1))</f>
        <v/>
      </c>
      <c r="Z575" s="82">
        <f>IF($A575="","",K575-_xll.BDP($A575&amp;" Corp","YAS_BOND_YLD","YAS_YLD_FLAG=15","SETTLE_DT",Company_desc!$D$1))</f>
        <v/>
      </c>
      <c r="AA575" s="80">
        <f>IF($A575="","",_xll.BDP($A575&amp;" Corp","YAS_OAS_SPRD","SETTLE_DT",Company_desc!$D$1))</f>
        <v/>
      </c>
    </row>
    <row r="576">
      <c r="B576" s="75">
        <f>IF($A576="","",IFERROR(INDEX(Sheet1!$B:$B,MATCH($A576,Sheet1!$A:$A,0)),""))</f>
        <v/>
      </c>
      <c r="C576" s="75">
        <f>IF($A576="","",PROPER(_xll.BDP($A576&amp;" Corp","NAME")))</f>
        <v/>
      </c>
      <c r="D576" s="76">
        <f>IF($A576="","",_xll.BDP($A576&amp;" Corp","CPN"))</f>
        <v/>
      </c>
      <c r="E576" s="75">
        <f>IF($A576="","",_xll.BDP($A576&amp;" Corp","PAYMENT_RANK"))</f>
        <v/>
      </c>
      <c r="F576" s="100">
        <f>IF($A576="","",_xll.BDP($A576&amp;" Corp","MATURITY"))</f>
        <v/>
      </c>
      <c r="G576" s="75">
        <f>IF($A576="","",PROPER(_xll.BDP($A576&amp;" Corp","COUNTRY_FULL_NAME")))</f>
        <v/>
      </c>
      <c r="H576" s="75">
        <f>IF($A576="","",_xll.BDP($A576&amp;" Corp","INDUSTRY_SECTOR"))</f>
        <v/>
      </c>
      <c r="I576" s="101">
        <f>IF($A576="","",IFERROR(_xll.BDP($A576&amp;" Corp","MIN_PIECE")/1000,""))</f>
        <v/>
      </c>
      <c r="J576" s="31">
        <f>IF($A576="","",_xll.BDP($A576&amp;" Corp","PX_LAST"))</f>
        <v/>
      </c>
      <c r="K576" s="31">
        <f>IF($A576="","",_xll.BDP($A576&amp;" Corp","YAS_BOND_YLD","YAS_YLD_FLAG=15"))</f>
        <v/>
      </c>
      <c r="L576" s="31">
        <f>IF($A576="","",K576-_xll.BDP($A576&amp;" Corp","YAS_BOND_YLD","YAS_YLD_FLAG=15","SETTLE_DT",Company_desc!$A$1))</f>
        <v/>
      </c>
      <c r="M576" s="31">
        <f>IF($A576="","",K576-_xll.BDP($A576&amp;" Corp","YAS_BOND_YLD","YAS_YLD_FLAG=15","SETTLE_DT",Company_desc!$A$2))</f>
        <v/>
      </c>
      <c r="N576" s="79">
        <f>IF($A576="","",_xll.BDP($A576&amp;" Corp","YAS_OAS_SPRD"))</f>
        <v/>
      </c>
      <c r="O576" s="67">
        <f>IF($A576="","",_xll.BDP($A576&amp;" Corp","YAS_MOD_DUR"))</f>
        <v/>
      </c>
      <c r="P576" s="80">
        <f>IF($A576="","",IFERROR(INDEX(Sheet1!$P:$P,MATCH($A576,Sheet1!$A:$A,0)),""))</f>
        <v/>
      </c>
      <c r="Q576" s="75">
        <f>IF($A576="","",IFERROR(INDEX(Company_desc!$C:$C,MATCH($A576,Company_desc!$A:$A,0)),IFERROR(INDEX(Sheet1!$Q:$Q,MATCH($A576,Sheet1!$A:$A,0)),"")))</f>
        <v/>
      </c>
      <c r="R576" s="75">
        <f>IF($A576="","",_xll.BDP($A576&amp;" Corp","CRNCY"))</f>
        <v/>
      </c>
      <c r="S576" s="75">
        <f>IF($A576="","",IFERROR(INDEX(Sheet1!$S:$S,MATCH($A576,Sheet1!$A:$A,0)),""))</f>
        <v/>
      </c>
      <c r="T576" s="75">
        <f>IF($A576="","",IFERROR(INDEX(Sheet1!$T:$T,MATCH($A576,Sheet1!$A:$A,0)),_xll.BDP($A576&amp;" Corp","RTG_SP")))</f>
        <v/>
      </c>
      <c r="U576" s="75">
        <f>IF($A576="","",IFERROR(INDEX(Sheet1!$U:$U,MATCH($A576,Sheet1!$A:$A,0)),""))</f>
        <v/>
      </c>
      <c r="W576" s="81">
        <f>IF($A576="","",N576-_xll.BDP($A576&amp;" Corp","YAS_OAS_SPRD","SETTLE_DT",Company_desc!$A$1))</f>
        <v/>
      </c>
      <c r="X576" s="81">
        <f>IF($A576="","",N576-_xll.BDP($A576&amp;" Corp","YAS_OAS_SPRD","SETTLE_DT",Company_desc!$A$2))</f>
        <v/>
      </c>
      <c r="Y576" s="80">
        <f>IF($A576="","",N576-_xll.BDP($A576&amp;" Corp","YAS_OAS_SPRD","SETTLE_DT",Company_desc!$D$1))</f>
        <v/>
      </c>
      <c r="Z576" s="82">
        <f>IF($A576="","",K576-_xll.BDP($A576&amp;" Corp","YAS_BOND_YLD","YAS_YLD_FLAG=15","SETTLE_DT",Company_desc!$D$1))</f>
        <v/>
      </c>
      <c r="AA576" s="80">
        <f>IF($A576="","",_xll.BDP($A576&amp;" Corp","YAS_OAS_SPRD","SETTLE_DT",Company_desc!$D$1))</f>
        <v/>
      </c>
    </row>
    <row r="577">
      <c r="B577" s="75">
        <f>IF($A577="","",IFERROR(INDEX(Sheet1!$B:$B,MATCH($A577,Sheet1!$A:$A,0)),""))</f>
        <v/>
      </c>
      <c r="C577" s="75">
        <f>IF($A577="","",PROPER(_xll.BDP($A577&amp;" Corp","NAME")))</f>
        <v/>
      </c>
      <c r="D577" s="76">
        <f>IF($A577="","",_xll.BDP($A577&amp;" Corp","CPN"))</f>
        <v/>
      </c>
      <c r="E577" s="75">
        <f>IF($A577="","",_xll.BDP($A577&amp;" Corp","PAYMENT_RANK"))</f>
        <v/>
      </c>
      <c r="F577" s="100">
        <f>IF($A577="","",_xll.BDP($A577&amp;" Corp","MATURITY"))</f>
        <v/>
      </c>
      <c r="G577" s="75">
        <f>IF($A577="","",PROPER(_xll.BDP($A577&amp;" Corp","COUNTRY_FULL_NAME")))</f>
        <v/>
      </c>
      <c r="H577" s="75">
        <f>IF($A577="","",_xll.BDP($A577&amp;" Corp","INDUSTRY_SECTOR"))</f>
        <v/>
      </c>
      <c r="I577" s="101">
        <f>IF($A577="","",IFERROR(_xll.BDP($A577&amp;" Corp","MIN_PIECE")/1000,""))</f>
        <v/>
      </c>
      <c r="J577" s="31">
        <f>IF($A577="","",_xll.BDP($A577&amp;" Corp","PX_LAST"))</f>
        <v/>
      </c>
      <c r="K577" s="31">
        <f>IF($A577="","",_xll.BDP($A577&amp;" Corp","YAS_BOND_YLD","YAS_YLD_FLAG=15"))</f>
        <v/>
      </c>
      <c r="L577" s="31">
        <f>IF($A577="","",K577-_xll.BDP($A577&amp;" Corp","YAS_BOND_YLD","YAS_YLD_FLAG=15","SETTLE_DT",Company_desc!$A$1))</f>
        <v/>
      </c>
      <c r="M577" s="31">
        <f>IF($A577="","",K577-_xll.BDP($A577&amp;" Corp","YAS_BOND_YLD","YAS_YLD_FLAG=15","SETTLE_DT",Company_desc!$A$2))</f>
        <v/>
      </c>
      <c r="N577" s="79">
        <f>IF($A577="","",_xll.BDP($A577&amp;" Corp","YAS_OAS_SPRD"))</f>
        <v/>
      </c>
      <c r="O577" s="67">
        <f>IF($A577="","",_xll.BDP($A577&amp;" Corp","YAS_MOD_DUR"))</f>
        <v/>
      </c>
      <c r="P577" s="80">
        <f>IF($A577="","",IFERROR(INDEX(Sheet1!$P:$P,MATCH($A577,Sheet1!$A:$A,0)),""))</f>
        <v/>
      </c>
      <c r="Q577" s="75">
        <f>IF($A577="","",IFERROR(INDEX(Company_desc!$C:$C,MATCH($A577,Company_desc!$A:$A,0)),IFERROR(INDEX(Sheet1!$Q:$Q,MATCH($A577,Sheet1!$A:$A,0)),"")))</f>
        <v/>
      </c>
      <c r="R577" s="75">
        <f>IF($A577="","",_xll.BDP($A577&amp;" Corp","CRNCY"))</f>
        <v/>
      </c>
      <c r="S577" s="75">
        <f>IF($A577="","",IFERROR(INDEX(Sheet1!$S:$S,MATCH($A577,Sheet1!$A:$A,0)),""))</f>
        <v/>
      </c>
      <c r="T577" s="75">
        <f>IF($A577="","",IFERROR(INDEX(Sheet1!$T:$T,MATCH($A577,Sheet1!$A:$A,0)),_xll.BDP($A577&amp;" Corp","RTG_SP")))</f>
        <v/>
      </c>
      <c r="U577" s="75">
        <f>IF($A577="","",IFERROR(INDEX(Sheet1!$U:$U,MATCH($A577,Sheet1!$A:$A,0)),""))</f>
        <v/>
      </c>
      <c r="W577" s="81">
        <f>IF($A577="","",N577-_xll.BDP($A577&amp;" Corp","YAS_OAS_SPRD","SETTLE_DT",Company_desc!$A$1))</f>
        <v/>
      </c>
      <c r="X577" s="81">
        <f>IF($A577="","",N577-_xll.BDP($A577&amp;" Corp","YAS_OAS_SPRD","SETTLE_DT",Company_desc!$A$2))</f>
        <v/>
      </c>
      <c r="Y577" s="80">
        <f>IF($A577="","",N577-_xll.BDP($A577&amp;" Corp","YAS_OAS_SPRD","SETTLE_DT",Company_desc!$D$1))</f>
        <v/>
      </c>
      <c r="Z577" s="82">
        <f>IF($A577="","",K577-_xll.BDP($A577&amp;" Corp","YAS_BOND_YLD","YAS_YLD_FLAG=15","SETTLE_DT",Company_desc!$D$1))</f>
        <v/>
      </c>
      <c r="AA577" s="80">
        <f>IF($A577="","",_xll.BDP($A577&amp;" Corp","YAS_OAS_SPRD","SETTLE_DT",Company_desc!$D$1))</f>
        <v/>
      </c>
    </row>
    <row r="578">
      <c r="B578" s="75">
        <f>IF($A578="","",IFERROR(INDEX(Sheet1!$B:$B,MATCH($A578,Sheet1!$A:$A,0)),""))</f>
        <v/>
      </c>
      <c r="C578" s="75">
        <f>IF($A578="","",PROPER(_xll.BDP($A578&amp;" Corp","NAME")))</f>
        <v/>
      </c>
      <c r="D578" s="76">
        <f>IF($A578="","",_xll.BDP($A578&amp;" Corp","CPN"))</f>
        <v/>
      </c>
      <c r="E578" s="75">
        <f>IF($A578="","",_xll.BDP($A578&amp;" Corp","PAYMENT_RANK"))</f>
        <v/>
      </c>
      <c r="F578" s="100">
        <f>IF($A578="","",_xll.BDP($A578&amp;" Corp","MATURITY"))</f>
        <v/>
      </c>
      <c r="G578" s="75">
        <f>IF($A578="","",PROPER(_xll.BDP($A578&amp;" Corp","COUNTRY_FULL_NAME")))</f>
        <v/>
      </c>
      <c r="H578" s="75">
        <f>IF($A578="","",_xll.BDP($A578&amp;" Corp","INDUSTRY_SECTOR"))</f>
        <v/>
      </c>
      <c r="I578" s="101">
        <f>IF($A578="","",IFERROR(_xll.BDP($A578&amp;" Corp","MIN_PIECE")/1000,""))</f>
        <v/>
      </c>
      <c r="J578" s="31">
        <f>IF($A578="","",_xll.BDP($A578&amp;" Corp","PX_LAST"))</f>
        <v/>
      </c>
      <c r="K578" s="31">
        <f>IF($A578="","",_xll.BDP($A578&amp;" Corp","YAS_BOND_YLD","YAS_YLD_FLAG=15"))</f>
        <v/>
      </c>
      <c r="L578" s="31">
        <f>IF($A578="","",K578-_xll.BDP($A578&amp;" Corp","YAS_BOND_YLD","YAS_YLD_FLAG=15","SETTLE_DT",Company_desc!$A$1))</f>
        <v/>
      </c>
      <c r="M578" s="31">
        <f>IF($A578="","",K578-_xll.BDP($A578&amp;" Corp","YAS_BOND_YLD","YAS_YLD_FLAG=15","SETTLE_DT",Company_desc!$A$2))</f>
        <v/>
      </c>
      <c r="N578" s="79">
        <f>IF($A578="","",_xll.BDP($A578&amp;" Corp","YAS_OAS_SPRD"))</f>
        <v/>
      </c>
      <c r="O578" s="67">
        <f>IF($A578="","",_xll.BDP($A578&amp;" Corp","YAS_MOD_DUR"))</f>
        <v/>
      </c>
      <c r="P578" s="80">
        <f>IF($A578="","",IFERROR(INDEX(Sheet1!$P:$P,MATCH($A578,Sheet1!$A:$A,0)),""))</f>
        <v/>
      </c>
      <c r="Q578" s="75">
        <f>IF($A578="","",IFERROR(INDEX(Company_desc!$C:$C,MATCH($A578,Company_desc!$A:$A,0)),IFERROR(INDEX(Sheet1!$Q:$Q,MATCH($A578,Sheet1!$A:$A,0)),"")))</f>
        <v/>
      </c>
      <c r="R578" s="75">
        <f>IF($A578="","",_xll.BDP($A578&amp;" Corp","CRNCY"))</f>
        <v/>
      </c>
      <c r="S578" s="75">
        <f>IF($A578="","",IFERROR(INDEX(Sheet1!$S:$S,MATCH($A578,Sheet1!$A:$A,0)),""))</f>
        <v/>
      </c>
      <c r="T578" s="75">
        <f>IF($A578="","",IFERROR(INDEX(Sheet1!$T:$T,MATCH($A578,Sheet1!$A:$A,0)),_xll.BDP($A578&amp;" Corp","RTG_SP")))</f>
        <v/>
      </c>
      <c r="U578" s="75">
        <f>IF($A578="","",IFERROR(INDEX(Sheet1!$U:$U,MATCH($A578,Sheet1!$A:$A,0)),""))</f>
        <v/>
      </c>
      <c r="W578" s="81">
        <f>IF($A578="","",N578-_xll.BDP($A578&amp;" Corp","YAS_OAS_SPRD","SETTLE_DT",Company_desc!$A$1))</f>
        <v/>
      </c>
      <c r="X578" s="81">
        <f>IF($A578="","",N578-_xll.BDP($A578&amp;" Corp","YAS_OAS_SPRD","SETTLE_DT",Company_desc!$A$2))</f>
        <v/>
      </c>
      <c r="Y578" s="80">
        <f>IF($A578="","",N578-_xll.BDP($A578&amp;" Corp","YAS_OAS_SPRD","SETTLE_DT",Company_desc!$D$1))</f>
        <v/>
      </c>
      <c r="Z578" s="82">
        <f>IF($A578="","",K578-_xll.BDP($A578&amp;" Corp","YAS_BOND_YLD","YAS_YLD_FLAG=15","SETTLE_DT",Company_desc!$D$1))</f>
        <v/>
      </c>
      <c r="AA578" s="80">
        <f>IF($A578="","",_xll.BDP($A578&amp;" Corp","YAS_OAS_SPRD","SETTLE_DT",Company_desc!$D$1))</f>
        <v/>
      </c>
    </row>
    <row r="579">
      <c r="B579" s="75">
        <f>IF($A579="","",IFERROR(INDEX(Sheet1!$B:$B,MATCH($A579,Sheet1!$A:$A,0)),""))</f>
        <v/>
      </c>
      <c r="C579" s="75">
        <f>IF($A579="","",PROPER(_xll.BDP($A579&amp;" Corp","NAME")))</f>
        <v/>
      </c>
      <c r="D579" s="76">
        <f>IF($A579="","",_xll.BDP($A579&amp;" Corp","CPN"))</f>
        <v/>
      </c>
      <c r="E579" s="75">
        <f>IF($A579="","",_xll.BDP($A579&amp;" Corp","PAYMENT_RANK"))</f>
        <v/>
      </c>
      <c r="F579" s="100">
        <f>IF($A579="","",_xll.BDP($A579&amp;" Corp","MATURITY"))</f>
        <v/>
      </c>
      <c r="G579" s="75">
        <f>IF($A579="","",PROPER(_xll.BDP($A579&amp;" Corp","COUNTRY_FULL_NAME")))</f>
        <v/>
      </c>
      <c r="H579" s="75">
        <f>IF($A579="","",_xll.BDP($A579&amp;" Corp","INDUSTRY_SECTOR"))</f>
        <v/>
      </c>
      <c r="I579" s="101">
        <f>IF($A579="","",IFERROR(_xll.BDP($A579&amp;" Corp","MIN_PIECE")/1000,""))</f>
        <v/>
      </c>
      <c r="J579" s="31">
        <f>IF($A579="","",_xll.BDP($A579&amp;" Corp","PX_LAST"))</f>
        <v/>
      </c>
      <c r="K579" s="31">
        <f>IF($A579="","",_xll.BDP($A579&amp;" Corp","YAS_BOND_YLD","YAS_YLD_FLAG=15"))</f>
        <v/>
      </c>
      <c r="L579" s="31">
        <f>IF($A579="","",K579-_xll.BDP($A579&amp;" Corp","YAS_BOND_YLD","YAS_YLD_FLAG=15","SETTLE_DT",Company_desc!$A$1))</f>
        <v/>
      </c>
      <c r="M579" s="31">
        <f>IF($A579="","",K579-_xll.BDP($A579&amp;" Corp","YAS_BOND_YLD","YAS_YLD_FLAG=15","SETTLE_DT",Company_desc!$A$2))</f>
        <v/>
      </c>
      <c r="N579" s="79">
        <f>IF($A579="","",_xll.BDP($A579&amp;" Corp","YAS_OAS_SPRD"))</f>
        <v/>
      </c>
      <c r="O579" s="82">
        <f>IF($A579="","",_xll.BDP($A579&amp;" Corp","YAS_MOD_DUR"))</f>
        <v/>
      </c>
      <c r="P579" s="80">
        <f>IF($A579="","",IFERROR(INDEX(Sheet1!$P:$P,MATCH($A579,Sheet1!$A:$A,0)),""))</f>
        <v/>
      </c>
      <c r="Q579" s="75">
        <f>IF($A579="","",IFERROR(INDEX(Company_desc!$C:$C,MATCH($A579,Company_desc!$A:$A,0)),IFERROR(INDEX(Sheet1!$Q:$Q,MATCH($A579,Sheet1!$A:$A,0)),"")))</f>
        <v/>
      </c>
      <c r="R579" s="75">
        <f>IF($A579="","",_xll.BDP($A579&amp;" Corp","CRNCY"))</f>
        <v/>
      </c>
      <c r="S579" s="75">
        <f>IF($A579="","",IFERROR(INDEX(Sheet1!$S:$S,MATCH($A579,Sheet1!$A:$A,0)),""))</f>
        <v/>
      </c>
      <c r="T579" s="75">
        <f>IF($A579="","",IFERROR(INDEX(Sheet1!$T:$T,MATCH($A579,Sheet1!$A:$A,0)),_xll.BDP($A579&amp;" Corp","RTG_SP")))</f>
        <v/>
      </c>
      <c r="U579" s="75">
        <f>IF($A579="","",IFERROR(INDEX(Sheet1!$U:$U,MATCH($A579,Sheet1!$A:$A,0)),""))</f>
        <v/>
      </c>
      <c r="W579" s="81">
        <f>IF($A579="","",N579-_xll.BDP($A579&amp;" Corp","YAS_OAS_SPRD","SETTLE_DT",Company_desc!$A$1))</f>
        <v/>
      </c>
      <c r="X579" s="81">
        <f>IF($A579="","",N579-_xll.BDP($A579&amp;" Corp","YAS_OAS_SPRD","SETTLE_DT",Company_desc!$A$2))</f>
        <v/>
      </c>
      <c r="Y579" s="80">
        <f>IF($A579="","",N579-_xll.BDP($A579&amp;" Corp","YAS_OAS_SPRD","SETTLE_DT",Company_desc!$D$1))</f>
        <v/>
      </c>
      <c r="Z579" s="82">
        <f>IF($A579="","",K579-_xll.BDP($A579&amp;" Corp","YAS_BOND_YLD","YAS_YLD_FLAG=15","SETTLE_DT",Company_desc!$D$1))</f>
        <v/>
      </c>
      <c r="AA579" s="80">
        <f>IF($A579="","",_xll.BDP($A579&amp;" Corp","YAS_OAS_SPRD","SETTLE_DT",Company_desc!$D$1))</f>
        <v/>
      </c>
    </row>
    <row r="580">
      <c r="B580" s="75">
        <f>IF($A580="","",IFERROR(INDEX(Sheet1!$B:$B,MATCH($A580,Sheet1!$A:$A,0)),""))</f>
        <v/>
      </c>
      <c r="C580" s="75">
        <f>IF($A580="","",PROPER(_xll.BDP($A580&amp;" Corp","NAME")))</f>
        <v/>
      </c>
      <c r="D580" s="76">
        <f>IF($A580="","",_xll.BDP($A580&amp;" Corp","CPN"))</f>
        <v/>
      </c>
      <c r="E580" s="75">
        <f>IF($A580="","",_xll.BDP($A580&amp;" Corp","PAYMENT_RANK"))</f>
        <v/>
      </c>
      <c r="F580" s="100">
        <f>IF($A580="","",_xll.BDP($A580&amp;" Corp","MATURITY"))</f>
        <v/>
      </c>
      <c r="G580" s="75">
        <f>IF($A580="","",PROPER(_xll.BDP($A580&amp;" Corp","COUNTRY_FULL_NAME")))</f>
        <v/>
      </c>
      <c r="H580" s="75">
        <f>IF($A580="","",_xll.BDP($A580&amp;" Corp","INDUSTRY_SECTOR"))</f>
        <v/>
      </c>
      <c r="I580" s="101">
        <f>IF($A580="","",IFERROR(_xll.BDP($A580&amp;" Corp","MIN_PIECE")/1000,""))</f>
        <v/>
      </c>
      <c r="J580" s="31">
        <f>IF($A580="","",_xll.BDP($A580&amp;" Corp","PX_LAST"))</f>
        <v/>
      </c>
      <c r="K580" s="31">
        <f>IF($A580="","",_xll.BDP($A580&amp;" Corp","YAS_BOND_YLD","YAS_YLD_FLAG=15"))</f>
        <v/>
      </c>
      <c r="L580" s="31">
        <f>IF($A580="","",K580-_xll.BDP($A580&amp;" Corp","YAS_BOND_YLD","YAS_YLD_FLAG=15","SETTLE_DT",Company_desc!$A$1))</f>
        <v/>
      </c>
      <c r="M580" s="31">
        <f>IF($A580="","",K580-_xll.BDP($A580&amp;" Corp","YAS_BOND_YLD","YAS_YLD_FLAG=15","SETTLE_DT",Company_desc!$A$2))</f>
        <v/>
      </c>
      <c r="N580" s="79">
        <f>IF($A580="","",_xll.BDP($A580&amp;" Corp","YAS_OAS_SPRD"))</f>
        <v/>
      </c>
      <c r="O580" s="67">
        <f>IF($A580="","",_xll.BDP($A580&amp;" Corp","YAS_MOD_DUR"))</f>
        <v/>
      </c>
      <c r="P580" s="80">
        <f>IF($A580="","",IFERROR(INDEX(Sheet1!$P:$P,MATCH($A580,Sheet1!$A:$A,0)),""))</f>
        <v/>
      </c>
      <c r="Q580" s="75">
        <f>IF($A580="","",IFERROR(INDEX(Company_desc!$C:$C,MATCH($A580,Company_desc!$A:$A,0)),IFERROR(INDEX(Sheet1!$Q:$Q,MATCH($A580,Sheet1!$A:$A,0)),"")))</f>
        <v/>
      </c>
      <c r="R580" s="75">
        <f>IF($A580="","",_xll.BDP($A580&amp;" Corp","CRNCY"))</f>
        <v/>
      </c>
      <c r="S580" s="75">
        <f>IF($A580="","",IFERROR(INDEX(Sheet1!$S:$S,MATCH($A580,Sheet1!$A:$A,0)),""))</f>
        <v/>
      </c>
      <c r="T580" s="75">
        <f>IF($A580="","",IFERROR(INDEX(Sheet1!$T:$T,MATCH($A580,Sheet1!$A:$A,0)),_xll.BDP($A580&amp;" Corp","RTG_SP")))</f>
        <v/>
      </c>
      <c r="U580" s="75">
        <f>IF($A580="","",IFERROR(INDEX(Sheet1!$U:$U,MATCH($A580,Sheet1!$A:$A,0)),""))</f>
        <v/>
      </c>
      <c r="W580" s="81">
        <f>IF($A580="","",N580-_xll.BDP($A580&amp;" Corp","YAS_OAS_SPRD","SETTLE_DT",Company_desc!$A$1))</f>
        <v/>
      </c>
      <c r="X580" s="81">
        <f>IF($A580="","",N580-_xll.BDP($A580&amp;" Corp","YAS_OAS_SPRD","SETTLE_DT",Company_desc!$A$2))</f>
        <v/>
      </c>
      <c r="Y580" s="80">
        <f>IF($A580="","",N580-_xll.BDP($A580&amp;" Corp","YAS_OAS_SPRD","SETTLE_DT",Company_desc!$D$1))</f>
        <v/>
      </c>
      <c r="Z580" s="82">
        <f>IF($A580="","",K580-_xll.BDP($A580&amp;" Corp","YAS_BOND_YLD","YAS_YLD_FLAG=15","SETTLE_DT",Company_desc!$D$1))</f>
        <v/>
      </c>
      <c r="AA580" s="80">
        <f>IF($A580="","",_xll.BDP($A580&amp;" Corp","YAS_OAS_SPRD","SETTLE_DT",Company_desc!$D$1))</f>
        <v/>
      </c>
    </row>
    <row r="581">
      <c r="B581" s="28">
        <f>IF($A581="","",IFERROR(INDEX(Sheet1!$B:$B,MATCH($A581,Sheet1!$A:$A,0)),""))</f>
        <v/>
      </c>
      <c r="C581" s="29">
        <f>IF($A581="","",PROPER(_xll.BDP($A581&amp;" Corp","NAME")))</f>
        <v/>
      </c>
      <c r="D581" s="84">
        <f>IF($A581="","",_xll.BDP($A581&amp;" Corp","CPN"))</f>
        <v/>
      </c>
      <c r="E581" s="84">
        <f>IF($A581="","",_xll.BDP($A581&amp;" Corp","PAYMENT_RANK"))</f>
        <v/>
      </c>
      <c r="F581" s="102">
        <f>IF($A581="","",_xll.BDP($A581&amp;" Corp","MATURITY"))</f>
        <v/>
      </c>
      <c r="G581" s="43">
        <f>IF($A581="","",PROPER(_xll.BDP($A581&amp;" Corp","COUNTRY_FULL_NAME")))</f>
        <v/>
      </c>
      <c r="H581" s="29">
        <f>IF($A581="","",_xll.BDP($A581&amp;" Corp","INDUSTRY_SECTOR"))</f>
        <v/>
      </c>
      <c r="I581" s="103">
        <f>IF($A581="","",IFERROR(_xll.BDP($A581&amp;" Corp","MIN_PIECE")/1000,""))</f>
        <v/>
      </c>
      <c r="J581" s="31">
        <f>IF($A581="","",_xll.BDP($A581&amp;" Corp","PX_LAST"))</f>
        <v/>
      </c>
      <c r="K581" s="31">
        <f>IF($A581="","",_xll.BDP($A581&amp;" Corp","YAS_BOND_YLD","YAS_YLD_FLAG=15"))</f>
        <v/>
      </c>
      <c r="L581" s="31">
        <f>IF($A581="","",K581-_xll.BDP($A581&amp;" Corp","YAS_BOND_YLD","YAS_YLD_FLAG=15","SETTLE_DT",Company_desc!$A$1))</f>
        <v/>
      </c>
      <c r="M581" s="31">
        <f>IF($A581="","",K581-_xll.BDP($A581&amp;" Corp","YAS_BOND_YLD","YAS_YLD_FLAG=15","SETTLE_DT",Company_desc!$A$2))</f>
        <v/>
      </c>
      <c r="N581" s="79">
        <f>IF($A581="","",_xll.BDP($A581&amp;" Corp","YAS_OAS_SPRD"))</f>
        <v/>
      </c>
      <c r="O581" s="67">
        <f>IF($A581="","",_xll.BDP($A581&amp;" Corp","YAS_MOD_DUR"))</f>
        <v/>
      </c>
      <c r="P581" s="79">
        <f>IF($A581="","",IFERROR(INDEX(Sheet1!$P:$P,MATCH($A581,Sheet1!$A:$A,0)),""))</f>
        <v/>
      </c>
      <c r="Q581" s="27">
        <f>IF($A581="","",IFERROR(INDEX(Company_desc!$C:$C,MATCH($A581,Company_desc!$A:$A,0)),IFERROR(INDEX(Sheet1!$Q:$Q,MATCH($A581,Sheet1!$A:$A,0)),"")))</f>
        <v/>
      </c>
      <c r="R581" s="27">
        <f>IF($A581="","",_xll.BDP($A581&amp;" Corp","CRNCY"))</f>
        <v/>
      </c>
      <c r="S581" s="27">
        <f>IF($A581="","",IFERROR(INDEX(Sheet1!$S:$S,MATCH($A581,Sheet1!$A:$A,0)),""))</f>
        <v/>
      </c>
      <c r="T581" s="47">
        <f>IF($A581="","",IFERROR(INDEX(Sheet1!$T:$T,MATCH($A581,Sheet1!$A:$A,0)),_xll.BDP($A581&amp;" Corp","RTG_SP")))</f>
        <v/>
      </c>
      <c r="U581" s="75">
        <f>IF($A581="","",IFERROR(INDEX(Sheet1!$U:$U,MATCH($A581,Sheet1!$A:$A,0)),""))</f>
        <v/>
      </c>
      <c r="W581" s="81">
        <f>IF($A581="","",N581-_xll.BDP($A581&amp;" Corp","YAS_OAS_SPRD","SETTLE_DT",Company_desc!$A$1))</f>
        <v/>
      </c>
      <c r="X581" s="81">
        <f>IF($A581="","",N581-_xll.BDP($A581&amp;" Corp","YAS_OAS_SPRD","SETTLE_DT",Company_desc!$A$2))</f>
        <v/>
      </c>
      <c r="Y581" s="80">
        <f>IF($A581="","",N581-_xll.BDP($A581&amp;" Corp","YAS_OAS_SPRD","SETTLE_DT",Company_desc!$D$1))</f>
        <v/>
      </c>
      <c r="Z581" s="82">
        <f>IF($A581="","",K581-_xll.BDP($A581&amp;" Corp","YAS_BOND_YLD","YAS_YLD_FLAG=15","SETTLE_DT",Company_desc!$D$1))</f>
        <v/>
      </c>
      <c r="AA581" s="80">
        <f>IF($A581="","",_xll.BDP($A581&amp;" Corp","YAS_OAS_SPRD","SETTLE_DT",Company_desc!$D$1))</f>
        <v/>
      </c>
    </row>
    <row r="582">
      <c r="B582" s="75">
        <f>IF($A582="","",IFERROR(INDEX(Sheet1!$B:$B,MATCH($A582,Sheet1!$A:$A,0)),""))</f>
        <v/>
      </c>
      <c r="C582" s="75">
        <f>IF($A582="","",PROPER(_xll.BDP($A582&amp;" Corp","NAME")))</f>
        <v/>
      </c>
      <c r="D582" s="76">
        <f>IF($A582="","",_xll.BDP($A582&amp;" Corp","CPN"))</f>
        <v/>
      </c>
      <c r="E582" s="75">
        <f>IF($A582="","",_xll.BDP($A582&amp;" Corp","PAYMENT_RANK"))</f>
        <v/>
      </c>
      <c r="F582" s="100">
        <f>IF($A582="","",_xll.BDP($A582&amp;" Corp","MATURITY"))</f>
        <v/>
      </c>
      <c r="G582" s="75">
        <f>IF($A582="","",PROPER(_xll.BDP($A582&amp;" Corp","COUNTRY_FULL_NAME")))</f>
        <v/>
      </c>
      <c r="H582" s="75">
        <f>IF($A582="","",_xll.BDP($A582&amp;" Corp","INDUSTRY_SECTOR"))</f>
        <v/>
      </c>
      <c r="I582" s="101">
        <f>IF($A582="","",IFERROR(_xll.BDP($A582&amp;" Corp","MIN_PIECE")/1000,""))</f>
        <v/>
      </c>
      <c r="J582" s="31">
        <f>IF($A582="","",_xll.BDP($A582&amp;" Corp","PX_LAST"))</f>
        <v/>
      </c>
      <c r="K582" s="31">
        <f>IF($A582="","",_xll.BDP($A582&amp;" Corp","YAS_BOND_YLD","YAS_YLD_FLAG=15"))</f>
        <v/>
      </c>
      <c r="L582" s="31">
        <f>IF($A582="","",K582-_xll.BDP($A582&amp;" Corp","YAS_BOND_YLD","YAS_YLD_FLAG=15","SETTLE_DT",Company_desc!$A$1))</f>
        <v/>
      </c>
      <c r="M582" s="31">
        <f>IF($A582="","",K582-_xll.BDP($A582&amp;" Corp","YAS_BOND_YLD","YAS_YLD_FLAG=15","SETTLE_DT",Company_desc!$A$2))</f>
        <v/>
      </c>
      <c r="N582" s="79">
        <f>IF($A582="","",_xll.BDP($A582&amp;" Corp","YAS_OAS_SPRD"))</f>
        <v/>
      </c>
      <c r="O582" s="67">
        <f>IF($A582="","",_xll.BDP($A582&amp;" Corp","YAS_MOD_DUR"))</f>
        <v/>
      </c>
      <c r="P582" s="80">
        <f>IF($A582="","",IFERROR(INDEX(Sheet1!$P:$P,MATCH($A582,Sheet1!$A:$A,0)),""))</f>
        <v/>
      </c>
      <c r="Q582" s="75">
        <f>IF($A582="","",IFERROR(INDEX(Company_desc!$C:$C,MATCH($A582,Company_desc!$A:$A,0)),IFERROR(INDEX(Sheet1!$Q:$Q,MATCH($A582,Sheet1!$A:$A,0)),"")))</f>
        <v/>
      </c>
      <c r="R582" s="75">
        <f>IF($A582="","",_xll.BDP($A582&amp;" Corp","CRNCY"))</f>
        <v/>
      </c>
      <c r="S582" s="75">
        <f>IF($A582="","",IFERROR(INDEX(Sheet1!$S:$S,MATCH($A582,Sheet1!$A:$A,0)),""))</f>
        <v/>
      </c>
      <c r="T582" s="75">
        <f>IF($A582="","",IFERROR(INDEX(Sheet1!$T:$T,MATCH($A582,Sheet1!$A:$A,0)),_xll.BDP($A582&amp;" Corp","RTG_SP")))</f>
        <v/>
      </c>
      <c r="U582" s="75">
        <f>IF($A582="","",IFERROR(INDEX(Sheet1!$U:$U,MATCH($A582,Sheet1!$A:$A,0)),""))</f>
        <v/>
      </c>
      <c r="W582" s="81">
        <f>IF($A582="","",N582-_xll.BDP($A582&amp;" Corp","YAS_OAS_SPRD","SETTLE_DT",Company_desc!$A$1))</f>
        <v/>
      </c>
      <c r="X582" s="81">
        <f>IF($A582="","",N582-_xll.BDP($A582&amp;" Corp","YAS_OAS_SPRD","SETTLE_DT",Company_desc!$A$2))</f>
        <v/>
      </c>
      <c r="Y582" s="80">
        <f>IF($A582="","",N582-_xll.BDP($A582&amp;" Corp","YAS_OAS_SPRD","SETTLE_DT",Company_desc!$D$1))</f>
        <v/>
      </c>
      <c r="Z582" s="82">
        <f>IF($A582="","",K582-_xll.BDP($A582&amp;" Corp","YAS_BOND_YLD","YAS_YLD_FLAG=15","SETTLE_DT",Company_desc!$D$1))</f>
        <v/>
      </c>
      <c r="AA582" s="80">
        <f>IF($A582="","",_xll.BDP($A582&amp;" Corp","YAS_OAS_SPRD","SETTLE_DT",Company_desc!$D$1))</f>
        <v/>
      </c>
    </row>
    <row r="583">
      <c r="B583" s="75">
        <f>IF($A583="","",IFERROR(INDEX(Sheet1!$B:$B,MATCH($A583,Sheet1!$A:$A,0)),""))</f>
        <v/>
      </c>
      <c r="C583" s="75">
        <f>IF($A583="","",PROPER(_xll.BDP($A583&amp;" Corp","NAME")))</f>
        <v/>
      </c>
      <c r="D583" s="76">
        <f>IF($A583="","",_xll.BDP($A583&amp;" Corp","CPN"))</f>
        <v/>
      </c>
      <c r="E583" s="75">
        <f>IF($A583="","",_xll.BDP($A583&amp;" Corp","PAYMENT_RANK"))</f>
        <v/>
      </c>
      <c r="F583" s="100">
        <f>IF($A583="","",_xll.BDP($A583&amp;" Corp","MATURITY"))</f>
        <v/>
      </c>
      <c r="G583" s="75">
        <f>IF($A583="","",PROPER(_xll.BDP($A583&amp;" Corp","COUNTRY_FULL_NAME")))</f>
        <v/>
      </c>
      <c r="H583" s="75">
        <f>IF($A583="","",_xll.BDP($A583&amp;" Corp","INDUSTRY_SECTOR"))</f>
        <v/>
      </c>
      <c r="I583" s="101">
        <f>IF($A583="","",IFERROR(_xll.BDP($A583&amp;" Corp","MIN_PIECE")/1000,""))</f>
        <v/>
      </c>
      <c r="J583" s="31">
        <f>IF($A583="","",_xll.BDP($A583&amp;" Corp","PX_LAST"))</f>
        <v/>
      </c>
      <c r="K583" s="31">
        <f>IF($A583="","",_xll.BDP($A583&amp;" Corp","YAS_BOND_YLD","YAS_YLD_FLAG=15"))</f>
        <v/>
      </c>
      <c r="L583" s="31">
        <f>IF($A583="","",K583-_xll.BDP($A583&amp;" Corp","YAS_BOND_YLD","YAS_YLD_FLAG=15","SETTLE_DT",Company_desc!$A$1))</f>
        <v/>
      </c>
      <c r="M583" s="31">
        <f>IF($A583="","",K583-_xll.BDP($A583&amp;" Corp","YAS_BOND_YLD","YAS_YLD_FLAG=15","SETTLE_DT",Company_desc!$A$2))</f>
        <v/>
      </c>
      <c r="N583" s="79">
        <f>IF($A583="","",_xll.BDP($A583&amp;" Corp","YAS_OAS_SPRD"))</f>
        <v/>
      </c>
      <c r="O583" s="67">
        <f>IF($A583="","",_xll.BDP($A583&amp;" Corp","YAS_MOD_DUR"))</f>
        <v/>
      </c>
      <c r="P583" s="80">
        <f>IF($A583="","",IFERROR(INDEX(Sheet1!$P:$P,MATCH($A583,Sheet1!$A:$A,0)),""))</f>
        <v/>
      </c>
      <c r="Q583" s="75">
        <f>IF($A583="","",IFERROR(INDEX(Company_desc!$C:$C,MATCH($A583,Company_desc!$A:$A,0)),IFERROR(INDEX(Sheet1!$Q:$Q,MATCH($A583,Sheet1!$A:$A,0)),"")))</f>
        <v/>
      </c>
      <c r="R583" s="75">
        <f>IF($A583="","",_xll.BDP($A583&amp;" Corp","CRNCY"))</f>
        <v/>
      </c>
      <c r="S583" s="75">
        <f>IF($A583="","",IFERROR(INDEX(Sheet1!$S:$S,MATCH($A583,Sheet1!$A:$A,0)),""))</f>
        <v/>
      </c>
      <c r="T583" s="75">
        <f>IF($A583="","",IFERROR(INDEX(Sheet1!$T:$T,MATCH($A583,Sheet1!$A:$A,0)),_xll.BDP($A583&amp;" Corp","RTG_SP")))</f>
        <v/>
      </c>
      <c r="U583" s="75">
        <f>IF($A583="","",IFERROR(INDEX(Sheet1!$U:$U,MATCH($A583,Sheet1!$A:$A,0)),""))</f>
        <v/>
      </c>
      <c r="W583" s="81">
        <f>IF($A583="","",N583-_xll.BDP($A583&amp;" Corp","YAS_OAS_SPRD","SETTLE_DT",Company_desc!$A$1))</f>
        <v/>
      </c>
      <c r="X583" s="81">
        <f>IF($A583="","",N583-_xll.BDP($A583&amp;" Corp","YAS_OAS_SPRD","SETTLE_DT",Company_desc!$A$2))</f>
        <v/>
      </c>
      <c r="Y583" s="80">
        <f>IF($A583="","",N583-_xll.BDP($A583&amp;" Corp","YAS_OAS_SPRD","SETTLE_DT",Company_desc!$D$1))</f>
        <v/>
      </c>
      <c r="Z583" s="82">
        <f>IF($A583="","",K583-_xll.BDP($A583&amp;" Corp","YAS_BOND_YLD","YAS_YLD_FLAG=15","SETTLE_DT",Company_desc!$D$1))</f>
        <v/>
      </c>
      <c r="AA583" s="80">
        <f>IF($A583="","",_xll.BDP($A583&amp;" Corp","YAS_OAS_SPRD","SETTLE_DT",Company_desc!$D$1))</f>
        <v/>
      </c>
    </row>
    <row r="584">
      <c r="B584" s="75">
        <f>IF($A584="","",IFERROR(INDEX(Sheet1!$B:$B,MATCH($A584,Sheet1!$A:$A,0)),""))</f>
        <v/>
      </c>
      <c r="C584" s="75">
        <f>IF($A584="","",PROPER(_xll.BDP($A584&amp;" Corp","NAME")))</f>
        <v/>
      </c>
      <c r="D584" s="76">
        <f>IF($A584="","",_xll.BDP($A584&amp;" Corp","CPN"))</f>
        <v/>
      </c>
      <c r="E584" s="75">
        <f>IF($A584="","",_xll.BDP($A584&amp;" Corp","PAYMENT_RANK"))</f>
        <v/>
      </c>
      <c r="F584" s="100">
        <f>IF($A584="","",_xll.BDP($A584&amp;" Corp","MATURITY"))</f>
        <v/>
      </c>
      <c r="G584" s="75">
        <f>IF($A584="","",PROPER(_xll.BDP($A584&amp;" Corp","COUNTRY_FULL_NAME")))</f>
        <v/>
      </c>
      <c r="H584" s="75">
        <f>IF($A584="","",_xll.BDP($A584&amp;" Corp","INDUSTRY_SECTOR"))</f>
        <v/>
      </c>
      <c r="I584" s="101">
        <f>IF($A584="","",IFERROR(_xll.BDP($A584&amp;" Corp","MIN_PIECE")/1000,""))</f>
        <v/>
      </c>
      <c r="J584" s="31">
        <f>IF($A584="","",_xll.BDP($A584&amp;" Corp","PX_LAST"))</f>
        <v/>
      </c>
      <c r="K584" s="31">
        <f>IF($A584="","",_xll.BDP($A584&amp;" Corp","YAS_BOND_YLD","YAS_YLD_FLAG=15"))</f>
        <v/>
      </c>
      <c r="L584" s="31">
        <f>IF($A584="","",K584-_xll.BDP($A584&amp;" Corp","YAS_BOND_YLD","YAS_YLD_FLAG=15","SETTLE_DT",Company_desc!$A$1))</f>
        <v/>
      </c>
      <c r="M584" s="31">
        <f>IF($A584="","",K584-_xll.BDP($A584&amp;" Corp","YAS_BOND_YLD","YAS_YLD_FLAG=15","SETTLE_DT",Company_desc!$A$2))</f>
        <v/>
      </c>
      <c r="N584" s="79">
        <f>IF($A584="","",_xll.BDP($A584&amp;" Corp","YAS_OAS_SPRD"))</f>
        <v/>
      </c>
      <c r="O584" s="67">
        <f>IF($A584="","",_xll.BDP($A584&amp;" Corp","YAS_MOD_DUR"))</f>
        <v/>
      </c>
      <c r="P584" s="80">
        <f>IF($A584="","",IFERROR(INDEX(Sheet1!$P:$P,MATCH($A584,Sheet1!$A:$A,0)),""))</f>
        <v/>
      </c>
      <c r="Q584" s="75">
        <f>IF($A584="","",IFERROR(INDEX(Company_desc!$C:$C,MATCH($A584,Company_desc!$A:$A,0)),IFERROR(INDEX(Sheet1!$Q:$Q,MATCH($A584,Sheet1!$A:$A,0)),"")))</f>
        <v/>
      </c>
      <c r="R584" s="75">
        <f>IF($A584="","",_xll.BDP($A584&amp;" Corp","CRNCY"))</f>
        <v/>
      </c>
      <c r="S584" s="75">
        <f>IF($A584="","",IFERROR(INDEX(Sheet1!$S:$S,MATCH($A584,Sheet1!$A:$A,0)),""))</f>
        <v/>
      </c>
      <c r="T584" s="75">
        <f>IF($A584="","",IFERROR(INDEX(Sheet1!$T:$T,MATCH($A584,Sheet1!$A:$A,0)),_xll.BDP($A584&amp;" Corp","RTG_SP")))</f>
        <v/>
      </c>
      <c r="U584" s="75">
        <f>IF($A584="","",IFERROR(INDEX(Sheet1!$U:$U,MATCH($A584,Sheet1!$A:$A,0)),""))</f>
        <v/>
      </c>
      <c r="W584" s="81">
        <f>IF($A584="","",N584-_xll.BDP($A584&amp;" Corp","YAS_OAS_SPRD","SETTLE_DT",Company_desc!$A$1))</f>
        <v/>
      </c>
      <c r="X584" s="81">
        <f>IF($A584="","",N584-_xll.BDP($A584&amp;" Corp","YAS_OAS_SPRD","SETTLE_DT",Company_desc!$A$2))</f>
        <v/>
      </c>
      <c r="Y584" s="80">
        <f>IF($A584="","",N584-_xll.BDP($A584&amp;" Corp","YAS_OAS_SPRD","SETTLE_DT",Company_desc!$D$1))</f>
        <v/>
      </c>
      <c r="Z584" s="82">
        <f>IF($A584="","",K584-_xll.BDP($A584&amp;" Corp","YAS_BOND_YLD","YAS_YLD_FLAG=15","SETTLE_DT",Company_desc!$D$1))</f>
        <v/>
      </c>
      <c r="AA584" s="80">
        <f>IF($A584="","",_xll.BDP($A584&amp;" Corp","YAS_OAS_SPRD","SETTLE_DT",Company_desc!$D$1))</f>
        <v/>
      </c>
    </row>
    <row r="585">
      <c r="B585" s="75">
        <f>IF($A585="","",IFERROR(INDEX(Sheet1!$B:$B,MATCH($A585,Sheet1!$A:$A,0)),""))</f>
        <v/>
      </c>
      <c r="C585" s="75">
        <f>IF($A585="","",PROPER(_xll.BDP($A585&amp;" Corp","NAME")))</f>
        <v/>
      </c>
      <c r="D585" s="76">
        <f>IF($A585="","",_xll.BDP($A585&amp;" Corp","CPN"))</f>
        <v/>
      </c>
      <c r="E585" s="75">
        <f>IF($A585="","",_xll.BDP($A585&amp;" Corp","PAYMENT_RANK"))</f>
        <v/>
      </c>
      <c r="F585" s="100">
        <f>IF($A585="","",_xll.BDP($A585&amp;" Corp","MATURITY"))</f>
        <v/>
      </c>
      <c r="G585" s="75">
        <f>IF($A585="","",PROPER(_xll.BDP($A585&amp;" Corp","COUNTRY_FULL_NAME")))</f>
        <v/>
      </c>
      <c r="H585" s="75">
        <f>IF($A585="","",_xll.BDP($A585&amp;" Corp","INDUSTRY_SECTOR"))</f>
        <v/>
      </c>
      <c r="I585" s="101">
        <f>IF($A585="","",IFERROR(_xll.BDP($A585&amp;" Corp","MIN_PIECE")/1000,""))</f>
        <v/>
      </c>
      <c r="J585" s="31">
        <f>IF($A585="","",_xll.BDP($A585&amp;" Corp","PX_LAST"))</f>
        <v/>
      </c>
      <c r="K585" s="31">
        <f>IF($A585="","",_xll.BDP($A585&amp;" Corp","YAS_BOND_YLD","YAS_YLD_FLAG=15"))</f>
        <v/>
      </c>
      <c r="L585" s="31">
        <f>IF($A585="","",K585-_xll.BDP($A585&amp;" Corp","YAS_BOND_YLD","YAS_YLD_FLAG=15","SETTLE_DT",Company_desc!$A$1))</f>
        <v/>
      </c>
      <c r="M585" s="31">
        <f>IF($A585="","",K585-_xll.BDP($A585&amp;" Corp","YAS_BOND_YLD","YAS_YLD_FLAG=15","SETTLE_DT",Company_desc!$A$2))</f>
        <v/>
      </c>
      <c r="N585" s="79">
        <f>IF($A585="","",_xll.BDP($A585&amp;" Corp","YAS_OAS_SPRD"))</f>
        <v/>
      </c>
      <c r="O585" s="67">
        <f>IF($A585="","",_xll.BDP($A585&amp;" Corp","YAS_MOD_DUR"))</f>
        <v/>
      </c>
      <c r="P585" s="80">
        <f>IF($A585="","",IFERROR(INDEX(Sheet1!$P:$P,MATCH($A585,Sheet1!$A:$A,0)),""))</f>
        <v/>
      </c>
      <c r="Q585" s="75">
        <f>IF($A585="","",IFERROR(INDEX(Company_desc!$C:$C,MATCH($A585,Company_desc!$A:$A,0)),IFERROR(INDEX(Sheet1!$Q:$Q,MATCH($A585,Sheet1!$A:$A,0)),"")))</f>
        <v/>
      </c>
      <c r="R585" s="75">
        <f>IF($A585="","",_xll.BDP($A585&amp;" Corp","CRNCY"))</f>
        <v/>
      </c>
      <c r="S585" s="75">
        <f>IF($A585="","",IFERROR(INDEX(Sheet1!$S:$S,MATCH($A585,Sheet1!$A:$A,0)),""))</f>
        <v/>
      </c>
      <c r="T585" s="75">
        <f>IF($A585="","",IFERROR(INDEX(Sheet1!$T:$T,MATCH($A585,Sheet1!$A:$A,0)),_xll.BDP($A585&amp;" Corp","RTG_SP")))</f>
        <v/>
      </c>
      <c r="U585" s="75">
        <f>IF($A585="","",IFERROR(INDEX(Sheet1!$U:$U,MATCH($A585,Sheet1!$A:$A,0)),""))</f>
        <v/>
      </c>
      <c r="W585" s="81">
        <f>IF($A585="","",N585-_xll.BDP($A585&amp;" Corp","YAS_OAS_SPRD","SETTLE_DT",Company_desc!$A$1))</f>
        <v/>
      </c>
      <c r="X585" s="81">
        <f>IF($A585="","",N585-_xll.BDP($A585&amp;" Corp","YAS_OAS_SPRD","SETTLE_DT",Company_desc!$A$2))</f>
        <v/>
      </c>
      <c r="Y585" s="80">
        <f>IF($A585="","",N585-_xll.BDP($A585&amp;" Corp","YAS_OAS_SPRD","SETTLE_DT",Company_desc!$D$1))</f>
        <v/>
      </c>
      <c r="Z585" s="82">
        <f>IF($A585="","",K585-_xll.BDP($A585&amp;" Corp","YAS_BOND_YLD","YAS_YLD_FLAG=15","SETTLE_DT",Company_desc!$D$1))</f>
        <v/>
      </c>
      <c r="AA585" s="80">
        <f>IF($A585="","",_xll.BDP($A585&amp;" Corp","YAS_OAS_SPRD","SETTLE_DT",Company_desc!$D$1))</f>
        <v/>
      </c>
    </row>
    <row r="586">
      <c r="B586" s="75">
        <f>IF($A586="","",IFERROR(INDEX(Sheet1!$B:$B,MATCH($A586,Sheet1!$A:$A,0)),""))</f>
        <v/>
      </c>
      <c r="C586" s="75">
        <f>IF($A586="","",PROPER(_xll.BDP($A586&amp;" Corp","NAME")))</f>
        <v/>
      </c>
      <c r="D586" s="76">
        <f>IF($A586="","",_xll.BDP($A586&amp;" Corp","CPN"))</f>
        <v/>
      </c>
      <c r="E586" s="75">
        <f>IF($A586="","",_xll.BDP($A586&amp;" Corp","PAYMENT_RANK"))</f>
        <v/>
      </c>
      <c r="F586" s="100">
        <f>IF($A586="","",_xll.BDP($A586&amp;" Corp","MATURITY"))</f>
        <v/>
      </c>
      <c r="G586" s="75">
        <f>IF($A586="","",PROPER(_xll.BDP($A586&amp;" Corp","COUNTRY_FULL_NAME")))</f>
        <v/>
      </c>
      <c r="H586" s="75">
        <f>IF($A586="","",_xll.BDP($A586&amp;" Corp","INDUSTRY_SECTOR"))</f>
        <v/>
      </c>
      <c r="I586" s="101">
        <f>IF($A586="","",IFERROR(_xll.BDP($A586&amp;" Corp","MIN_PIECE")/1000,""))</f>
        <v/>
      </c>
      <c r="J586" s="31">
        <f>IF($A586="","",_xll.BDP($A586&amp;" Corp","PX_LAST"))</f>
        <v/>
      </c>
      <c r="K586" s="31">
        <f>IF($A586="","",_xll.BDP($A586&amp;" Corp","YAS_BOND_YLD","YAS_YLD_FLAG=15"))</f>
        <v/>
      </c>
      <c r="L586" s="31">
        <f>IF($A586="","",K586-_xll.BDP($A586&amp;" Corp","YAS_BOND_YLD","YAS_YLD_FLAG=15","SETTLE_DT",Company_desc!$A$1))</f>
        <v/>
      </c>
      <c r="M586" s="31">
        <f>IF($A586="","",K586-_xll.BDP($A586&amp;" Corp","YAS_BOND_YLD","YAS_YLD_FLAG=15","SETTLE_DT",Company_desc!$A$2))</f>
        <v/>
      </c>
      <c r="N586" s="79">
        <f>IF($A586="","",_xll.BDP($A586&amp;" Corp","YAS_OAS_SPRD"))</f>
        <v/>
      </c>
      <c r="O586" s="67">
        <f>IF($A586="","",_xll.BDP($A586&amp;" Corp","YAS_MOD_DUR"))</f>
        <v/>
      </c>
      <c r="P586" s="80">
        <f>IF($A586="","",IFERROR(INDEX(Sheet1!$P:$P,MATCH($A586,Sheet1!$A:$A,0)),""))</f>
        <v/>
      </c>
      <c r="Q586" s="75">
        <f>IF($A586="","",IFERROR(INDEX(Company_desc!$C:$C,MATCH($A586,Company_desc!$A:$A,0)),IFERROR(INDEX(Sheet1!$Q:$Q,MATCH($A586,Sheet1!$A:$A,0)),"")))</f>
        <v/>
      </c>
      <c r="R586" s="75">
        <f>IF($A586="","",_xll.BDP($A586&amp;" Corp","CRNCY"))</f>
        <v/>
      </c>
      <c r="S586" s="75">
        <f>IF($A586="","",IFERROR(INDEX(Sheet1!$S:$S,MATCH($A586,Sheet1!$A:$A,0)),""))</f>
        <v/>
      </c>
      <c r="T586" s="75">
        <f>IF($A586="","",IFERROR(INDEX(Sheet1!$T:$T,MATCH($A586,Sheet1!$A:$A,0)),_xll.BDP($A586&amp;" Corp","RTG_SP")))</f>
        <v/>
      </c>
      <c r="U586" s="83">
        <f>IF($A586="","",IFERROR(INDEX(Sheet1!$U:$U,MATCH($A586,Sheet1!$A:$A,0)),""))</f>
        <v/>
      </c>
      <c r="W586" s="81">
        <f>IF($A586="","",N586-_xll.BDP($A586&amp;" Corp","YAS_OAS_SPRD","SETTLE_DT",Company_desc!$A$1))</f>
        <v/>
      </c>
      <c r="X586" s="81">
        <f>IF($A586="","",N586-_xll.BDP($A586&amp;" Corp","YAS_OAS_SPRD","SETTLE_DT",Company_desc!$A$2))</f>
        <v/>
      </c>
      <c r="Y586" s="80">
        <f>IF($A586="","",N586-_xll.BDP($A586&amp;" Corp","YAS_OAS_SPRD","SETTLE_DT",Company_desc!$D$1))</f>
        <v/>
      </c>
      <c r="Z586" s="82">
        <f>IF($A586="","",K586-_xll.BDP($A586&amp;" Corp","YAS_BOND_YLD","YAS_YLD_FLAG=15","SETTLE_DT",Company_desc!$D$1))</f>
        <v/>
      </c>
      <c r="AA586" s="80">
        <f>IF($A586="","",_xll.BDP($A586&amp;" Corp","YAS_OAS_SPRD","SETTLE_DT",Company_desc!$D$1))</f>
        <v/>
      </c>
    </row>
    <row r="587">
      <c r="B587" s="75">
        <f>IF($A587="","",IFERROR(INDEX(Sheet1!$B:$B,MATCH($A587,Sheet1!$A:$A,0)),""))</f>
        <v/>
      </c>
      <c r="C587" s="75">
        <f>IF($A587="","",PROPER(_xll.BDP($A587&amp;" Corp","NAME")))</f>
        <v/>
      </c>
      <c r="D587" s="76">
        <f>IF($A587="","",_xll.BDP($A587&amp;" Corp","CPN"))</f>
        <v/>
      </c>
      <c r="E587" s="75">
        <f>IF($A587="","",_xll.BDP($A587&amp;" Corp","PAYMENT_RANK"))</f>
        <v/>
      </c>
      <c r="F587" s="100">
        <f>IF($A587="","",_xll.BDP($A587&amp;" Corp","MATURITY"))</f>
        <v/>
      </c>
      <c r="G587" s="75">
        <f>IF($A587="","",PROPER(_xll.BDP($A587&amp;" Corp","COUNTRY_FULL_NAME")))</f>
        <v/>
      </c>
      <c r="H587" s="75">
        <f>IF($A587="","",_xll.BDP($A587&amp;" Corp","INDUSTRY_SECTOR"))</f>
        <v/>
      </c>
      <c r="I587" s="101">
        <f>IF($A587="","",IFERROR(_xll.BDP($A587&amp;" Corp","MIN_PIECE")/1000,""))</f>
        <v/>
      </c>
      <c r="J587" s="31">
        <f>IF($A587="","",_xll.BDP($A587&amp;" Corp","PX_LAST"))</f>
        <v/>
      </c>
      <c r="K587" s="31">
        <f>IF($A587="","",_xll.BDP($A587&amp;" Corp","YAS_BOND_YLD","YAS_YLD_FLAG=15"))</f>
        <v/>
      </c>
      <c r="L587" s="31">
        <f>IF($A587="","",K587-_xll.BDP($A587&amp;" Corp","YAS_BOND_YLD","YAS_YLD_FLAG=15","SETTLE_DT",Company_desc!$A$1))</f>
        <v/>
      </c>
      <c r="M587" s="31">
        <f>IF($A587="","",K587-_xll.BDP($A587&amp;" Corp","YAS_BOND_YLD","YAS_YLD_FLAG=15","SETTLE_DT",Company_desc!$A$2))</f>
        <v/>
      </c>
      <c r="N587" s="79">
        <f>IF($A587="","",_xll.BDP($A587&amp;" Corp","YAS_OAS_SPRD"))</f>
        <v/>
      </c>
      <c r="O587" s="67">
        <f>IF($A587="","",_xll.BDP($A587&amp;" Corp","YAS_MOD_DUR"))</f>
        <v/>
      </c>
      <c r="P587" s="80">
        <f>IF($A587="","",IFERROR(INDEX(Sheet1!$P:$P,MATCH($A587,Sheet1!$A:$A,0)),""))</f>
        <v/>
      </c>
      <c r="Q587" s="75">
        <f>IF($A587="","",IFERROR(INDEX(Company_desc!$C:$C,MATCH($A587,Company_desc!$A:$A,0)),IFERROR(INDEX(Sheet1!$Q:$Q,MATCH($A587,Sheet1!$A:$A,0)),"")))</f>
        <v/>
      </c>
      <c r="R587" s="75">
        <f>IF($A587="","",_xll.BDP($A587&amp;" Corp","CRNCY"))</f>
        <v/>
      </c>
      <c r="S587" s="75">
        <f>IF($A587="","",IFERROR(INDEX(Sheet1!$S:$S,MATCH($A587,Sheet1!$A:$A,0)),""))</f>
        <v/>
      </c>
      <c r="T587" s="75">
        <f>IF($A587="","",IFERROR(INDEX(Sheet1!$T:$T,MATCH($A587,Sheet1!$A:$A,0)),_xll.BDP($A587&amp;" Corp","RTG_SP")))</f>
        <v/>
      </c>
      <c r="U587" s="75">
        <f>IF($A587="","",IFERROR(INDEX(Sheet1!$U:$U,MATCH($A587,Sheet1!$A:$A,0)),""))</f>
        <v/>
      </c>
      <c r="W587" s="81">
        <f>IF($A587="","",N587-_xll.BDP($A587&amp;" Corp","YAS_OAS_SPRD","SETTLE_DT",Company_desc!$A$1))</f>
        <v/>
      </c>
      <c r="X587" s="81">
        <f>IF($A587="","",N587-_xll.BDP($A587&amp;" Corp","YAS_OAS_SPRD","SETTLE_DT",Company_desc!$A$2))</f>
        <v/>
      </c>
      <c r="Y587" s="80">
        <f>IF($A587="","",N587-_xll.BDP($A587&amp;" Corp","YAS_OAS_SPRD","SETTLE_DT",Company_desc!$D$1))</f>
        <v/>
      </c>
      <c r="Z587" s="82">
        <f>IF($A587="","",K587-_xll.BDP($A587&amp;" Corp","YAS_BOND_YLD","YAS_YLD_FLAG=15","SETTLE_DT",Company_desc!$D$1))</f>
        <v/>
      </c>
      <c r="AA587" s="80">
        <f>IF($A587="","",_xll.BDP($A587&amp;" Corp","YAS_OAS_SPRD","SETTLE_DT",Company_desc!$D$1))</f>
        <v/>
      </c>
    </row>
    <row r="588">
      <c r="B588" s="75">
        <f>IF($A588="","",IFERROR(INDEX(Sheet1!$B:$B,MATCH($A588,Sheet1!$A:$A,0)),""))</f>
        <v/>
      </c>
      <c r="C588" s="75">
        <f>IF($A588="","",PROPER(_xll.BDP($A588&amp;" Corp","NAME")))</f>
        <v/>
      </c>
      <c r="D588" s="76">
        <f>IF($A588="","",_xll.BDP($A588&amp;" Corp","CPN"))</f>
        <v/>
      </c>
      <c r="E588" s="75">
        <f>IF($A588="","",_xll.BDP($A588&amp;" Corp","PAYMENT_RANK"))</f>
        <v/>
      </c>
      <c r="F588" s="100">
        <f>IF($A588="","",_xll.BDP($A588&amp;" Corp","MATURITY"))</f>
        <v/>
      </c>
      <c r="G588" s="75">
        <f>IF($A588="","",PROPER(_xll.BDP($A588&amp;" Corp","COUNTRY_FULL_NAME")))</f>
        <v/>
      </c>
      <c r="H588" s="75">
        <f>IF($A588="","",_xll.BDP($A588&amp;" Corp","INDUSTRY_SECTOR"))</f>
        <v/>
      </c>
      <c r="I588" s="101">
        <f>IF($A588="","",IFERROR(_xll.BDP($A588&amp;" Corp","MIN_PIECE")/1000,""))</f>
        <v/>
      </c>
      <c r="J588" s="31">
        <f>IF($A588="","",_xll.BDP($A588&amp;" Corp","PX_LAST"))</f>
        <v/>
      </c>
      <c r="K588" s="31">
        <f>IF($A588="","",_xll.BDP($A588&amp;" Corp","YAS_BOND_YLD","YAS_YLD_FLAG=15"))</f>
        <v/>
      </c>
      <c r="L588" s="31">
        <f>IF($A588="","",K588-_xll.BDP($A588&amp;" Corp","YAS_BOND_YLD","YAS_YLD_FLAG=15","SETTLE_DT",Company_desc!$A$1))</f>
        <v/>
      </c>
      <c r="M588" s="31">
        <f>IF($A588="","",K588-_xll.BDP($A588&amp;" Corp","YAS_BOND_YLD","YAS_YLD_FLAG=15","SETTLE_DT",Company_desc!$A$2))</f>
        <v/>
      </c>
      <c r="N588" s="79">
        <f>IF($A588="","",_xll.BDP($A588&amp;" Corp","YAS_OAS_SPRD"))</f>
        <v/>
      </c>
      <c r="O588" s="67">
        <f>IF($A588="","",_xll.BDP($A588&amp;" Corp","YAS_MOD_DUR"))</f>
        <v/>
      </c>
      <c r="P588" s="80">
        <f>IF($A588="","",IFERROR(INDEX(Sheet1!$P:$P,MATCH($A588,Sheet1!$A:$A,0)),""))</f>
        <v/>
      </c>
      <c r="Q588" s="75">
        <f>IF($A588="","",IFERROR(INDEX(Company_desc!$C:$C,MATCH($A588,Company_desc!$A:$A,0)),IFERROR(INDEX(Sheet1!$Q:$Q,MATCH($A588,Sheet1!$A:$A,0)),"")))</f>
        <v/>
      </c>
      <c r="R588" s="75">
        <f>IF($A588="","",_xll.BDP($A588&amp;" Corp","CRNCY"))</f>
        <v/>
      </c>
      <c r="S588" s="75">
        <f>IF($A588="","",IFERROR(INDEX(Sheet1!$S:$S,MATCH($A588,Sheet1!$A:$A,0)),""))</f>
        <v/>
      </c>
      <c r="T588" s="75">
        <f>IF($A588="","",IFERROR(INDEX(Sheet1!$T:$T,MATCH($A588,Sheet1!$A:$A,0)),_xll.BDP($A588&amp;" Corp","RTG_SP")))</f>
        <v/>
      </c>
      <c r="U588" s="75">
        <f>IF($A588="","",IFERROR(INDEX(Sheet1!$U:$U,MATCH($A588,Sheet1!$A:$A,0)),""))</f>
        <v/>
      </c>
      <c r="W588" s="81">
        <f>IF($A588="","",N588-_xll.BDP($A588&amp;" Corp","YAS_OAS_SPRD","SETTLE_DT",Company_desc!$A$1))</f>
        <v/>
      </c>
      <c r="X588" s="81">
        <f>IF($A588="","",N588-_xll.BDP($A588&amp;" Corp","YAS_OAS_SPRD","SETTLE_DT",Company_desc!$A$2))</f>
        <v/>
      </c>
      <c r="Y588" s="80">
        <f>IF($A588="","",N588-_xll.BDP($A588&amp;" Corp","YAS_OAS_SPRD","SETTLE_DT",Company_desc!$D$1))</f>
        <v/>
      </c>
      <c r="Z588" s="82">
        <f>IF($A588="","",K588-_xll.BDP($A588&amp;" Corp","YAS_BOND_YLD","YAS_YLD_FLAG=15","SETTLE_DT",Company_desc!$D$1))</f>
        <v/>
      </c>
      <c r="AA588" s="80">
        <f>IF($A588="","",_xll.BDP($A588&amp;" Corp","YAS_OAS_SPRD","SETTLE_DT",Company_desc!$D$1))</f>
        <v/>
      </c>
    </row>
    <row r="589">
      <c r="B589" s="75">
        <f>IF($A589="","",IFERROR(INDEX(Sheet1!$B:$B,MATCH($A589,Sheet1!$A:$A,0)),""))</f>
        <v/>
      </c>
      <c r="C589" s="75">
        <f>IF($A589="","",PROPER(_xll.BDP($A589&amp;" Corp","NAME")))</f>
        <v/>
      </c>
      <c r="D589" s="76">
        <f>IF($A589="","",_xll.BDP($A589&amp;" Corp","CPN"))</f>
        <v/>
      </c>
      <c r="E589" s="75">
        <f>IF($A589="","",_xll.BDP($A589&amp;" Corp","PAYMENT_RANK"))</f>
        <v/>
      </c>
      <c r="F589" s="100">
        <f>IF($A589="","",_xll.BDP($A589&amp;" Corp","MATURITY"))</f>
        <v/>
      </c>
      <c r="G589" s="75">
        <f>IF($A589="","",PROPER(_xll.BDP($A589&amp;" Corp","COUNTRY_FULL_NAME")))</f>
        <v/>
      </c>
      <c r="H589" s="75">
        <f>IF($A589="","",_xll.BDP($A589&amp;" Corp","INDUSTRY_SECTOR"))</f>
        <v/>
      </c>
      <c r="I589" s="101">
        <f>IF($A589="","",IFERROR(_xll.BDP($A589&amp;" Corp","MIN_PIECE")/1000,""))</f>
        <v/>
      </c>
      <c r="J589" s="31">
        <f>IF($A589="","",_xll.BDP($A589&amp;" Corp","PX_LAST"))</f>
        <v/>
      </c>
      <c r="K589" s="31">
        <f>IF($A589="","",_xll.BDP($A589&amp;" Corp","YAS_BOND_YLD","YAS_YLD_FLAG=15"))</f>
        <v/>
      </c>
      <c r="L589" s="31">
        <f>IF($A589="","",K589-_xll.BDP($A589&amp;" Corp","YAS_BOND_YLD","YAS_YLD_FLAG=15","SETTLE_DT",Company_desc!$A$1))</f>
        <v/>
      </c>
      <c r="M589" s="31">
        <f>IF($A589="","",K589-_xll.BDP($A589&amp;" Corp","YAS_BOND_YLD","YAS_YLD_FLAG=15","SETTLE_DT",Company_desc!$A$2))</f>
        <v/>
      </c>
      <c r="N589" s="79">
        <f>IF($A589="","",_xll.BDP($A589&amp;" Corp","YAS_OAS_SPRD"))</f>
        <v/>
      </c>
      <c r="O589" s="67">
        <f>IF($A589="","",_xll.BDP($A589&amp;" Corp","YAS_MOD_DUR"))</f>
        <v/>
      </c>
      <c r="P589" s="80">
        <f>IF($A589="","",IFERROR(INDEX(Sheet1!$P:$P,MATCH($A589,Sheet1!$A:$A,0)),""))</f>
        <v/>
      </c>
      <c r="Q589" s="75">
        <f>IF($A589="","",IFERROR(INDEX(Company_desc!$C:$C,MATCH($A589,Company_desc!$A:$A,0)),IFERROR(INDEX(Sheet1!$Q:$Q,MATCH($A589,Sheet1!$A:$A,0)),"")))</f>
        <v/>
      </c>
      <c r="R589" s="75">
        <f>IF($A589="","",_xll.BDP($A589&amp;" Corp","CRNCY"))</f>
        <v/>
      </c>
      <c r="S589" s="75">
        <f>IF($A589="","",IFERROR(INDEX(Sheet1!$S:$S,MATCH($A589,Sheet1!$A:$A,0)),""))</f>
        <v/>
      </c>
      <c r="T589" s="75">
        <f>IF($A589="","",IFERROR(INDEX(Sheet1!$T:$T,MATCH($A589,Sheet1!$A:$A,0)),_xll.BDP($A589&amp;" Corp","RTG_SP")))</f>
        <v/>
      </c>
      <c r="U589" s="75">
        <f>IF($A589="","",IFERROR(INDEX(Sheet1!$U:$U,MATCH($A589,Sheet1!$A:$A,0)),""))</f>
        <v/>
      </c>
      <c r="W589" s="81">
        <f>IF($A589="","",N589-_xll.BDP($A589&amp;" Corp","YAS_OAS_SPRD","SETTLE_DT",Company_desc!$A$1))</f>
        <v/>
      </c>
      <c r="X589" s="81">
        <f>IF($A589="","",N589-_xll.BDP($A589&amp;" Corp","YAS_OAS_SPRD","SETTLE_DT",Company_desc!$A$2))</f>
        <v/>
      </c>
      <c r="Y589" s="80">
        <f>IF($A589="","",N589-_xll.BDP($A589&amp;" Corp","YAS_OAS_SPRD","SETTLE_DT",Company_desc!$D$1))</f>
        <v/>
      </c>
      <c r="Z589" s="82">
        <f>IF($A589="","",K589-_xll.BDP($A589&amp;" Corp","YAS_BOND_YLD","YAS_YLD_FLAG=15","SETTLE_DT",Company_desc!$D$1))</f>
        <v/>
      </c>
      <c r="AA589" s="80">
        <f>IF($A589="","",_xll.BDP($A589&amp;" Corp","YAS_OAS_SPRD","SETTLE_DT",Company_desc!$D$1))</f>
        <v/>
      </c>
    </row>
    <row r="590">
      <c r="B590" s="75">
        <f>IF($A590="","",IFERROR(INDEX(Sheet1!$B:$B,MATCH($A590,Sheet1!$A:$A,0)),""))</f>
        <v/>
      </c>
      <c r="C590" s="75">
        <f>IF($A590="","",PROPER(_xll.BDP($A590&amp;" Corp","NAME")))</f>
        <v/>
      </c>
      <c r="D590" s="76">
        <f>IF($A590="","",_xll.BDP($A590&amp;" Corp","CPN"))</f>
        <v/>
      </c>
      <c r="E590" s="75">
        <f>IF($A590="","",_xll.BDP($A590&amp;" Corp","PAYMENT_RANK"))</f>
        <v/>
      </c>
      <c r="F590" s="100">
        <f>IF($A590="","",_xll.BDP($A590&amp;" Corp","MATURITY"))</f>
        <v/>
      </c>
      <c r="G590" s="75">
        <f>IF($A590="","",PROPER(_xll.BDP($A590&amp;" Corp","COUNTRY_FULL_NAME")))</f>
        <v/>
      </c>
      <c r="H590" s="75">
        <f>IF($A590="","",_xll.BDP($A590&amp;" Corp","INDUSTRY_SECTOR"))</f>
        <v/>
      </c>
      <c r="I590" s="101">
        <f>IF($A590="","",IFERROR(_xll.BDP($A590&amp;" Corp","MIN_PIECE")/1000,""))</f>
        <v/>
      </c>
      <c r="J590" s="31">
        <f>IF($A590="","",_xll.BDP($A590&amp;" Corp","PX_LAST"))</f>
        <v/>
      </c>
      <c r="K590" s="31">
        <f>IF($A590="","",_xll.BDP($A590&amp;" Corp","YAS_BOND_YLD","YAS_YLD_FLAG=15"))</f>
        <v/>
      </c>
      <c r="L590" s="31">
        <f>IF($A590="","",K590-_xll.BDP($A590&amp;" Corp","YAS_BOND_YLD","YAS_YLD_FLAG=15","SETTLE_DT",Company_desc!$A$1))</f>
        <v/>
      </c>
      <c r="M590" s="31">
        <f>IF($A590="","",K590-_xll.BDP($A590&amp;" Corp","YAS_BOND_YLD","YAS_YLD_FLAG=15","SETTLE_DT",Company_desc!$A$2))</f>
        <v/>
      </c>
      <c r="N590" s="79">
        <f>IF($A590="","",_xll.BDP($A590&amp;" Corp","YAS_OAS_SPRD"))</f>
        <v/>
      </c>
      <c r="O590" s="67">
        <f>IF($A590="","",_xll.BDP($A590&amp;" Corp","YAS_MOD_DUR"))</f>
        <v/>
      </c>
      <c r="P590" s="80">
        <f>IF($A590="","",IFERROR(INDEX(Sheet1!$P:$P,MATCH($A590,Sheet1!$A:$A,0)),""))</f>
        <v/>
      </c>
      <c r="Q590" s="75">
        <f>IF($A590="","",IFERROR(INDEX(Company_desc!$C:$C,MATCH($A590,Company_desc!$A:$A,0)),IFERROR(INDEX(Sheet1!$Q:$Q,MATCH($A590,Sheet1!$A:$A,0)),"")))</f>
        <v/>
      </c>
      <c r="R590" s="75">
        <f>IF($A590="","",_xll.BDP($A590&amp;" Corp","CRNCY"))</f>
        <v/>
      </c>
      <c r="S590" s="75">
        <f>IF($A590="","",IFERROR(INDEX(Sheet1!$S:$S,MATCH($A590,Sheet1!$A:$A,0)),""))</f>
        <v/>
      </c>
      <c r="T590" s="75">
        <f>IF($A590="","",IFERROR(INDEX(Sheet1!$T:$T,MATCH($A590,Sheet1!$A:$A,0)),_xll.BDP($A590&amp;" Corp","RTG_SP")))</f>
        <v/>
      </c>
      <c r="U590" s="75">
        <f>IF($A590="","",IFERROR(INDEX(Sheet1!$U:$U,MATCH($A590,Sheet1!$A:$A,0)),""))</f>
        <v/>
      </c>
      <c r="W590" s="81">
        <f>IF($A590="","",N590-_xll.BDP($A590&amp;" Corp","YAS_OAS_SPRD","SETTLE_DT",Company_desc!$A$1))</f>
        <v/>
      </c>
      <c r="X590" s="81">
        <f>IF($A590="","",N590-_xll.BDP($A590&amp;" Corp","YAS_OAS_SPRD","SETTLE_DT",Company_desc!$A$2))</f>
        <v/>
      </c>
      <c r="Y590" s="80">
        <f>IF($A590="","",N590-_xll.BDP($A590&amp;" Corp","YAS_OAS_SPRD","SETTLE_DT",Company_desc!$D$1))</f>
        <v/>
      </c>
      <c r="Z590" s="82">
        <f>IF($A590="","",K590-_xll.BDP($A590&amp;" Corp","YAS_BOND_YLD","YAS_YLD_FLAG=15","SETTLE_DT",Company_desc!$D$1))</f>
        <v/>
      </c>
      <c r="AA590" s="80">
        <f>IF($A590="","",_xll.BDP($A590&amp;" Corp","YAS_OAS_SPRD","SETTLE_DT",Company_desc!$D$1))</f>
        <v/>
      </c>
    </row>
    <row r="591">
      <c r="B591" s="75">
        <f>IF($A591="","",IFERROR(INDEX(Sheet1!$B:$B,MATCH($A591,Sheet1!$A:$A,0)),""))</f>
        <v/>
      </c>
      <c r="C591" s="75">
        <f>IF($A591="","",PROPER(_xll.BDP($A591&amp;" Corp","NAME")))</f>
        <v/>
      </c>
      <c r="D591" s="76">
        <f>IF($A591="","",_xll.BDP($A591&amp;" Corp","CPN"))</f>
        <v/>
      </c>
      <c r="E591" s="75">
        <f>IF($A591="","",_xll.BDP($A591&amp;" Corp","PAYMENT_RANK"))</f>
        <v/>
      </c>
      <c r="F591" s="100">
        <f>IF($A591="","",_xll.BDP($A591&amp;" Corp","MATURITY"))</f>
        <v/>
      </c>
      <c r="G591" s="75">
        <f>IF($A591="","",PROPER(_xll.BDP($A591&amp;" Corp","COUNTRY_FULL_NAME")))</f>
        <v/>
      </c>
      <c r="H591" s="75">
        <f>IF($A591="","",_xll.BDP($A591&amp;" Corp","INDUSTRY_SECTOR"))</f>
        <v/>
      </c>
      <c r="I591" s="101">
        <f>IF($A591="","",IFERROR(_xll.BDP($A591&amp;" Corp","MIN_PIECE")/1000,""))</f>
        <v/>
      </c>
      <c r="J591" s="31">
        <f>IF($A591="","",_xll.BDP($A591&amp;" Corp","PX_LAST"))</f>
        <v/>
      </c>
      <c r="K591" s="31">
        <f>IF($A591="","",_xll.BDP($A591&amp;" Corp","YAS_BOND_YLD","YAS_YLD_FLAG=15"))</f>
        <v/>
      </c>
      <c r="L591" s="31">
        <f>IF($A591="","",K591-_xll.BDP($A591&amp;" Corp","YAS_BOND_YLD","YAS_YLD_FLAG=15","SETTLE_DT",Company_desc!$A$1))</f>
        <v/>
      </c>
      <c r="M591" s="31">
        <f>IF($A591="","",K591-_xll.BDP($A591&amp;" Corp","YAS_BOND_YLD","YAS_YLD_FLAG=15","SETTLE_DT",Company_desc!$A$2))</f>
        <v/>
      </c>
      <c r="N591" s="79">
        <f>IF($A591="","",_xll.BDP($A591&amp;" Corp","YAS_OAS_SPRD"))</f>
        <v/>
      </c>
      <c r="O591" s="67">
        <f>IF($A591="","",_xll.BDP($A591&amp;" Corp","YAS_MOD_DUR"))</f>
        <v/>
      </c>
      <c r="P591" s="80">
        <f>IF($A591="","",IFERROR(INDEX(Sheet1!$P:$P,MATCH($A591,Sheet1!$A:$A,0)),""))</f>
        <v/>
      </c>
      <c r="Q591" s="75">
        <f>IF($A591="","",IFERROR(INDEX(Company_desc!$C:$C,MATCH($A591,Company_desc!$A:$A,0)),IFERROR(INDEX(Sheet1!$Q:$Q,MATCH($A591,Sheet1!$A:$A,0)),"")))</f>
        <v/>
      </c>
      <c r="R591" s="75">
        <f>IF($A591="","",_xll.BDP($A591&amp;" Corp","CRNCY"))</f>
        <v/>
      </c>
      <c r="S591" s="75">
        <f>IF($A591="","",IFERROR(INDEX(Sheet1!$S:$S,MATCH($A591,Sheet1!$A:$A,0)),""))</f>
        <v/>
      </c>
      <c r="T591" s="75">
        <f>IF($A591="","",IFERROR(INDEX(Sheet1!$T:$T,MATCH($A591,Sheet1!$A:$A,0)),_xll.BDP($A591&amp;" Corp","RTG_SP")))</f>
        <v/>
      </c>
      <c r="U591" s="75">
        <f>IF($A591="","",IFERROR(INDEX(Sheet1!$U:$U,MATCH($A591,Sheet1!$A:$A,0)),""))</f>
        <v/>
      </c>
      <c r="W591" s="81">
        <f>IF($A591="","",N591-_xll.BDP($A591&amp;" Corp","YAS_OAS_SPRD","SETTLE_DT",Company_desc!$A$1))</f>
        <v/>
      </c>
      <c r="X591" s="81">
        <f>IF($A591="","",N591-_xll.BDP($A591&amp;" Corp","YAS_OAS_SPRD","SETTLE_DT",Company_desc!$A$2))</f>
        <v/>
      </c>
      <c r="Y591" s="80">
        <f>IF($A591="","",N591-_xll.BDP($A591&amp;" Corp","YAS_OAS_SPRD","SETTLE_DT",Company_desc!$D$1))</f>
        <v/>
      </c>
      <c r="Z591" s="82">
        <f>IF($A591="","",K591-_xll.BDP($A591&amp;" Corp","YAS_BOND_YLD","YAS_YLD_FLAG=15","SETTLE_DT",Company_desc!$D$1))</f>
        <v/>
      </c>
      <c r="AA591" s="80">
        <f>IF($A591="","",_xll.BDP($A591&amp;" Corp","YAS_OAS_SPRD","SETTLE_DT",Company_desc!$D$1))</f>
        <v/>
      </c>
    </row>
    <row r="592">
      <c r="B592" s="75">
        <f>IF($A592="","",IFERROR(INDEX(Sheet1!$B:$B,MATCH($A592,Sheet1!$A:$A,0)),""))</f>
        <v/>
      </c>
      <c r="C592" s="75">
        <f>IF($A592="","",PROPER(_xll.BDP($A592&amp;" Corp","NAME")))</f>
        <v/>
      </c>
      <c r="D592" s="76">
        <f>IF($A592="","",_xll.BDP($A592&amp;" Corp","CPN"))</f>
        <v/>
      </c>
      <c r="E592" s="75">
        <f>IF($A592="","",_xll.BDP($A592&amp;" Corp","PAYMENT_RANK"))</f>
        <v/>
      </c>
      <c r="F592" s="100">
        <f>IF($A592="","",_xll.BDP($A592&amp;" Corp","MATURITY"))</f>
        <v/>
      </c>
      <c r="G592" s="75">
        <f>IF($A592="","",PROPER(_xll.BDP($A592&amp;" Corp","COUNTRY_FULL_NAME")))</f>
        <v/>
      </c>
      <c r="H592" s="75">
        <f>IF($A592="","",_xll.BDP($A592&amp;" Corp","INDUSTRY_SECTOR"))</f>
        <v/>
      </c>
      <c r="I592" s="101">
        <f>IF($A592="","",IFERROR(_xll.BDP($A592&amp;" Corp","MIN_PIECE")/1000,""))</f>
        <v/>
      </c>
      <c r="J592" s="31">
        <f>IF($A592="","",_xll.BDP($A592&amp;" Corp","PX_LAST"))</f>
        <v/>
      </c>
      <c r="K592" s="31">
        <f>IF($A592="","",_xll.BDP($A592&amp;" Corp","YAS_BOND_YLD","YAS_YLD_FLAG=15"))</f>
        <v/>
      </c>
      <c r="L592" s="31">
        <f>IF($A592="","",K592-_xll.BDP($A592&amp;" Corp","YAS_BOND_YLD","YAS_YLD_FLAG=15","SETTLE_DT",Company_desc!$A$1))</f>
        <v/>
      </c>
      <c r="M592" s="31">
        <f>IF($A592="","",K592-_xll.BDP($A592&amp;" Corp","YAS_BOND_YLD","YAS_YLD_FLAG=15","SETTLE_DT",Company_desc!$A$2))</f>
        <v/>
      </c>
      <c r="N592" s="79">
        <f>IF($A592="","",_xll.BDP($A592&amp;" Corp","YAS_OAS_SPRD"))</f>
        <v/>
      </c>
      <c r="O592" s="67">
        <f>IF($A592="","",_xll.BDP($A592&amp;" Corp","YAS_MOD_DUR"))</f>
        <v/>
      </c>
      <c r="P592" s="80">
        <f>IF($A592="","",IFERROR(INDEX(Sheet1!$P:$P,MATCH($A592,Sheet1!$A:$A,0)),""))</f>
        <v/>
      </c>
      <c r="Q592" s="75">
        <f>IF($A592="","",IFERROR(INDEX(Company_desc!$C:$C,MATCH($A592,Company_desc!$A:$A,0)),IFERROR(INDEX(Sheet1!$Q:$Q,MATCH($A592,Sheet1!$A:$A,0)),"")))</f>
        <v/>
      </c>
      <c r="R592" s="75">
        <f>IF($A592="","",_xll.BDP($A592&amp;" Corp","CRNCY"))</f>
        <v/>
      </c>
      <c r="S592" s="75">
        <f>IF($A592="","",IFERROR(INDEX(Sheet1!$S:$S,MATCH($A592,Sheet1!$A:$A,0)),""))</f>
        <v/>
      </c>
      <c r="T592" s="75">
        <f>IF($A592="","",IFERROR(INDEX(Sheet1!$T:$T,MATCH($A592,Sheet1!$A:$A,0)),_xll.BDP($A592&amp;" Corp","RTG_SP")))</f>
        <v/>
      </c>
      <c r="U592" s="75">
        <f>IF($A592="","",IFERROR(INDEX(Sheet1!$U:$U,MATCH($A592,Sheet1!$A:$A,0)),""))</f>
        <v/>
      </c>
      <c r="W592" s="81">
        <f>IF($A592="","",N592-_xll.BDP($A592&amp;" Corp","YAS_OAS_SPRD","SETTLE_DT",Company_desc!$A$1))</f>
        <v/>
      </c>
      <c r="X592" s="81">
        <f>IF($A592="","",N592-_xll.BDP($A592&amp;" Corp","YAS_OAS_SPRD","SETTLE_DT",Company_desc!$A$2))</f>
        <v/>
      </c>
      <c r="Y592" s="80">
        <f>IF($A592="","",N592-_xll.BDP($A592&amp;" Corp","YAS_OAS_SPRD","SETTLE_DT",Company_desc!$D$1))</f>
        <v/>
      </c>
      <c r="Z592" s="82">
        <f>IF($A592="","",K592-_xll.BDP($A592&amp;" Corp","YAS_BOND_YLD","YAS_YLD_FLAG=15","SETTLE_DT",Company_desc!$D$1))</f>
        <v/>
      </c>
      <c r="AA592" s="80">
        <f>IF($A592="","",_xll.BDP($A592&amp;" Corp","YAS_OAS_SPRD","SETTLE_DT",Company_desc!$D$1))</f>
        <v/>
      </c>
    </row>
    <row r="593">
      <c r="B593" s="75">
        <f>IF($A593="","",IFERROR(INDEX(Sheet1!$B:$B,MATCH($A593,Sheet1!$A:$A,0)),""))</f>
        <v/>
      </c>
      <c r="C593" s="75">
        <f>IF($A593="","",PROPER(_xll.BDP($A593&amp;" Corp","NAME")))</f>
        <v/>
      </c>
      <c r="D593" s="76">
        <f>IF($A593="","",_xll.BDP($A593&amp;" Corp","CPN"))</f>
        <v/>
      </c>
      <c r="E593" s="75">
        <f>IF($A593="","",_xll.BDP($A593&amp;" Corp","PAYMENT_RANK"))</f>
        <v/>
      </c>
      <c r="F593" s="100">
        <f>IF($A593="","",_xll.BDP($A593&amp;" Corp","MATURITY"))</f>
        <v/>
      </c>
      <c r="G593" s="75">
        <f>IF($A593="","",PROPER(_xll.BDP($A593&amp;" Corp","COUNTRY_FULL_NAME")))</f>
        <v/>
      </c>
      <c r="H593" s="75">
        <f>IF($A593="","",_xll.BDP($A593&amp;" Corp","INDUSTRY_SECTOR"))</f>
        <v/>
      </c>
      <c r="I593" s="101">
        <f>IF($A593="","",IFERROR(_xll.BDP($A593&amp;" Corp","MIN_PIECE")/1000,""))</f>
        <v/>
      </c>
      <c r="J593" s="31">
        <f>IF($A593="","",_xll.BDP($A593&amp;" Corp","PX_LAST"))</f>
        <v/>
      </c>
      <c r="K593" s="31">
        <f>IF($A593="","",_xll.BDP($A593&amp;" Corp","YAS_BOND_YLD","YAS_YLD_FLAG=15"))</f>
        <v/>
      </c>
      <c r="L593" s="31">
        <f>IF($A593="","",K593-_xll.BDP($A593&amp;" Corp","YAS_BOND_YLD","YAS_YLD_FLAG=15","SETTLE_DT",Company_desc!$A$1))</f>
        <v/>
      </c>
      <c r="M593" s="31">
        <f>IF($A593="","",K593-_xll.BDP($A593&amp;" Corp","YAS_BOND_YLD","YAS_YLD_FLAG=15","SETTLE_DT",Company_desc!$A$2))</f>
        <v/>
      </c>
      <c r="N593" s="79">
        <f>IF($A593="","",_xll.BDP($A593&amp;" Corp","YAS_OAS_SPRD"))</f>
        <v/>
      </c>
      <c r="O593" s="67">
        <f>IF($A593="","",_xll.BDP($A593&amp;" Corp","YAS_MOD_DUR"))</f>
        <v/>
      </c>
      <c r="P593" s="80">
        <f>IF($A593="","",IFERROR(INDEX(Sheet1!$P:$P,MATCH($A593,Sheet1!$A:$A,0)),""))</f>
        <v/>
      </c>
      <c r="Q593" s="75">
        <f>IF($A593="","",IFERROR(INDEX(Company_desc!$C:$C,MATCH($A593,Company_desc!$A:$A,0)),IFERROR(INDEX(Sheet1!$Q:$Q,MATCH($A593,Sheet1!$A:$A,0)),"")))</f>
        <v/>
      </c>
      <c r="R593" s="75">
        <f>IF($A593="","",_xll.BDP($A593&amp;" Corp","CRNCY"))</f>
        <v/>
      </c>
      <c r="S593" s="75">
        <f>IF($A593="","",IFERROR(INDEX(Sheet1!$S:$S,MATCH($A593,Sheet1!$A:$A,0)),""))</f>
        <v/>
      </c>
      <c r="T593" s="75">
        <f>IF($A593="","",IFERROR(INDEX(Sheet1!$T:$T,MATCH($A593,Sheet1!$A:$A,0)),_xll.BDP($A593&amp;" Corp","RTG_SP")))</f>
        <v/>
      </c>
      <c r="U593" s="75">
        <f>IF($A593="","",IFERROR(INDEX(Sheet1!$U:$U,MATCH($A593,Sheet1!$A:$A,0)),""))</f>
        <v/>
      </c>
      <c r="W593" s="81">
        <f>IF($A593="","",N593-_xll.BDP($A593&amp;" Corp","YAS_OAS_SPRD","SETTLE_DT",Company_desc!$A$1))</f>
        <v/>
      </c>
      <c r="X593" s="81">
        <f>IF($A593="","",N593-_xll.BDP($A593&amp;" Corp","YAS_OAS_SPRD","SETTLE_DT",Company_desc!$A$2))</f>
        <v/>
      </c>
      <c r="Y593" s="80">
        <f>IF($A593="","",N593-_xll.BDP($A593&amp;" Corp","YAS_OAS_SPRD","SETTLE_DT",Company_desc!$D$1))</f>
        <v/>
      </c>
      <c r="Z593" s="82">
        <f>IF($A593="","",K593-_xll.BDP($A593&amp;" Corp","YAS_BOND_YLD","YAS_YLD_FLAG=15","SETTLE_DT",Company_desc!$D$1))</f>
        <v/>
      </c>
      <c r="AA593" s="80">
        <f>IF($A593="","",_xll.BDP($A593&amp;" Corp","YAS_OAS_SPRD","SETTLE_DT",Company_desc!$D$1))</f>
        <v/>
      </c>
    </row>
    <row r="594">
      <c r="B594" s="75">
        <f>IF($A594="","",IFERROR(INDEX(Sheet1!$B:$B,MATCH($A594,Sheet1!$A:$A,0)),""))</f>
        <v/>
      </c>
      <c r="C594" s="75">
        <f>IF($A594="","",PROPER(_xll.BDP($A594&amp;" Corp","NAME")))</f>
        <v/>
      </c>
      <c r="D594" s="76">
        <f>IF($A594="","",_xll.BDP($A594&amp;" Corp","CPN"))</f>
        <v/>
      </c>
      <c r="E594" s="75">
        <f>IF($A594="","",_xll.BDP($A594&amp;" Corp","PAYMENT_RANK"))</f>
        <v/>
      </c>
      <c r="F594" s="100">
        <f>IF($A594="","",_xll.BDP($A594&amp;" Corp","MATURITY"))</f>
        <v/>
      </c>
      <c r="G594" s="75">
        <f>IF($A594="","",PROPER(_xll.BDP($A594&amp;" Corp","COUNTRY_FULL_NAME")))</f>
        <v/>
      </c>
      <c r="H594" s="75">
        <f>IF($A594="","",_xll.BDP($A594&amp;" Corp","INDUSTRY_SECTOR"))</f>
        <v/>
      </c>
      <c r="I594" s="101">
        <f>IF($A594="","",IFERROR(_xll.BDP($A594&amp;" Corp","MIN_PIECE")/1000,""))</f>
        <v/>
      </c>
      <c r="J594" s="31">
        <f>IF($A594="","",_xll.BDP($A594&amp;" Corp","PX_LAST"))</f>
        <v/>
      </c>
      <c r="K594" s="31">
        <f>IF($A594="","",_xll.BDP($A594&amp;" Corp","YAS_BOND_YLD","YAS_YLD_FLAG=15"))</f>
        <v/>
      </c>
      <c r="L594" s="31">
        <f>IF($A594="","",K594-_xll.BDP($A594&amp;" Corp","YAS_BOND_YLD","YAS_YLD_FLAG=15","SETTLE_DT",Company_desc!$A$1))</f>
        <v/>
      </c>
      <c r="M594" s="31">
        <f>IF($A594="","",K594-_xll.BDP($A594&amp;" Corp","YAS_BOND_YLD","YAS_YLD_FLAG=15","SETTLE_DT",Company_desc!$A$2))</f>
        <v/>
      </c>
      <c r="N594" s="79">
        <f>IF($A594="","",_xll.BDP($A594&amp;" Corp","YAS_OAS_SPRD"))</f>
        <v/>
      </c>
      <c r="O594" s="67">
        <f>IF($A594="","",_xll.BDP($A594&amp;" Corp","YAS_MOD_DUR"))</f>
        <v/>
      </c>
      <c r="P594" s="80">
        <f>IF($A594="","",IFERROR(INDEX(Sheet1!$P:$P,MATCH($A594,Sheet1!$A:$A,0)),""))</f>
        <v/>
      </c>
      <c r="Q594" s="75">
        <f>IF($A594="","",IFERROR(INDEX(Company_desc!$C:$C,MATCH($A594,Company_desc!$A:$A,0)),IFERROR(INDEX(Sheet1!$Q:$Q,MATCH($A594,Sheet1!$A:$A,0)),"")))</f>
        <v/>
      </c>
      <c r="R594" s="75">
        <f>IF($A594="","",_xll.BDP($A594&amp;" Corp","CRNCY"))</f>
        <v/>
      </c>
      <c r="S594" s="75">
        <f>IF($A594="","",IFERROR(INDEX(Sheet1!$S:$S,MATCH($A594,Sheet1!$A:$A,0)),""))</f>
        <v/>
      </c>
      <c r="T594" s="75">
        <f>IF($A594="","",IFERROR(INDEX(Sheet1!$T:$T,MATCH($A594,Sheet1!$A:$A,0)),_xll.BDP($A594&amp;" Corp","RTG_SP")))</f>
        <v/>
      </c>
      <c r="U594" s="75">
        <f>IF($A594="","",IFERROR(INDEX(Sheet1!$U:$U,MATCH($A594,Sheet1!$A:$A,0)),""))</f>
        <v/>
      </c>
      <c r="W594" s="81">
        <f>IF($A594="","",N594-_xll.BDP($A594&amp;" Corp","YAS_OAS_SPRD","SETTLE_DT",Company_desc!$A$1))</f>
        <v/>
      </c>
      <c r="X594" s="81">
        <f>IF($A594="","",N594-_xll.BDP($A594&amp;" Corp","YAS_OAS_SPRD","SETTLE_DT",Company_desc!$A$2))</f>
        <v/>
      </c>
      <c r="Y594" s="80">
        <f>IF($A594="","",N594-_xll.BDP($A594&amp;" Corp","YAS_OAS_SPRD","SETTLE_DT",Company_desc!$D$1))</f>
        <v/>
      </c>
      <c r="Z594" s="82">
        <f>IF($A594="","",K594-_xll.BDP($A594&amp;" Corp","YAS_BOND_YLD","YAS_YLD_FLAG=15","SETTLE_DT",Company_desc!$D$1))</f>
        <v/>
      </c>
      <c r="AA594" s="80">
        <f>IF($A594="","",_xll.BDP($A594&amp;" Corp","YAS_OAS_SPRD","SETTLE_DT",Company_desc!$D$1))</f>
        <v/>
      </c>
    </row>
    <row r="595">
      <c r="B595" s="75">
        <f>IF($A595="","",IFERROR(INDEX(Sheet1!$B:$B,MATCH($A595,Sheet1!$A:$A,0)),""))</f>
        <v/>
      </c>
      <c r="C595" s="75">
        <f>IF($A595="","",PROPER(_xll.BDP($A595&amp;" Corp","NAME")))</f>
        <v/>
      </c>
      <c r="D595" s="76">
        <f>IF($A595="","",_xll.BDP($A595&amp;" Corp","CPN"))</f>
        <v/>
      </c>
      <c r="E595" s="75">
        <f>IF($A595="","",_xll.BDP($A595&amp;" Corp","PAYMENT_RANK"))</f>
        <v/>
      </c>
      <c r="F595" s="100">
        <f>IF($A595="","",_xll.BDP($A595&amp;" Corp","MATURITY"))</f>
        <v/>
      </c>
      <c r="G595" s="75">
        <f>IF($A595="","",PROPER(_xll.BDP($A595&amp;" Corp","COUNTRY_FULL_NAME")))</f>
        <v/>
      </c>
      <c r="H595" s="75">
        <f>IF($A595="","",_xll.BDP($A595&amp;" Corp","INDUSTRY_SECTOR"))</f>
        <v/>
      </c>
      <c r="I595" s="101">
        <f>IF($A595="","",IFERROR(_xll.BDP($A595&amp;" Corp","MIN_PIECE")/1000,""))</f>
        <v/>
      </c>
      <c r="J595" s="31">
        <f>IF($A595="","",_xll.BDP($A595&amp;" Corp","PX_LAST"))</f>
        <v/>
      </c>
      <c r="K595" s="31">
        <f>IF($A595="","",_xll.BDP($A595&amp;" Corp","YAS_BOND_YLD","YAS_YLD_FLAG=15"))</f>
        <v/>
      </c>
      <c r="L595" s="31">
        <f>IF($A595="","",K595-_xll.BDP($A595&amp;" Corp","YAS_BOND_YLD","YAS_YLD_FLAG=15","SETTLE_DT",Company_desc!$A$1))</f>
        <v/>
      </c>
      <c r="M595" s="31">
        <f>IF($A595="","",K595-_xll.BDP($A595&amp;" Corp","YAS_BOND_YLD","YAS_YLD_FLAG=15","SETTLE_DT",Company_desc!$A$2))</f>
        <v/>
      </c>
      <c r="N595" s="79">
        <f>IF($A595="","",_xll.BDP($A595&amp;" Corp","YAS_OAS_SPRD"))</f>
        <v/>
      </c>
      <c r="O595" s="67">
        <f>IF($A595="","",_xll.BDP($A595&amp;" Corp","YAS_MOD_DUR"))</f>
        <v/>
      </c>
      <c r="P595" s="80">
        <f>IF($A595="","",IFERROR(INDEX(Sheet1!$P:$P,MATCH($A595,Sheet1!$A:$A,0)),""))</f>
        <v/>
      </c>
      <c r="Q595" s="75">
        <f>IF($A595="","",IFERROR(INDEX(Company_desc!$C:$C,MATCH($A595,Company_desc!$A:$A,0)),IFERROR(INDEX(Sheet1!$Q:$Q,MATCH($A595,Sheet1!$A:$A,0)),"")))</f>
        <v/>
      </c>
      <c r="R595" s="75">
        <f>IF($A595="","",_xll.BDP($A595&amp;" Corp","CRNCY"))</f>
        <v/>
      </c>
      <c r="S595" s="75">
        <f>IF($A595="","",IFERROR(INDEX(Sheet1!$S:$S,MATCH($A595,Sheet1!$A:$A,0)),""))</f>
        <v/>
      </c>
      <c r="T595" s="75">
        <f>IF($A595="","",IFERROR(INDEX(Sheet1!$T:$T,MATCH($A595,Sheet1!$A:$A,0)),_xll.BDP($A595&amp;" Corp","RTG_SP")))</f>
        <v/>
      </c>
      <c r="U595" s="75">
        <f>IF($A595="","",IFERROR(INDEX(Sheet1!$U:$U,MATCH($A595,Sheet1!$A:$A,0)),""))</f>
        <v/>
      </c>
      <c r="W595" s="81">
        <f>IF($A595="","",N595-_xll.BDP($A595&amp;" Corp","YAS_OAS_SPRD","SETTLE_DT",Company_desc!$A$1))</f>
        <v/>
      </c>
      <c r="X595" s="81">
        <f>IF($A595="","",N595-_xll.BDP($A595&amp;" Corp","YAS_OAS_SPRD","SETTLE_DT",Company_desc!$A$2))</f>
        <v/>
      </c>
      <c r="Y595" s="80">
        <f>IF($A595="","",N595-_xll.BDP($A595&amp;" Corp","YAS_OAS_SPRD","SETTLE_DT",Company_desc!$D$1))</f>
        <v/>
      </c>
      <c r="Z595" s="82">
        <f>IF($A595="","",K595-_xll.BDP($A595&amp;" Corp","YAS_BOND_YLD","YAS_YLD_FLAG=15","SETTLE_DT",Company_desc!$D$1))</f>
        <v/>
      </c>
      <c r="AA595" s="80">
        <f>IF($A595="","",_xll.BDP($A595&amp;" Corp","YAS_OAS_SPRD","SETTLE_DT",Company_desc!$D$1))</f>
        <v/>
      </c>
    </row>
    <row r="596">
      <c r="B596" s="75">
        <f>IF($A596="","",IFERROR(INDEX(Sheet1!$B:$B,MATCH($A596,Sheet1!$A:$A,0)),""))</f>
        <v/>
      </c>
      <c r="C596" s="75">
        <f>IF($A596="","",PROPER(_xll.BDP($A596&amp;" Corp","NAME")))</f>
        <v/>
      </c>
      <c r="D596" s="76">
        <f>IF($A596="","",_xll.BDP($A596&amp;" Corp","CPN"))</f>
        <v/>
      </c>
      <c r="E596" s="75">
        <f>IF($A596="","",_xll.BDP($A596&amp;" Corp","PAYMENT_RANK"))</f>
        <v/>
      </c>
      <c r="F596" s="100">
        <f>IF($A596="","",_xll.BDP($A596&amp;" Corp","MATURITY"))</f>
        <v/>
      </c>
      <c r="G596" s="75">
        <f>IF($A596="","",PROPER(_xll.BDP($A596&amp;" Corp","COUNTRY_FULL_NAME")))</f>
        <v/>
      </c>
      <c r="H596" s="75">
        <f>IF($A596="","",_xll.BDP($A596&amp;" Corp","INDUSTRY_SECTOR"))</f>
        <v/>
      </c>
      <c r="I596" s="101">
        <f>IF($A596="","",IFERROR(_xll.BDP($A596&amp;" Corp","MIN_PIECE")/1000,""))</f>
        <v/>
      </c>
      <c r="J596" s="31">
        <f>IF($A596="","",_xll.BDP($A596&amp;" Corp","PX_LAST"))</f>
        <v/>
      </c>
      <c r="K596" s="31">
        <f>IF($A596="","",_xll.BDP($A596&amp;" Corp","YAS_BOND_YLD","YAS_YLD_FLAG=15"))</f>
        <v/>
      </c>
      <c r="L596" s="31">
        <f>IF($A596="","",K596-_xll.BDP($A596&amp;" Corp","YAS_BOND_YLD","YAS_YLD_FLAG=15","SETTLE_DT",Company_desc!$A$1))</f>
        <v/>
      </c>
      <c r="M596" s="31">
        <f>IF($A596="","",K596-_xll.BDP($A596&amp;" Corp","YAS_BOND_YLD","YAS_YLD_FLAG=15","SETTLE_DT",Company_desc!$A$2))</f>
        <v/>
      </c>
      <c r="N596" s="79">
        <f>IF($A596="","",_xll.BDP($A596&amp;" Corp","YAS_OAS_SPRD"))</f>
        <v/>
      </c>
      <c r="O596" s="67">
        <f>IF($A596="","",_xll.BDP($A596&amp;" Corp","YAS_MOD_DUR"))</f>
        <v/>
      </c>
      <c r="P596" s="80">
        <f>IF($A596="","",IFERROR(INDEX(Sheet1!$P:$P,MATCH($A596,Sheet1!$A:$A,0)),""))</f>
        <v/>
      </c>
      <c r="Q596" s="75">
        <f>IF($A596="","",IFERROR(INDEX(Company_desc!$C:$C,MATCH($A596,Company_desc!$A:$A,0)),IFERROR(INDEX(Sheet1!$Q:$Q,MATCH($A596,Sheet1!$A:$A,0)),"")))</f>
        <v/>
      </c>
      <c r="R596" s="75">
        <f>IF($A596="","",_xll.BDP($A596&amp;" Corp","CRNCY"))</f>
        <v/>
      </c>
      <c r="S596" s="75">
        <f>IF($A596="","",IFERROR(INDEX(Sheet1!$S:$S,MATCH($A596,Sheet1!$A:$A,0)),""))</f>
        <v/>
      </c>
      <c r="T596" s="75">
        <f>IF($A596="","",IFERROR(INDEX(Sheet1!$T:$T,MATCH($A596,Sheet1!$A:$A,0)),_xll.BDP($A596&amp;" Corp","RTG_SP")))</f>
        <v/>
      </c>
      <c r="U596" s="83">
        <f>IF($A596="","",IFERROR(INDEX(Sheet1!$U:$U,MATCH($A596,Sheet1!$A:$A,0)),""))</f>
        <v/>
      </c>
      <c r="W596" s="81">
        <f>IF($A596="","",N596-_xll.BDP($A596&amp;" Corp","YAS_OAS_SPRD","SETTLE_DT",Company_desc!$A$1))</f>
        <v/>
      </c>
      <c r="X596" s="81">
        <f>IF($A596="","",N596-_xll.BDP($A596&amp;" Corp","YAS_OAS_SPRD","SETTLE_DT",Company_desc!$A$2))</f>
        <v/>
      </c>
      <c r="Y596" s="80">
        <f>IF($A596="","",N596-_xll.BDP($A596&amp;" Corp","YAS_OAS_SPRD","SETTLE_DT",Company_desc!$D$1))</f>
        <v/>
      </c>
      <c r="Z596" s="82">
        <f>IF($A596="","",K596-_xll.BDP($A596&amp;" Corp","YAS_BOND_YLD","YAS_YLD_FLAG=15","SETTLE_DT",Company_desc!$D$1))</f>
        <v/>
      </c>
      <c r="AA596" s="80">
        <f>IF($A596="","",_xll.BDP($A596&amp;" Corp","YAS_OAS_SPRD","SETTLE_DT",Company_desc!$D$1))</f>
        <v/>
      </c>
    </row>
    <row r="597">
      <c r="B597" s="75">
        <f>IF($A597="","",IFERROR(INDEX(Sheet1!$B:$B,MATCH($A597,Sheet1!$A:$A,0)),""))</f>
        <v/>
      </c>
      <c r="C597" s="75">
        <f>IF($A597="","",PROPER(_xll.BDP($A597&amp;" Corp","NAME")))</f>
        <v/>
      </c>
      <c r="D597" s="76">
        <f>IF($A597="","",_xll.BDP($A597&amp;" Corp","CPN"))</f>
        <v/>
      </c>
      <c r="E597" s="75">
        <f>IF($A597="","",_xll.BDP($A597&amp;" Corp","PAYMENT_RANK"))</f>
        <v/>
      </c>
      <c r="F597" s="100">
        <f>IF($A597="","",_xll.BDP($A597&amp;" Corp","MATURITY"))</f>
        <v/>
      </c>
      <c r="G597" s="75">
        <f>IF($A597="","",PROPER(_xll.BDP($A597&amp;" Corp","COUNTRY_FULL_NAME")))</f>
        <v/>
      </c>
      <c r="H597" s="75">
        <f>IF($A597="","",_xll.BDP($A597&amp;" Corp","INDUSTRY_SECTOR"))</f>
        <v/>
      </c>
      <c r="I597" s="101">
        <f>IF($A597="","",IFERROR(_xll.BDP($A597&amp;" Corp","MIN_PIECE")/1000,""))</f>
        <v/>
      </c>
      <c r="J597" s="31">
        <f>IF($A597="","",_xll.BDP($A597&amp;" Corp","PX_LAST"))</f>
        <v/>
      </c>
      <c r="K597" s="31">
        <f>IF($A597="","",_xll.BDP($A597&amp;" Corp","YAS_BOND_YLD","YAS_YLD_FLAG=15"))</f>
        <v/>
      </c>
      <c r="L597" s="31">
        <f>IF($A597="","",K597-_xll.BDP($A597&amp;" Corp","YAS_BOND_YLD","YAS_YLD_FLAG=15","SETTLE_DT",Company_desc!$A$1))</f>
        <v/>
      </c>
      <c r="M597" s="31">
        <f>IF($A597="","",K597-_xll.BDP($A597&amp;" Corp","YAS_BOND_YLD","YAS_YLD_FLAG=15","SETTLE_DT",Company_desc!$A$2))</f>
        <v/>
      </c>
      <c r="N597" s="79">
        <f>IF($A597="","",_xll.BDP($A597&amp;" Corp","YAS_OAS_SPRD"))</f>
        <v/>
      </c>
      <c r="O597" s="67">
        <f>IF($A597="","",_xll.BDP($A597&amp;" Corp","YAS_MOD_DUR"))</f>
        <v/>
      </c>
      <c r="P597" s="80">
        <f>IF($A597="","",IFERROR(INDEX(Sheet1!$P:$P,MATCH($A597,Sheet1!$A:$A,0)),""))</f>
        <v/>
      </c>
      <c r="Q597" s="75">
        <f>IF($A597="","",IFERROR(INDEX(Company_desc!$C:$C,MATCH($A597,Company_desc!$A:$A,0)),IFERROR(INDEX(Sheet1!$Q:$Q,MATCH($A597,Sheet1!$A:$A,0)),"")))</f>
        <v/>
      </c>
      <c r="R597" s="75">
        <f>IF($A597="","",_xll.BDP($A597&amp;" Corp","CRNCY"))</f>
        <v/>
      </c>
      <c r="S597" s="75">
        <f>IF($A597="","",IFERROR(INDEX(Sheet1!$S:$S,MATCH($A597,Sheet1!$A:$A,0)),""))</f>
        <v/>
      </c>
      <c r="T597" s="75">
        <f>IF($A597="","",IFERROR(INDEX(Sheet1!$T:$T,MATCH($A597,Sheet1!$A:$A,0)),_xll.BDP($A597&amp;" Corp","RTG_SP")))</f>
        <v/>
      </c>
      <c r="U597" s="83">
        <f>IF($A597="","",IFERROR(INDEX(Sheet1!$U:$U,MATCH($A597,Sheet1!$A:$A,0)),""))</f>
        <v/>
      </c>
      <c r="W597" s="81">
        <f>IF($A597="","",N597-_xll.BDP($A597&amp;" Corp","YAS_OAS_SPRD","SETTLE_DT",Company_desc!$A$1))</f>
        <v/>
      </c>
      <c r="X597" s="81">
        <f>IF($A597="","",N597-_xll.BDP($A597&amp;" Corp","YAS_OAS_SPRD","SETTLE_DT",Company_desc!$A$2))</f>
        <v/>
      </c>
      <c r="Y597" s="80">
        <f>IF($A597="","",N597-_xll.BDP($A597&amp;" Corp","YAS_OAS_SPRD","SETTLE_DT",Company_desc!$D$1))</f>
        <v/>
      </c>
      <c r="Z597" s="82">
        <f>IF($A597="","",K597-_xll.BDP($A597&amp;" Corp","YAS_BOND_YLD","YAS_YLD_FLAG=15","SETTLE_DT",Company_desc!$D$1))</f>
        <v/>
      </c>
      <c r="AA597" s="80">
        <f>IF($A597="","",_xll.BDP($A597&amp;" Corp","YAS_OAS_SPRD","SETTLE_DT",Company_desc!$D$1))</f>
        <v/>
      </c>
    </row>
    <row r="598">
      <c r="B598" s="75">
        <f>IF($A598="","",IFERROR(INDEX(Sheet1!$B:$B,MATCH($A598,Sheet1!$A:$A,0)),""))</f>
        <v/>
      </c>
      <c r="C598" s="75">
        <f>IF($A598="","",PROPER(_xll.BDP($A598&amp;" Corp","NAME")))</f>
        <v/>
      </c>
      <c r="D598" s="76">
        <f>IF($A598="","",_xll.BDP($A598&amp;" Corp","CPN"))</f>
        <v/>
      </c>
      <c r="E598" s="75">
        <f>IF($A598="","",_xll.BDP($A598&amp;" Corp","PAYMENT_RANK"))</f>
        <v/>
      </c>
      <c r="F598" s="100">
        <f>IF($A598="","",_xll.BDP($A598&amp;" Corp","MATURITY"))</f>
        <v/>
      </c>
      <c r="G598" s="75">
        <f>IF($A598="","",PROPER(_xll.BDP($A598&amp;" Corp","COUNTRY_FULL_NAME")))</f>
        <v/>
      </c>
      <c r="H598" s="75">
        <f>IF($A598="","",_xll.BDP($A598&amp;" Corp","INDUSTRY_SECTOR"))</f>
        <v/>
      </c>
      <c r="I598" s="101">
        <f>IF($A598="","",IFERROR(_xll.BDP($A598&amp;" Corp","MIN_PIECE")/1000,""))</f>
        <v/>
      </c>
      <c r="J598" s="31">
        <f>IF($A598="","",_xll.BDP($A598&amp;" Corp","PX_LAST"))</f>
        <v/>
      </c>
      <c r="K598" s="31">
        <f>IF($A598="","",_xll.BDP($A598&amp;" Corp","YAS_BOND_YLD","YAS_YLD_FLAG=15"))</f>
        <v/>
      </c>
      <c r="L598" s="31">
        <f>IF($A598="","",K598-_xll.BDP($A598&amp;" Corp","YAS_BOND_YLD","YAS_YLD_FLAG=15","SETTLE_DT",Company_desc!$A$1))</f>
        <v/>
      </c>
      <c r="M598" s="31">
        <f>IF($A598="","",K598-_xll.BDP($A598&amp;" Corp","YAS_BOND_YLD","YAS_YLD_FLAG=15","SETTLE_DT",Company_desc!$A$2))</f>
        <v/>
      </c>
      <c r="N598" s="79">
        <f>IF($A598="","",_xll.BDP($A598&amp;" Corp","YAS_OAS_SPRD"))</f>
        <v/>
      </c>
      <c r="O598" s="67">
        <f>IF($A598="","",_xll.BDP($A598&amp;" Corp","YAS_MOD_DUR"))</f>
        <v/>
      </c>
      <c r="P598" s="80">
        <f>IF($A598="","",IFERROR(INDEX(Sheet1!$P:$P,MATCH($A598,Sheet1!$A:$A,0)),""))</f>
        <v/>
      </c>
      <c r="Q598" s="75">
        <f>IF($A598="","",IFERROR(INDEX(Company_desc!$C:$C,MATCH($A598,Company_desc!$A:$A,0)),IFERROR(INDEX(Sheet1!$Q:$Q,MATCH($A598,Sheet1!$A:$A,0)),"")))</f>
        <v/>
      </c>
      <c r="R598" s="75">
        <f>IF($A598="","",_xll.BDP($A598&amp;" Corp","CRNCY"))</f>
        <v/>
      </c>
      <c r="S598" s="75">
        <f>IF($A598="","",IFERROR(INDEX(Sheet1!$S:$S,MATCH($A598,Sheet1!$A:$A,0)),""))</f>
        <v/>
      </c>
      <c r="T598" s="75">
        <f>IF($A598="","",IFERROR(INDEX(Sheet1!$T:$T,MATCH($A598,Sheet1!$A:$A,0)),_xll.BDP($A598&amp;" Corp","RTG_SP")))</f>
        <v/>
      </c>
      <c r="U598" s="75">
        <f>IF($A598="","",IFERROR(INDEX(Sheet1!$U:$U,MATCH($A598,Sheet1!$A:$A,0)),""))</f>
        <v/>
      </c>
      <c r="W598" s="81">
        <f>IF($A598="","",N598-_xll.BDP($A598&amp;" Corp","YAS_OAS_SPRD","SETTLE_DT",Company_desc!$A$1))</f>
        <v/>
      </c>
      <c r="X598" s="81">
        <f>IF($A598="","",N598-_xll.BDP($A598&amp;" Corp","YAS_OAS_SPRD","SETTLE_DT",Company_desc!$A$2))</f>
        <v/>
      </c>
      <c r="Y598" s="80">
        <f>IF($A598="","",N598-_xll.BDP($A598&amp;" Corp","YAS_OAS_SPRD","SETTLE_DT",Company_desc!$D$1))</f>
        <v/>
      </c>
      <c r="Z598" s="82">
        <f>IF($A598="","",K598-_xll.BDP($A598&amp;" Corp","YAS_BOND_YLD","YAS_YLD_FLAG=15","SETTLE_DT",Company_desc!$D$1))</f>
        <v/>
      </c>
      <c r="AA598" s="80">
        <f>IF($A598="","",_xll.BDP($A598&amp;" Corp","YAS_OAS_SPRD","SETTLE_DT",Company_desc!$D$1))</f>
        <v/>
      </c>
    </row>
    <row r="599">
      <c r="B599" s="75">
        <f>IF($A599="","",IFERROR(INDEX(Sheet1!$B:$B,MATCH($A599,Sheet1!$A:$A,0)),""))</f>
        <v/>
      </c>
      <c r="C599" s="75">
        <f>IF($A599="","",PROPER(_xll.BDP($A599&amp;" Corp","NAME")))</f>
        <v/>
      </c>
      <c r="D599" s="76">
        <f>IF($A599="","",_xll.BDP($A599&amp;" Corp","CPN"))</f>
        <v/>
      </c>
      <c r="E599" s="75">
        <f>IF($A599="","",_xll.BDP($A599&amp;" Corp","PAYMENT_RANK"))</f>
        <v/>
      </c>
      <c r="F599" s="100">
        <f>IF($A599="","",_xll.BDP($A599&amp;" Corp","MATURITY"))</f>
        <v/>
      </c>
      <c r="G599" s="75">
        <f>IF($A599="","",PROPER(_xll.BDP($A599&amp;" Corp","COUNTRY_FULL_NAME")))</f>
        <v/>
      </c>
      <c r="H599" s="75">
        <f>IF($A599="","",_xll.BDP($A599&amp;" Corp","INDUSTRY_SECTOR"))</f>
        <v/>
      </c>
      <c r="I599" s="101">
        <f>IF($A599="","",IFERROR(_xll.BDP($A599&amp;" Corp","MIN_PIECE")/1000,""))</f>
        <v/>
      </c>
      <c r="J599" s="31">
        <f>IF($A599="","",_xll.BDP($A599&amp;" Corp","PX_LAST"))</f>
        <v/>
      </c>
      <c r="K599" s="31">
        <f>IF($A599="","",_xll.BDP($A599&amp;" Corp","YAS_BOND_YLD","YAS_YLD_FLAG=15"))</f>
        <v/>
      </c>
      <c r="L599" s="31">
        <f>IF($A599="","",K599-_xll.BDP($A599&amp;" Corp","YAS_BOND_YLD","YAS_YLD_FLAG=15","SETTLE_DT",Company_desc!$A$1))</f>
        <v/>
      </c>
      <c r="M599" s="31">
        <f>IF($A599="","",K599-_xll.BDP($A599&amp;" Corp","YAS_BOND_YLD","YAS_YLD_FLAG=15","SETTLE_DT",Company_desc!$A$2))</f>
        <v/>
      </c>
      <c r="N599" s="79">
        <f>IF($A599="","",_xll.BDP($A599&amp;" Corp","YAS_OAS_SPRD"))</f>
        <v/>
      </c>
      <c r="O599" s="67">
        <f>IF($A599="","",_xll.BDP($A599&amp;" Corp","YAS_MOD_DUR"))</f>
        <v/>
      </c>
      <c r="P599" s="80">
        <f>IF($A599="","",IFERROR(INDEX(Sheet1!$P:$P,MATCH($A599,Sheet1!$A:$A,0)),""))</f>
        <v/>
      </c>
      <c r="Q599" s="75">
        <f>IF($A599="","",IFERROR(INDEX(Company_desc!$C:$C,MATCH($A599,Company_desc!$A:$A,0)),IFERROR(INDEX(Sheet1!$Q:$Q,MATCH($A599,Sheet1!$A:$A,0)),"")))</f>
        <v/>
      </c>
      <c r="R599" s="75">
        <f>IF($A599="","",_xll.BDP($A599&amp;" Corp","CRNCY"))</f>
        <v/>
      </c>
      <c r="S599" s="75">
        <f>IF($A599="","",IFERROR(INDEX(Sheet1!$S:$S,MATCH($A599,Sheet1!$A:$A,0)),""))</f>
        <v/>
      </c>
      <c r="T599" s="75">
        <f>IF($A599="","",IFERROR(INDEX(Sheet1!$T:$T,MATCH($A599,Sheet1!$A:$A,0)),_xll.BDP($A599&amp;" Corp","RTG_SP")))</f>
        <v/>
      </c>
      <c r="U599" s="75">
        <f>IF($A599="","",IFERROR(INDEX(Sheet1!$U:$U,MATCH($A599,Sheet1!$A:$A,0)),""))</f>
        <v/>
      </c>
      <c r="W599" s="81">
        <f>IF($A599="","",N599-_xll.BDP($A599&amp;" Corp","YAS_OAS_SPRD","SETTLE_DT",Company_desc!$A$1))</f>
        <v/>
      </c>
      <c r="X599" s="81">
        <f>IF($A599="","",N599-_xll.BDP($A599&amp;" Corp","YAS_OAS_SPRD","SETTLE_DT",Company_desc!$A$2))</f>
        <v/>
      </c>
      <c r="Y599" s="80">
        <f>IF($A599="","",N599-_xll.BDP($A599&amp;" Corp","YAS_OAS_SPRD","SETTLE_DT",Company_desc!$D$1))</f>
        <v/>
      </c>
      <c r="Z599" s="82">
        <f>IF($A599="","",K599-_xll.BDP($A599&amp;" Corp","YAS_BOND_YLD","YAS_YLD_FLAG=15","SETTLE_DT",Company_desc!$D$1))</f>
        <v/>
      </c>
      <c r="AA599" s="80">
        <f>IF($A599="","",_xll.BDP($A599&amp;" Corp","YAS_OAS_SPRD","SETTLE_DT",Company_desc!$D$1))</f>
        <v/>
      </c>
    </row>
    <row r="600">
      <c r="B600" s="75">
        <f>IF($A600="","",IFERROR(INDEX(Sheet1!$B:$B,MATCH($A600,Sheet1!$A:$A,0)),""))</f>
        <v/>
      </c>
      <c r="C600" s="75">
        <f>IF($A600="","",PROPER(_xll.BDP($A600&amp;" Corp","NAME")))</f>
        <v/>
      </c>
      <c r="D600" s="76">
        <f>IF($A600="","",_xll.BDP($A600&amp;" Corp","CPN"))</f>
        <v/>
      </c>
      <c r="E600" s="75">
        <f>IF($A600="","",_xll.BDP($A600&amp;" Corp","PAYMENT_RANK"))</f>
        <v/>
      </c>
      <c r="F600" s="100">
        <f>IF($A600="","",_xll.BDP($A600&amp;" Corp","MATURITY"))</f>
        <v/>
      </c>
      <c r="G600" s="75">
        <f>IF($A600="","",PROPER(_xll.BDP($A600&amp;" Corp","COUNTRY_FULL_NAME")))</f>
        <v/>
      </c>
      <c r="H600" s="75">
        <f>IF($A600="","",_xll.BDP($A600&amp;" Corp","INDUSTRY_SECTOR"))</f>
        <v/>
      </c>
      <c r="I600" s="101">
        <f>IF($A600="","",IFERROR(_xll.BDP($A600&amp;" Corp","MIN_PIECE")/1000,""))</f>
        <v/>
      </c>
      <c r="J600" s="31">
        <f>IF($A600="","",_xll.BDP($A600&amp;" Corp","PX_LAST"))</f>
        <v/>
      </c>
      <c r="K600" s="31">
        <f>IF($A600="","",_xll.BDP($A600&amp;" Corp","YAS_BOND_YLD","YAS_YLD_FLAG=15"))</f>
        <v/>
      </c>
      <c r="L600" s="31">
        <f>IF($A600="","",K600-_xll.BDP($A600&amp;" Corp","YAS_BOND_YLD","YAS_YLD_FLAG=15","SETTLE_DT",Company_desc!$A$1))</f>
        <v/>
      </c>
      <c r="M600" s="31">
        <f>IF($A600="","",K600-_xll.BDP($A600&amp;" Corp","YAS_BOND_YLD","YAS_YLD_FLAG=15","SETTLE_DT",Company_desc!$A$2))</f>
        <v/>
      </c>
      <c r="N600" s="79">
        <f>IF($A600="","",_xll.BDP($A600&amp;" Corp","YAS_OAS_SPRD"))</f>
        <v/>
      </c>
      <c r="O600" s="82">
        <f>IF($A600="","",_xll.BDP($A600&amp;" Corp","YAS_MOD_DUR"))</f>
        <v/>
      </c>
      <c r="P600" s="80">
        <f>IF($A600="","",IFERROR(INDEX(Sheet1!$P:$P,MATCH($A600,Sheet1!$A:$A,0)),""))</f>
        <v/>
      </c>
      <c r="Q600" s="75">
        <f>IF($A600="","",IFERROR(INDEX(Company_desc!$C:$C,MATCH($A600,Company_desc!$A:$A,0)),IFERROR(INDEX(Sheet1!$Q:$Q,MATCH($A600,Sheet1!$A:$A,0)),"")))</f>
        <v/>
      </c>
      <c r="R600" s="75">
        <f>IF($A600="","",_xll.BDP($A600&amp;" Corp","CRNCY"))</f>
        <v/>
      </c>
      <c r="S600" s="75">
        <f>IF($A600="","",IFERROR(INDEX(Sheet1!$S:$S,MATCH($A600,Sheet1!$A:$A,0)),""))</f>
        <v/>
      </c>
      <c r="T600" s="75">
        <f>IF($A600="","",IFERROR(INDEX(Sheet1!$T:$T,MATCH($A600,Sheet1!$A:$A,0)),_xll.BDP($A600&amp;" Corp","RTG_SP")))</f>
        <v/>
      </c>
      <c r="U600" s="75">
        <f>IF($A600="","",IFERROR(INDEX(Sheet1!$U:$U,MATCH($A600,Sheet1!$A:$A,0)),""))</f>
        <v/>
      </c>
      <c r="W600" s="81">
        <f>IF($A600="","",N600-_xll.BDP($A600&amp;" Corp","YAS_OAS_SPRD","SETTLE_DT",Company_desc!$A$1))</f>
        <v/>
      </c>
      <c r="X600" s="81">
        <f>IF($A600="","",N600-_xll.BDP($A600&amp;" Corp","YAS_OAS_SPRD","SETTLE_DT",Company_desc!$A$2))</f>
        <v/>
      </c>
      <c r="Y600" s="80">
        <f>IF($A600="","",N600-_xll.BDP($A600&amp;" Corp","YAS_OAS_SPRD","SETTLE_DT",Company_desc!$D$1))</f>
        <v/>
      </c>
      <c r="Z600" s="82">
        <f>IF($A600="","",K600-_xll.BDP($A600&amp;" Corp","YAS_BOND_YLD","YAS_YLD_FLAG=15","SETTLE_DT",Company_desc!$D$1))</f>
        <v/>
      </c>
      <c r="AA600" s="80">
        <f>IF($A600="","",_xll.BDP($A600&amp;" Corp","YAS_OAS_SPRD","SETTLE_DT",Company_desc!$D$1))</f>
        <v/>
      </c>
    </row>
    <row r="601">
      <c r="B601" s="28">
        <f>IF($A601="","",IFERROR(INDEX(Sheet1!$B:$B,MATCH($A601,Sheet1!$A:$A,0)),""))</f>
        <v/>
      </c>
      <c r="C601" s="29">
        <f>IF($A601="","",PROPER(_xll.BDP($A601&amp;" Corp","NAME")))</f>
        <v/>
      </c>
      <c r="D601" s="84">
        <f>IF($A601="","",_xll.BDP($A601&amp;" Corp","CPN"))</f>
        <v/>
      </c>
      <c r="E601" s="84">
        <f>IF($A601="","",_xll.BDP($A601&amp;" Corp","PAYMENT_RANK"))</f>
        <v/>
      </c>
      <c r="F601" s="102">
        <f>IF($A601="","",_xll.BDP($A601&amp;" Corp","MATURITY"))</f>
        <v/>
      </c>
      <c r="G601" s="43">
        <f>IF($A601="","",PROPER(_xll.BDP($A601&amp;" Corp","COUNTRY_FULL_NAME")))</f>
        <v/>
      </c>
      <c r="H601" s="29">
        <f>IF($A601="","",_xll.BDP($A601&amp;" Corp","INDUSTRY_SECTOR"))</f>
        <v/>
      </c>
      <c r="I601" s="103">
        <f>IF($A601="","",IFERROR(_xll.BDP($A601&amp;" Corp","MIN_PIECE")/1000,""))</f>
        <v/>
      </c>
      <c r="J601" s="31">
        <f>IF($A601="","",_xll.BDP($A601&amp;" Corp","PX_LAST"))</f>
        <v/>
      </c>
      <c r="K601" s="31">
        <f>IF($A601="","",_xll.BDP($A601&amp;" Corp","YAS_BOND_YLD","YAS_YLD_FLAG=15"))</f>
        <v/>
      </c>
      <c r="L601" s="31">
        <f>IF($A601="","",K601-_xll.BDP($A601&amp;" Corp","YAS_BOND_YLD","YAS_YLD_FLAG=15","SETTLE_DT",Company_desc!$A$1))</f>
        <v/>
      </c>
      <c r="M601" s="31">
        <f>IF($A601="","",K601-_xll.BDP($A601&amp;" Corp","YAS_BOND_YLD","YAS_YLD_FLAG=15","SETTLE_DT",Company_desc!$A$2))</f>
        <v/>
      </c>
      <c r="N601" s="79">
        <f>IF($A601="","",_xll.BDP($A601&amp;" Corp","YAS_OAS_SPRD"))</f>
        <v/>
      </c>
      <c r="O601" s="67">
        <f>IF($A601="","",_xll.BDP($A601&amp;" Corp","YAS_MOD_DUR"))</f>
        <v/>
      </c>
      <c r="P601" s="79">
        <f>IF($A601="","",IFERROR(INDEX(Sheet1!$P:$P,MATCH($A601,Sheet1!$A:$A,0)),""))</f>
        <v/>
      </c>
      <c r="Q601" s="27">
        <f>IF($A601="","",IFERROR(INDEX(Company_desc!$C:$C,MATCH($A601,Company_desc!$A:$A,0)),IFERROR(INDEX(Sheet1!$Q:$Q,MATCH($A601,Sheet1!$A:$A,0)),"")))</f>
        <v/>
      </c>
      <c r="R601" s="27">
        <f>IF($A601="","",_xll.BDP($A601&amp;" Corp","CRNCY"))</f>
        <v/>
      </c>
      <c r="S601" s="27">
        <f>IF($A601="","",IFERROR(INDEX(Sheet1!$S:$S,MATCH($A601,Sheet1!$A:$A,0)),""))</f>
        <v/>
      </c>
      <c r="T601" s="47">
        <f>IF($A601="","",IFERROR(INDEX(Sheet1!$T:$T,MATCH($A601,Sheet1!$A:$A,0)),_xll.BDP($A601&amp;" Corp","RTG_SP")))</f>
        <v/>
      </c>
      <c r="U601" s="75">
        <f>IF($A601="","",IFERROR(INDEX(Sheet1!$U:$U,MATCH($A601,Sheet1!$A:$A,0)),""))</f>
        <v/>
      </c>
      <c r="W601" s="81">
        <f>IF($A601="","",N601-_xll.BDP($A601&amp;" Corp","YAS_OAS_SPRD","SETTLE_DT",Company_desc!$A$1))</f>
        <v/>
      </c>
      <c r="X601" s="81">
        <f>IF($A601="","",N601-_xll.BDP($A601&amp;" Corp","YAS_OAS_SPRD","SETTLE_DT",Company_desc!$A$2))</f>
        <v/>
      </c>
      <c r="Y601" s="80">
        <f>IF($A601="","",N601-_xll.BDP($A601&amp;" Corp","YAS_OAS_SPRD","SETTLE_DT",Company_desc!$D$1))</f>
        <v/>
      </c>
      <c r="Z601" s="82">
        <f>IF($A601="","",K601-_xll.BDP($A601&amp;" Corp","YAS_BOND_YLD","YAS_YLD_FLAG=15","SETTLE_DT",Company_desc!$D$1))</f>
        <v/>
      </c>
      <c r="AA601" s="80">
        <f>IF($A601="","",_xll.BDP($A601&amp;" Corp","YAS_OAS_SPRD","SETTLE_DT",Company_desc!$D$1))</f>
        <v/>
      </c>
    </row>
    <row r="602">
      <c r="B602" s="28">
        <f>IF($A602="","",IFERROR(INDEX(Sheet1!$B:$B,MATCH($A602,Sheet1!$A:$A,0)),""))</f>
        <v/>
      </c>
      <c r="C602" s="29">
        <f>IF($A602="","",PROPER(_xll.BDP($A602&amp;" Corp","NAME")))</f>
        <v/>
      </c>
      <c r="D602" s="84">
        <f>IF($A602="","",_xll.BDP($A602&amp;" Corp","CPN"))</f>
        <v/>
      </c>
      <c r="E602" s="84">
        <f>IF($A602="","",_xll.BDP($A602&amp;" Corp","PAYMENT_RANK"))</f>
        <v/>
      </c>
      <c r="F602" s="102">
        <f>IF($A602="","",_xll.BDP($A602&amp;" Corp","MATURITY"))</f>
        <v/>
      </c>
      <c r="G602" s="43">
        <f>IF($A602="","",PROPER(_xll.BDP($A602&amp;" Corp","COUNTRY_FULL_NAME")))</f>
        <v/>
      </c>
      <c r="H602" s="29">
        <f>IF($A602="","",_xll.BDP($A602&amp;" Corp","INDUSTRY_SECTOR"))</f>
        <v/>
      </c>
      <c r="I602" s="103">
        <f>IF($A602="","",IFERROR(_xll.BDP($A602&amp;" Corp","MIN_PIECE")/1000,""))</f>
        <v/>
      </c>
      <c r="J602" s="31">
        <f>IF($A602="","",_xll.BDP($A602&amp;" Corp","PX_LAST"))</f>
        <v/>
      </c>
      <c r="K602" s="31">
        <f>IF($A602="","",_xll.BDP($A602&amp;" Corp","YAS_BOND_YLD","YAS_YLD_FLAG=15"))</f>
        <v/>
      </c>
      <c r="L602" s="31">
        <f>IF($A602="","",K602-_xll.BDP($A602&amp;" Corp","YAS_BOND_YLD","YAS_YLD_FLAG=15","SETTLE_DT",Company_desc!$A$1))</f>
        <v/>
      </c>
      <c r="M602" s="31">
        <f>IF($A602="","",K602-_xll.BDP($A602&amp;" Corp","YAS_BOND_YLD","YAS_YLD_FLAG=15","SETTLE_DT",Company_desc!$A$2))</f>
        <v/>
      </c>
      <c r="N602" s="79">
        <f>IF($A602="","",_xll.BDP($A602&amp;" Corp","YAS_OAS_SPRD"))</f>
        <v/>
      </c>
      <c r="O602" s="67">
        <f>IF($A602="","",_xll.BDP($A602&amp;" Corp","YAS_MOD_DUR"))</f>
        <v/>
      </c>
      <c r="P602" s="79">
        <f>IF($A602="","",IFERROR(INDEX(Sheet1!$P:$P,MATCH($A602,Sheet1!$A:$A,0)),""))</f>
        <v/>
      </c>
      <c r="Q602" s="27">
        <f>IF($A602="","",IFERROR(INDEX(Company_desc!$C:$C,MATCH($A602,Company_desc!$A:$A,0)),IFERROR(INDEX(Sheet1!$Q:$Q,MATCH($A602,Sheet1!$A:$A,0)),"")))</f>
        <v/>
      </c>
      <c r="R602" s="27">
        <f>IF($A602="","",_xll.BDP($A602&amp;" Corp","CRNCY"))</f>
        <v/>
      </c>
      <c r="S602" s="27">
        <f>IF($A602="","",IFERROR(INDEX(Sheet1!$S:$S,MATCH($A602,Sheet1!$A:$A,0)),""))</f>
        <v/>
      </c>
      <c r="T602" s="47">
        <f>IF($A602="","",IFERROR(INDEX(Sheet1!$T:$T,MATCH($A602,Sheet1!$A:$A,0)),_xll.BDP($A602&amp;" Corp","RTG_SP")))</f>
        <v/>
      </c>
      <c r="U602" s="75">
        <f>IF($A602="","",IFERROR(INDEX(Sheet1!$U:$U,MATCH($A602,Sheet1!$A:$A,0)),""))</f>
        <v/>
      </c>
      <c r="W602" s="81">
        <f>IF($A602="","",N602-_xll.BDP($A602&amp;" Corp","YAS_OAS_SPRD","SETTLE_DT",Company_desc!$A$1))</f>
        <v/>
      </c>
      <c r="X602" s="81">
        <f>IF($A602="","",N602-_xll.BDP($A602&amp;" Corp","YAS_OAS_SPRD","SETTLE_DT",Company_desc!$A$2))</f>
        <v/>
      </c>
      <c r="Y602" s="80">
        <f>IF($A602="","",N602-_xll.BDP($A602&amp;" Corp","YAS_OAS_SPRD","SETTLE_DT",Company_desc!$D$1))</f>
        <v/>
      </c>
      <c r="Z602" s="82">
        <f>IF($A602="","",K602-_xll.BDP($A602&amp;" Corp","YAS_BOND_YLD","YAS_YLD_FLAG=15","SETTLE_DT",Company_desc!$D$1))</f>
        <v/>
      </c>
      <c r="AA602" s="80">
        <f>IF($A602="","",_xll.BDP($A602&amp;" Corp","YAS_OAS_SPRD","SETTLE_DT",Company_desc!$D$1))</f>
        <v/>
      </c>
    </row>
    <row r="603">
      <c r="B603" s="28">
        <f>IF($A603="","",IFERROR(INDEX(Sheet1!$B:$B,MATCH($A603,Sheet1!$A:$A,0)),""))</f>
        <v/>
      </c>
      <c r="C603" s="29">
        <f>IF($A603="","",PROPER(_xll.BDP($A603&amp;" Corp","NAME")))</f>
        <v/>
      </c>
      <c r="D603" s="84">
        <f>IF($A603="","",_xll.BDP($A603&amp;" Corp","CPN"))</f>
        <v/>
      </c>
      <c r="E603" s="84">
        <f>IF($A603="","",_xll.BDP($A603&amp;" Corp","PAYMENT_RANK"))</f>
        <v/>
      </c>
      <c r="F603" s="102">
        <f>IF($A603="","",_xll.BDP($A603&amp;" Corp","MATURITY"))</f>
        <v/>
      </c>
      <c r="G603" s="43">
        <f>IF($A603="","",PROPER(_xll.BDP($A603&amp;" Corp","COUNTRY_FULL_NAME")))</f>
        <v/>
      </c>
      <c r="H603" s="29">
        <f>IF($A603="","",_xll.BDP($A603&amp;" Corp","INDUSTRY_SECTOR"))</f>
        <v/>
      </c>
      <c r="I603" s="103">
        <f>IF($A603="","",IFERROR(_xll.BDP($A603&amp;" Corp","MIN_PIECE")/1000,""))</f>
        <v/>
      </c>
      <c r="J603" s="31">
        <f>IF($A603="","",_xll.BDP($A603&amp;" Corp","PX_LAST"))</f>
        <v/>
      </c>
      <c r="K603" s="31">
        <f>IF($A603="","",_xll.BDP($A603&amp;" Corp","YAS_BOND_YLD","YAS_YLD_FLAG=15"))</f>
        <v/>
      </c>
      <c r="L603" s="31">
        <f>IF($A603="","",K603-_xll.BDP($A603&amp;" Corp","YAS_BOND_YLD","YAS_YLD_FLAG=15","SETTLE_DT",Company_desc!$A$1))</f>
        <v/>
      </c>
      <c r="M603" s="31">
        <f>IF($A603="","",K603-_xll.BDP($A603&amp;" Corp","YAS_BOND_YLD","YAS_YLD_FLAG=15","SETTLE_DT",Company_desc!$A$2))</f>
        <v/>
      </c>
      <c r="N603" s="79">
        <f>IF($A603="","",_xll.BDP($A603&amp;" Corp","YAS_OAS_SPRD"))</f>
        <v/>
      </c>
      <c r="O603" s="67">
        <f>IF($A603="","",_xll.BDP($A603&amp;" Corp","YAS_MOD_DUR"))</f>
        <v/>
      </c>
      <c r="P603" s="79">
        <f>IF($A603="","",IFERROR(INDEX(Sheet1!$P:$P,MATCH($A603,Sheet1!$A:$A,0)),""))</f>
        <v/>
      </c>
      <c r="Q603" s="27">
        <f>IF($A603="","",IFERROR(INDEX(Company_desc!$C:$C,MATCH($A603,Company_desc!$A:$A,0)),IFERROR(INDEX(Sheet1!$Q:$Q,MATCH($A603,Sheet1!$A:$A,0)),"")))</f>
        <v/>
      </c>
      <c r="R603" s="27">
        <f>IF($A603="","",_xll.BDP($A603&amp;" Corp","CRNCY"))</f>
        <v/>
      </c>
      <c r="S603" s="27">
        <f>IF($A603="","",IFERROR(INDEX(Sheet1!$S:$S,MATCH($A603,Sheet1!$A:$A,0)),""))</f>
        <v/>
      </c>
      <c r="T603" s="47">
        <f>IF($A603="","",IFERROR(INDEX(Sheet1!$T:$T,MATCH($A603,Sheet1!$A:$A,0)),_xll.BDP($A603&amp;" Corp","RTG_SP")))</f>
        <v/>
      </c>
      <c r="U603" s="75">
        <f>IF($A603="","",IFERROR(INDEX(Sheet1!$U:$U,MATCH($A603,Sheet1!$A:$A,0)),""))</f>
        <v/>
      </c>
      <c r="W603" s="81">
        <f>IF($A603="","",N603-_xll.BDP($A603&amp;" Corp","YAS_OAS_SPRD","SETTLE_DT",Company_desc!$A$1))</f>
        <v/>
      </c>
      <c r="X603" s="81">
        <f>IF($A603="","",N603-_xll.BDP($A603&amp;" Corp","YAS_OAS_SPRD","SETTLE_DT",Company_desc!$A$2))</f>
        <v/>
      </c>
      <c r="Y603" s="80">
        <f>IF($A603="","",N603-_xll.BDP($A603&amp;" Corp","YAS_OAS_SPRD","SETTLE_DT",Company_desc!$D$1))</f>
        <v/>
      </c>
      <c r="Z603" s="82">
        <f>IF($A603="","",K603-_xll.BDP($A603&amp;" Corp","YAS_BOND_YLD","YAS_YLD_FLAG=15","SETTLE_DT",Company_desc!$D$1))</f>
        <v/>
      </c>
      <c r="AA603" s="80">
        <f>IF($A603="","",_xll.BDP($A603&amp;" Corp","YAS_OAS_SPRD","SETTLE_DT",Company_desc!$D$1))</f>
        <v/>
      </c>
    </row>
    <row r="604">
      <c r="B604" s="75">
        <f>IF($A604="","",IFERROR(INDEX(Sheet1!$B:$B,MATCH($A604,Sheet1!$A:$A,0)),""))</f>
        <v/>
      </c>
      <c r="C604" s="75">
        <f>IF($A604="","",PROPER(_xll.BDP($A604&amp;" Corp","NAME")))</f>
        <v/>
      </c>
      <c r="D604" s="76">
        <f>IF($A604="","",_xll.BDP($A604&amp;" Corp","CPN"))</f>
        <v/>
      </c>
      <c r="E604" s="75">
        <f>IF($A604="","",_xll.BDP($A604&amp;" Corp","PAYMENT_RANK"))</f>
        <v/>
      </c>
      <c r="F604" s="100">
        <f>IF($A604="","",_xll.BDP($A604&amp;" Corp","MATURITY"))</f>
        <v/>
      </c>
      <c r="G604" s="75">
        <f>IF($A604="","",PROPER(_xll.BDP($A604&amp;" Corp","COUNTRY_FULL_NAME")))</f>
        <v/>
      </c>
      <c r="H604" s="75">
        <f>IF($A604="","",_xll.BDP($A604&amp;" Corp","INDUSTRY_SECTOR"))</f>
        <v/>
      </c>
      <c r="I604" s="101">
        <f>IF($A604="","",IFERROR(_xll.BDP($A604&amp;" Corp","MIN_PIECE")/1000,""))</f>
        <v/>
      </c>
      <c r="J604" s="31">
        <f>IF($A604="","",_xll.BDP($A604&amp;" Corp","PX_LAST"))</f>
        <v/>
      </c>
      <c r="K604" s="31">
        <f>IF($A604="","",_xll.BDP($A604&amp;" Corp","YAS_BOND_YLD","YAS_YLD_FLAG=15"))</f>
        <v/>
      </c>
      <c r="L604" s="31">
        <f>IF($A604="","",K604-_xll.BDP($A604&amp;" Corp","YAS_BOND_YLD","YAS_YLD_FLAG=15","SETTLE_DT",Company_desc!$A$1))</f>
        <v/>
      </c>
      <c r="M604" s="31">
        <f>IF($A604="","",K604-_xll.BDP($A604&amp;" Corp","YAS_BOND_YLD","YAS_YLD_FLAG=15","SETTLE_DT",Company_desc!$A$2))</f>
        <v/>
      </c>
      <c r="N604" s="79">
        <f>IF($A604="","",_xll.BDP($A604&amp;" Corp","YAS_OAS_SPRD"))</f>
        <v/>
      </c>
      <c r="O604" s="82">
        <f>IF($A604="","",_xll.BDP($A604&amp;" Corp","YAS_MOD_DUR"))</f>
        <v/>
      </c>
      <c r="P604" s="80">
        <f>IF($A604="","",IFERROR(INDEX(Sheet1!$P:$P,MATCH($A604,Sheet1!$A:$A,0)),""))</f>
        <v/>
      </c>
      <c r="Q604" s="75">
        <f>IF($A604="","",IFERROR(INDEX(Company_desc!$C:$C,MATCH($A604,Company_desc!$A:$A,0)),IFERROR(INDEX(Sheet1!$Q:$Q,MATCH($A604,Sheet1!$A:$A,0)),"")))</f>
        <v/>
      </c>
      <c r="R604" s="75">
        <f>IF($A604="","",_xll.BDP($A604&amp;" Corp","CRNCY"))</f>
        <v/>
      </c>
      <c r="S604" s="75">
        <f>IF($A604="","",IFERROR(INDEX(Sheet1!$S:$S,MATCH($A604,Sheet1!$A:$A,0)),""))</f>
        <v/>
      </c>
      <c r="T604" s="75">
        <f>IF($A604="","",IFERROR(INDEX(Sheet1!$T:$T,MATCH($A604,Sheet1!$A:$A,0)),_xll.BDP($A604&amp;" Corp","RTG_SP")))</f>
        <v/>
      </c>
      <c r="U604" s="75">
        <f>IF($A604="","",IFERROR(INDEX(Sheet1!$U:$U,MATCH($A604,Sheet1!$A:$A,0)),""))</f>
        <v/>
      </c>
      <c r="W604" s="81">
        <f>IF($A604="","",N604-_xll.BDP($A604&amp;" Corp","YAS_OAS_SPRD","SETTLE_DT",Company_desc!$A$1))</f>
        <v/>
      </c>
      <c r="X604" s="81">
        <f>IF($A604="","",N604-_xll.BDP($A604&amp;" Corp","YAS_OAS_SPRD","SETTLE_DT",Company_desc!$A$2))</f>
        <v/>
      </c>
      <c r="Y604" s="80">
        <f>IF($A604="","",N604-_xll.BDP($A604&amp;" Corp","YAS_OAS_SPRD","SETTLE_DT",Company_desc!$D$1))</f>
        <v/>
      </c>
      <c r="Z604" s="82">
        <f>IF($A604="","",K604-_xll.BDP($A604&amp;" Corp","YAS_BOND_YLD","YAS_YLD_FLAG=15","SETTLE_DT",Company_desc!$D$1))</f>
        <v/>
      </c>
      <c r="AA604" s="80">
        <f>IF($A604="","",_xll.BDP($A604&amp;" Corp","YAS_OAS_SPRD","SETTLE_DT",Company_desc!$D$1))</f>
        <v/>
      </c>
    </row>
    <row r="605">
      <c r="B605" s="75">
        <f>IF($A605="","",IFERROR(INDEX(Sheet1!$B:$B,MATCH($A605,Sheet1!$A:$A,0)),""))</f>
        <v/>
      </c>
      <c r="C605" s="75">
        <f>IF($A605="","",PROPER(_xll.BDP($A605&amp;" Corp","NAME")))</f>
        <v/>
      </c>
      <c r="D605" s="76">
        <f>IF($A605="","",_xll.BDP($A605&amp;" Corp","CPN"))</f>
        <v/>
      </c>
      <c r="E605" s="75">
        <f>IF($A605="","",_xll.BDP($A605&amp;" Corp","PAYMENT_RANK"))</f>
        <v/>
      </c>
      <c r="F605" s="100">
        <f>IF($A605="","",_xll.BDP($A605&amp;" Corp","MATURITY"))</f>
        <v/>
      </c>
      <c r="G605" s="75">
        <f>IF($A605="","",PROPER(_xll.BDP($A605&amp;" Corp","COUNTRY_FULL_NAME")))</f>
        <v/>
      </c>
      <c r="H605" s="75">
        <f>IF($A605="","",_xll.BDP($A605&amp;" Corp","INDUSTRY_SECTOR"))</f>
        <v/>
      </c>
      <c r="I605" s="101">
        <f>IF($A605="","",IFERROR(_xll.BDP($A605&amp;" Corp","MIN_PIECE")/1000,""))</f>
        <v/>
      </c>
      <c r="J605" s="31">
        <f>IF($A605="","",_xll.BDP($A605&amp;" Corp","PX_LAST"))</f>
        <v/>
      </c>
      <c r="K605" s="31">
        <f>IF($A605="","",_xll.BDP($A605&amp;" Corp","YAS_BOND_YLD","YAS_YLD_FLAG=15"))</f>
        <v/>
      </c>
      <c r="L605" s="31">
        <f>IF($A605="","",K605-_xll.BDP($A605&amp;" Corp","YAS_BOND_YLD","YAS_YLD_FLAG=15","SETTLE_DT",Company_desc!$A$1))</f>
        <v/>
      </c>
      <c r="M605" s="31">
        <f>IF($A605="","",K605-_xll.BDP($A605&amp;" Corp","YAS_BOND_YLD","YAS_YLD_FLAG=15","SETTLE_DT",Company_desc!$A$2))</f>
        <v/>
      </c>
      <c r="N605" s="79">
        <f>IF($A605="","",_xll.BDP($A605&amp;" Corp","YAS_OAS_SPRD"))</f>
        <v/>
      </c>
      <c r="O605" s="67">
        <f>IF($A605="","",_xll.BDP($A605&amp;" Corp","YAS_MOD_DUR"))</f>
        <v/>
      </c>
      <c r="P605" s="80">
        <f>IF($A605="","",IFERROR(INDEX(Sheet1!$P:$P,MATCH($A605,Sheet1!$A:$A,0)),""))</f>
        <v/>
      </c>
      <c r="Q605" s="75">
        <f>IF($A605="","",IFERROR(INDEX(Company_desc!$C:$C,MATCH($A605,Company_desc!$A:$A,0)),IFERROR(INDEX(Sheet1!$Q:$Q,MATCH($A605,Sheet1!$A:$A,0)),"")))</f>
        <v/>
      </c>
      <c r="R605" s="75">
        <f>IF($A605="","",_xll.BDP($A605&amp;" Corp","CRNCY"))</f>
        <v/>
      </c>
      <c r="S605" s="75">
        <f>IF($A605="","",IFERROR(INDEX(Sheet1!$S:$S,MATCH($A605,Sheet1!$A:$A,0)),""))</f>
        <v/>
      </c>
      <c r="T605" s="75">
        <f>IF($A605="","",IFERROR(INDEX(Sheet1!$T:$T,MATCH($A605,Sheet1!$A:$A,0)),_xll.BDP($A605&amp;" Corp","RTG_SP")))</f>
        <v/>
      </c>
      <c r="U605" s="75">
        <f>IF($A605="","",IFERROR(INDEX(Sheet1!$U:$U,MATCH($A605,Sheet1!$A:$A,0)),""))</f>
        <v/>
      </c>
      <c r="W605" s="81">
        <f>IF($A605="","",N605-_xll.BDP($A605&amp;" Corp","YAS_OAS_SPRD","SETTLE_DT",Company_desc!$A$1))</f>
        <v/>
      </c>
      <c r="X605" s="81">
        <f>IF($A605="","",N605-_xll.BDP($A605&amp;" Corp","YAS_OAS_SPRD","SETTLE_DT",Company_desc!$A$2))</f>
        <v/>
      </c>
      <c r="Y605" s="80">
        <f>IF($A605="","",N605-_xll.BDP($A605&amp;" Corp","YAS_OAS_SPRD","SETTLE_DT",Company_desc!$D$1))</f>
        <v/>
      </c>
      <c r="Z605" s="82">
        <f>IF($A605="","",K605-_xll.BDP($A605&amp;" Corp","YAS_BOND_YLD","YAS_YLD_FLAG=15","SETTLE_DT",Company_desc!$D$1))</f>
        <v/>
      </c>
      <c r="AA605" s="80">
        <f>IF($A605="","",_xll.BDP($A605&amp;" Corp","YAS_OAS_SPRD","SETTLE_DT",Company_desc!$D$1))</f>
        <v/>
      </c>
    </row>
    <row r="606">
      <c r="B606" s="75">
        <f>IF($A606="","",IFERROR(INDEX(Sheet1!$B:$B,MATCH($A606,Sheet1!$A:$A,0)),""))</f>
        <v/>
      </c>
      <c r="C606" s="75">
        <f>IF($A606="","",PROPER(_xll.BDP($A606&amp;" Corp","NAME")))</f>
        <v/>
      </c>
      <c r="D606" s="76">
        <f>IF($A606="","",_xll.BDP($A606&amp;" Corp","CPN"))</f>
        <v/>
      </c>
      <c r="E606" s="75">
        <f>IF($A606="","",_xll.BDP($A606&amp;" Corp","PAYMENT_RANK"))</f>
        <v/>
      </c>
      <c r="F606" s="100">
        <f>IF($A606="","",_xll.BDP($A606&amp;" Corp","MATURITY"))</f>
        <v/>
      </c>
      <c r="G606" s="75">
        <f>IF($A606="","",PROPER(_xll.BDP($A606&amp;" Corp","COUNTRY_FULL_NAME")))</f>
        <v/>
      </c>
      <c r="H606" s="75">
        <f>IF($A606="","",_xll.BDP($A606&amp;" Corp","INDUSTRY_SECTOR"))</f>
        <v/>
      </c>
      <c r="I606" s="101">
        <f>IF($A606="","",IFERROR(_xll.BDP($A606&amp;" Corp","MIN_PIECE")/1000,""))</f>
        <v/>
      </c>
      <c r="J606" s="31">
        <f>IF($A606="","",_xll.BDP($A606&amp;" Corp","PX_LAST"))</f>
        <v/>
      </c>
      <c r="K606" s="31">
        <f>IF($A606="","",_xll.BDP($A606&amp;" Corp","YAS_BOND_YLD","YAS_YLD_FLAG=15"))</f>
        <v/>
      </c>
      <c r="L606" s="31">
        <f>IF($A606="","",K606-_xll.BDP($A606&amp;" Corp","YAS_BOND_YLD","YAS_YLD_FLAG=15","SETTLE_DT",Company_desc!$A$1))</f>
        <v/>
      </c>
      <c r="M606" s="31">
        <f>IF($A606="","",K606-_xll.BDP($A606&amp;" Corp","YAS_BOND_YLD","YAS_YLD_FLAG=15","SETTLE_DT",Company_desc!$A$2))</f>
        <v/>
      </c>
      <c r="N606" s="79">
        <f>IF($A606="","",_xll.BDP($A606&amp;" Corp","YAS_OAS_SPRD"))</f>
        <v/>
      </c>
      <c r="O606" s="82">
        <f>IF($A606="","",_xll.BDP($A606&amp;" Corp","YAS_MOD_DUR"))</f>
        <v/>
      </c>
      <c r="P606" s="80">
        <f>IF($A606="","",IFERROR(INDEX(Sheet1!$P:$P,MATCH($A606,Sheet1!$A:$A,0)),""))</f>
        <v/>
      </c>
      <c r="Q606" s="75">
        <f>IF($A606="","",IFERROR(INDEX(Company_desc!$C:$C,MATCH($A606,Company_desc!$A:$A,0)),IFERROR(INDEX(Sheet1!$Q:$Q,MATCH($A606,Sheet1!$A:$A,0)),"")))</f>
        <v/>
      </c>
      <c r="R606" s="75">
        <f>IF($A606="","",_xll.BDP($A606&amp;" Corp","CRNCY"))</f>
        <v/>
      </c>
      <c r="S606" s="75">
        <f>IF($A606="","",IFERROR(INDEX(Sheet1!$S:$S,MATCH($A606,Sheet1!$A:$A,0)),""))</f>
        <v/>
      </c>
      <c r="T606" s="75">
        <f>IF($A606="","",IFERROR(INDEX(Sheet1!$T:$T,MATCH($A606,Sheet1!$A:$A,0)),_xll.BDP($A606&amp;" Corp","RTG_SP")))</f>
        <v/>
      </c>
      <c r="U606" s="75">
        <f>IF($A606="","",IFERROR(INDEX(Sheet1!$U:$U,MATCH($A606,Sheet1!$A:$A,0)),""))</f>
        <v/>
      </c>
      <c r="W606" s="81">
        <f>IF($A606="","",N606-_xll.BDP($A606&amp;" Corp","YAS_OAS_SPRD","SETTLE_DT",Company_desc!$A$1))</f>
        <v/>
      </c>
      <c r="X606" s="81">
        <f>IF($A606="","",N606-_xll.BDP($A606&amp;" Corp","YAS_OAS_SPRD","SETTLE_DT",Company_desc!$A$2))</f>
        <v/>
      </c>
      <c r="Y606" s="80">
        <f>IF($A606="","",N606-_xll.BDP($A606&amp;" Corp","YAS_OAS_SPRD","SETTLE_DT",Company_desc!$D$1))</f>
        <v/>
      </c>
      <c r="Z606" s="82">
        <f>IF($A606="","",K606-_xll.BDP($A606&amp;" Corp","YAS_BOND_YLD","YAS_YLD_FLAG=15","SETTLE_DT",Company_desc!$D$1))</f>
        <v/>
      </c>
      <c r="AA606" s="80">
        <f>IF($A606="","",_xll.BDP($A606&amp;" Corp","YAS_OAS_SPRD","SETTLE_DT",Company_desc!$D$1))</f>
        <v/>
      </c>
    </row>
    <row r="607">
      <c r="B607" s="75">
        <f>IF($A607="","",IFERROR(INDEX(Sheet1!$B:$B,MATCH($A607,Sheet1!$A:$A,0)),""))</f>
        <v/>
      </c>
      <c r="C607" s="75">
        <f>IF($A607="","",PROPER(_xll.BDP($A607&amp;" Corp","NAME")))</f>
        <v/>
      </c>
      <c r="D607" s="76">
        <f>IF($A607="","",_xll.BDP($A607&amp;" Corp","CPN"))</f>
        <v/>
      </c>
      <c r="E607" s="75">
        <f>IF($A607="","",_xll.BDP($A607&amp;" Corp","PAYMENT_RANK"))</f>
        <v/>
      </c>
      <c r="F607" s="100">
        <f>IF($A607="","",_xll.BDP($A607&amp;" Corp","MATURITY"))</f>
        <v/>
      </c>
      <c r="G607" s="75">
        <f>IF($A607="","",PROPER(_xll.BDP($A607&amp;" Corp","COUNTRY_FULL_NAME")))</f>
        <v/>
      </c>
      <c r="H607" s="75">
        <f>IF($A607="","",_xll.BDP($A607&amp;" Corp","INDUSTRY_SECTOR"))</f>
        <v/>
      </c>
      <c r="I607" s="101">
        <f>IF($A607="","",IFERROR(_xll.BDP($A607&amp;" Corp","MIN_PIECE")/1000,""))</f>
        <v/>
      </c>
      <c r="J607" s="31">
        <f>IF($A607="","",_xll.BDP($A607&amp;" Corp","PX_LAST"))</f>
        <v/>
      </c>
      <c r="K607" s="31">
        <f>IF($A607="","",_xll.BDP($A607&amp;" Corp","YAS_BOND_YLD","YAS_YLD_FLAG=15"))</f>
        <v/>
      </c>
      <c r="L607" s="31">
        <f>IF($A607="","",K607-_xll.BDP($A607&amp;" Corp","YAS_BOND_YLD","YAS_YLD_FLAG=15","SETTLE_DT",Company_desc!$A$1))</f>
        <v/>
      </c>
      <c r="M607" s="31">
        <f>IF($A607="","",K607-_xll.BDP($A607&amp;" Corp","YAS_BOND_YLD","YAS_YLD_FLAG=15","SETTLE_DT",Company_desc!$A$2))</f>
        <v/>
      </c>
      <c r="N607" s="79">
        <f>IF($A607="","",_xll.BDP($A607&amp;" Corp","YAS_OAS_SPRD"))</f>
        <v/>
      </c>
      <c r="O607" s="67">
        <f>IF($A607="","",_xll.BDP($A607&amp;" Corp","YAS_MOD_DUR"))</f>
        <v/>
      </c>
      <c r="P607" s="80">
        <f>IF($A607="","",IFERROR(INDEX(Sheet1!$P:$P,MATCH($A607,Sheet1!$A:$A,0)),""))</f>
        <v/>
      </c>
      <c r="Q607" s="75">
        <f>IF($A607="","",IFERROR(INDEX(Company_desc!$C:$C,MATCH($A607,Company_desc!$A:$A,0)),IFERROR(INDEX(Sheet1!$Q:$Q,MATCH($A607,Sheet1!$A:$A,0)),"")))</f>
        <v/>
      </c>
      <c r="R607" s="75">
        <f>IF($A607="","",_xll.BDP($A607&amp;" Corp","CRNCY"))</f>
        <v/>
      </c>
      <c r="S607" s="75">
        <f>IF($A607="","",IFERROR(INDEX(Sheet1!$S:$S,MATCH($A607,Sheet1!$A:$A,0)),""))</f>
        <v/>
      </c>
      <c r="T607" s="75">
        <f>IF($A607="","",IFERROR(INDEX(Sheet1!$T:$T,MATCH($A607,Sheet1!$A:$A,0)),_xll.BDP($A607&amp;" Corp","RTG_SP")))</f>
        <v/>
      </c>
      <c r="U607" s="75">
        <f>IF($A607="","",IFERROR(INDEX(Sheet1!$U:$U,MATCH($A607,Sheet1!$A:$A,0)),""))</f>
        <v/>
      </c>
      <c r="W607" s="81">
        <f>IF($A607="","",N607-_xll.BDP($A607&amp;" Corp","YAS_OAS_SPRD","SETTLE_DT",Company_desc!$A$1))</f>
        <v/>
      </c>
      <c r="X607" s="81">
        <f>IF($A607="","",N607-_xll.BDP($A607&amp;" Corp","YAS_OAS_SPRD","SETTLE_DT",Company_desc!$A$2))</f>
        <v/>
      </c>
      <c r="Y607" s="80">
        <f>IF($A607="","",N607-_xll.BDP($A607&amp;" Corp","YAS_OAS_SPRD","SETTLE_DT",Company_desc!$D$1))</f>
        <v/>
      </c>
      <c r="Z607" s="82">
        <f>IF($A607="","",K607-_xll.BDP($A607&amp;" Corp","YAS_BOND_YLD","YAS_YLD_FLAG=15","SETTLE_DT",Company_desc!$D$1))</f>
        <v/>
      </c>
      <c r="AA607" s="80">
        <f>IF($A607="","",_xll.BDP($A607&amp;" Corp","YAS_OAS_SPRD","SETTLE_DT",Company_desc!$D$1))</f>
        <v/>
      </c>
    </row>
    <row r="608">
      <c r="B608" s="75">
        <f>IF($A608="","",IFERROR(INDEX(Sheet1!$B:$B,MATCH($A608,Sheet1!$A:$A,0)),""))</f>
        <v/>
      </c>
      <c r="C608" s="75">
        <f>IF($A608="","",PROPER(_xll.BDP($A608&amp;" Corp","NAME")))</f>
        <v/>
      </c>
      <c r="D608" s="76">
        <f>IF($A608="","",_xll.BDP($A608&amp;" Corp","CPN"))</f>
        <v/>
      </c>
      <c r="E608" s="75">
        <f>IF($A608="","",_xll.BDP($A608&amp;" Corp","PAYMENT_RANK"))</f>
        <v/>
      </c>
      <c r="F608" s="100">
        <f>IF($A608="","",_xll.BDP($A608&amp;" Corp","MATURITY"))</f>
        <v/>
      </c>
      <c r="G608" s="75">
        <f>IF($A608="","",PROPER(_xll.BDP($A608&amp;" Corp","COUNTRY_FULL_NAME")))</f>
        <v/>
      </c>
      <c r="H608" s="75">
        <f>IF($A608="","",_xll.BDP($A608&amp;" Corp","INDUSTRY_SECTOR"))</f>
        <v/>
      </c>
      <c r="I608" s="101">
        <f>IF($A608="","",IFERROR(_xll.BDP($A608&amp;" Corp","MIN_PIECE")/1000,""))</f>
        <v/>
      </c>
      <c r="J608" s="31">
        <f>IF($A608="","",_xll.BDP($A608&amp;" Corp","PX_LAST"))</f>
        <v/>
      </c>
      <c r="K608" s="31">
        <f>IF($A608="","",_xll.BDP($A608&amp;" Corp","YAS_BOND_YLD","YAS_YLD_FLAG=15"))</f>
        <v/>
      </c>
      <c r="L608" s="31">
        <f>IF($A608="","",K608-_xll.BDP($A608&amp;" Corp","YAS_BOND_YLD","YAS_YLD_FLAG=15","SETTLE_DT",Company_desc!$A$1))</f>
        <v/>
      </c>
      <c r="M608" s="31">
        <f>IF($A608="","",K608-_xll.BDP($A608&amp;" Corp","YAS_BOND_YLD","YAS_YLD_FLAG=15","SETTLE_DT",Company_desc!$A$2))</f>
        <v/>
      </c>
      <c r="N608" s="79">
        <f>IF($A608="","",_xll.BDP($A608&amp;" Corp","YAS_OAS_SPRD"))</f>
        <v/>
      </c>
      <c r="O608" s="67">
        <f>IF($A608="","",_xll.BDP($A608&amp;" Corp","YAS_MOD_DUR"))</f>
        <v/>
      </c>
      <c r="P608" s="80">
        <f>IF($A608="","",IFERROR(INDEX(Sheet1!$P:$P,MATCH($A608,Sheet1!$A:$A,0)),""))</f>
        <v/>
      </c>
      <c r="Q608" s="75">
        <f>IF($A608="","",IFERROR(INDEX(Company_desc!$C:$C,MATCH($A608,Company_desc!$A:$A,0)),IFERROR(INDEX(Sheet1!$Q:$Q,MATCH($A608,Sheet1!$A:$A,0)),"")))</f>
        <v/>
      </c>
      <c r="R608" s="75">
        <f>IF($A608="","",_xll.BDP($A608&amp;" Corp","CRNCY"))</f>
        <v/>
      </c>
      <c r="S608" s="75">
        <f>IF($A608="","",IFERROR(INDEX(Sheet1!$S:$S,MATCH($A608,Sheet1!$A:$A,0)),""))</f>
        <v/>
      </c>
      <c r="T608" s="75">
        <f>IF($A608="","",IFERROR(INDEX(Sheet1!$T:$T,MATCH($A608,Sheet1!$A:$A,0)),_xll.BDP($A608&amp;" Corp","RTG_SP")))</f>
        <v/>
      </c>
      <c r="U608" s="75">
        <f>IF($A608="","",IFERROR(INDEX(Sheet1!$U:$U,MATCH($A608,Sheet1!$A:$A,0)),""))</f>
        <v/>
      </c>
      <c r="W608" s="81">
        <f>IF($A608="","",N608-_xll.BDP($A608&amp;" Corp","YAS_OAS_SPRD","SETTLE_DT",Company_desc!$A$1))</f>
        <v/>
      </c>
      <c r="X608" s="81">
        <f>IF($A608="","",N608-_xll.BDP($A608&amp;" Corp","YAS_OAS_SPRD","SETTLE_DT",Company_desc!$A$2))</f>
        <v/>
      </c>
      <c r="Y608" s="80">
        <f>IF($A608="","",N608-_xll.BDP($A608&amp;" Corp","YAS_OAS_SPRD","SETTLE_DT",Company_desc!$D$1))</f>
        <v/>
      </c>
      <c r="Z608" s="82">
        <f>IF($A608="","",K608-_xll.BDP($A608&amp;" Corp","YAS_BOND_YLD","YAS_YLD_FLAG=15","SETTLE_DT",Company_desc!$D$1))</f>
        <v/>
      </c>
      <c r="AA608" s="80">
        <f>IF($A608="","",_xll.BDP($A608&amp;" Corp","YAS_OAS_SPRD","SETTLE_DT",Company_desc!$D$1))</f>
        <v/>
      </c>
    </row>
    <row r="609">
      <c r="B609" s="28">
        <f>IF($A609="","",IFERROR(INDEX(Sheet1!$B:$B,MATCH($A609,Sheet1!$A:$A,0)),""))</f>
        <v/>
      </c>
      <c r="C609" s="29">
        <f>IF($A609="","",PROPER(_xll.BDP($A609&amp;" Corp","NAME")))</f>
        <v/>
      </c>
      <c r="D609" s="84">
        <f>IF($A609="","",_xll.BDP($A609&amp;" Corp","CPN"))</f>
        <v/>
      </c>
      <c r="E609" s="84">
        <f>IF($A609="","",_xll.BDP($A609&amp;" Corp","PAYMENT_RANK"))</f>
        <v/>
      </c>
      <c r="F609" s="102">
        <f>IF($A609="","",_xll.BDP($A609&amp;" Corp","MATURITY"))</f>
        <v/>
      </c>
      <c r="G609" s="43">
        <f>IF($A609="","",PROPER(_xll.BDP($A609&amp;" Corp","COUNTRY_FULL_NAME")))</f>
        <v/>
      </c>
      <c r="H609" s="29">
        <f>IF($A609="","",_xll.BDP($A609&amp;" Corp","INDUSTRY_SECTOR"))</f>
        <v/>
      </c>
      <c r="I609" s="103">
        <f>IF($A609="","",IFERROR(_xll.BDP($A609&amp;" Corp","MIN_PIECE")/1000,""))</f>
        <v/>
      </c>
      <c r="J609" s="31">
        <f>IF($A609="","",_xll.BDP($A609&amp;" Corp","PX_LAST"))</f>
        <v/>
      </c>
      <c r="K609" s="31">
        <f>IF($A609="","",_xll.BDP($A609&amp;" Corp","YAS_BOND_YLD","YAS_YLD_FLAG=15"))</f>
        <v/>
      </c>
      <c r="L609" s="31">
        <f>IF($A609="","",K609-_xll.BDP($A609&amp;" Corp","YAS_BOND_YLD","YAS_YLD_FLAG=15","SETTLE_DT",Company_desc!$A$1))</f>
        <v/>
      </c>
      <c r="M609" s="31">
        <f>IF($A609="","",K609-_xll.BDP($A609&amp;" Corp","YAS_BOND_YLD","YAS_YLD_FLAG=15","SETTLE_DT",Company_desc!$A$2))</f>
        <v/>
      </c>
      <c r="N609" s="79">
        <f>IF($A609="","",_xll.BDP($A609&amp;" Corp","YAS_OAS_SPRD"))</f>
        <v/>
      </c>
      <c r="O609" s="67">
        <f>IF($A609="","",_xll.BDP($A609&amp;" Corp","YAS_MOD_DUR"))</f>
        <v/>
      </c>
      <c r="P609" s="79">
        <f>IF($A609="","",IFERROR(INDEX(Sheet1!$P:$P,MATCH($A609,Sheet1!$A:$A,0)),""))</f>
        <v/>
      </c>
      <c r="Q609" s="27">
        <f>IF($A609="","",IFERROR(INDEX(Company_desc!$C:$C,MATCH($A609,Company_desc!$A:$A,0)),IFERROR(INDEX(Sheet1!$Q:$Q,MATCH($A609,Sheet1!$A:$A,0)),"")))</f>
        <v/>
      </c>
      <c r="R609" s="27">
        <f>IF($A609="","",_xll.BDP($A609&amp;" Corp","CRNCY"))</f>
        <v/>
      </c>
      <c r="S609" s="27">
        <f>IF($A609="","",IFERROR(INDEX(Sheet1!$S:$S,MATCH($A609,Sheet1!$A:$A,0)),""))</f>
        <v/>
      </c>
      <c r="T609" s="47">
        <f>IF($A609="","",IFERROR(INDEX(Sheet1!$T:$T,MATCH($A609,Sheet1!$A:$A,0)),_xll.BDP($A609&amp;" Corp","RTG_SP")))</f>
        <v/>
      </c>
      <c r="U609" s="75">
        <f>IF($A609="","",IFERROR(INDEX(Sheet1!$U:$U,MATCH($A609,Sheet1!$A:$A,0)),""))</f>
        <v/>
      </c>
      <c r="W609" s="81">
        <f>IF($A609="","",N609-_xll.BDP($A609&amp;" Corp","YAS_OAS_SPRD","SETTLE_DT",Company_desc!$A$1))</f>
        <v/>
      </c>
      <c r="X609" s="81">
        <f>IF($A609="","",N609-_xll.BDP($A609&amp;" Corp","YAS_OAS_SPRD","SETTLE_DT",Company_desc!$A$2))</f>
        <v/>
      </c>
      <c r="Y609" s="80">
        <f>IF($A609="","",N609-_xll.BDP($A609&amp;" Corp","YAS_OAS_SPRD","SETTLE_DT",Company_desc!$D$1))</f>
        <v/>
      </c>
      <c r="Z609" s="82">
        <f>IF($A609="","",K609-_xll.BDP($A609&amp;" Corp","YAS_BOND_YLD","YAS_YLD_FLAG=15","SETTLE_DT",Company_desc!$D$1))</f>
        <v/>
      </c>
      <c r="AA609" s="80">
        <f>IF($A609="","",_xll.BDP($A609&amp;" Corp","YAS_OAS_SPRD","SETTLE_DT",Company_desc!$D$1))</f>
        <v/>
      </c>
    </row>
    <row r="610">
      <c r="B610" s="75">
        <f>IF($A610="","",IFERROR(INDEX(Sheet1!$B:$B,MATCH($A610,Sheet1!$A:$A,0)),""))</f>
        <v/>
      </c>
      <c r="C610" s="75">
        <f>IF($A610="","",PROPER(_xll.BDP($A610&amp;" Corp","NAME")))</f>
        <v/>
      </c>
      <c r="D610" s="76">
        <f>IF($A610="","",_xll.BDP($A610&amp;" Corp","CPN"))</f>
        <v/>
      </c>
      <c r="E610" s="75">
        <f>IF($A610="","",_xll.BDP($A610&amp;" Corp","PAYMENT_RANK"))</f>
        <v/>
      </c>
      <c r="F610" s="100">
        <f>IF($A610="","",_xll.BDP($A610&amp;" Corp","MATURITY"))</f>
        <v/>
      </c>
      <c r="G610" s="75">
        <f>IF($A610="","",PROPER(_xll.BDP($A610&amp;" Corp","COUNTRY_FULL_NAME")))</f>
        <v/>
      </c>
      <c r="H610" s="75">
        <f>IF($A610="","",_xll.BDP($A610&amp;" Corp","INDUSTRY_SECTOR"))</f>
        <v/>
      </c>
      <c r="I610" s="101">
        <f>IF($A610="","",IFERROR(_xll.BDP($A610&amp;" Corp","MIN_PIECE")/1000,""))</f>
        <v/>
      </c>
      <c r="J610" s="31">
        <f>IF($A610="","",_xll.BDP($A610&amp;" Corp","PX_LAST"))</f>
        <v/>
      </c>
      <c r="K610" s="31">
        <f>IF($A610="","",_xll.BDP($A610&amp;" Corp","YAS_BOND_YLD","YAS_YLD_FLAG=15"))</f>
        <v/>
      </c>
      <c r="L610" s="31">
        <f>IF($A610="","",K610-_xll.BDP($A610&amp;" Corp","YAS_BOND_YLD","YAS_YLD_FLAG=15","SETTLE_DT",Company_desc!$A$1))</f>
        <v/>
      </c>
      <c r="M610" s="31">
        <f>IF($A610="","",K610-_xll.BDP($A610&amp;" Corp","YAS_BOND_YLD","YAS_YLD_FLAG=15","SETTLE_DT",Company_desc!$A$2))</f>
        <v/>
      </c>
      <c r="N610" s="79">
        <f>IF($A610="","",_xll.BDP($A610&amp;" Corp","YAS_OAS_SPRD"))</f>
        <v/>
      </c>
      <c r="O610" s="67">
        <f>IF($A610="","",_xll.BDP($A610&amp;" Corp","YAS_MOD_DUR"))</f>
        <v/>
      </c>
      <c r="P610" s="80">
        <f>IF($A610="","",IFERROR(INDEX(Sheet1!$P:$P,MATCH($A610,Sheet1!$A:$A,0)),""))</f>
        <v/>
      </c>
      <c r="Q610" s="75">
        <f>IF($A610="","",IFERROR(INDEX(Company_desc!$C:$C,MATCH($A610,Company_desc!$A:$A,0)),IFERROR(INDEX(Sheet1!$Q:$Q,MATCH($A610,Sheet1!$A:$A,0)),"")))</f>
        <v/>
      </c>
      <c r="R610" s="75">
        <f>IF($A610="","",_xll.BDP($A610&amp;" Corp","CRNCY"))</f>
        <v/>
      </c>
      <c r="S610" s="75">
        <f>IF($A610="","",IFERROR(INDEX(Sheet1!$S:$S,MATCH($A610,Sheet1!$A:$A,0)),""))</f>
        <v/>
      </c>
      <c r="T610" s="75">
        <f>IF($A610="","",IFERROR(INDEX(Sheet1!$T:$T,MATCH($A610,Sheet1!$A:$A,0)),_xll.BDP($A610&amp;" Corp","RTG_SP")))</f>
        <v/>
      </c>
      <c r="U610" s="75">
        <f>IF($A610="","",IFERROR(INDEX(Sheet1!$U:$U,MATCH($A610,Sheet1!$A:$A,0)),""))</f>
        <v/>
      </c>
      <c r="W610" s="81">
        <f>IF($A610="","",N610-_xll.BDP($A610&amp;" Corp","YAS_OAS_SPRD","SETTLE_DT",Company_desc!$A$1))</f>
        <v/>
      </c>
      <c r="X610" s="81">
        <f>IF($A610="","",N610-_xll.BDP($A610&amp;" Corp","YAS_OAS_SPRD","SETTLE_DT",Company_desc!$A$2))</f>
        <v/>
      </c>
      <c r="Y610" s="80">
        <f>IF($A610="","",N610-_xll.BDP($A610&amp;" Corp","YAS_OAS_SPRD","SETTLE_DT",Company_desc!$D$1))</f>
        <v/>
      </c>
      <c r="Z610" s="82">
        <f>IF($A610="","",K610-_xll.BDP($A610&amp;" Corp","YAS_BOND_YLD","YAS_YLD_FLAG=15","SETTLE_DT",Company_desc!$D$1))</f>
        <v/>
      </c>
      <c r="AA610" s="80">
        <f>IF($A610="","",_xll.BDP($A610&amp;" Corp","YAS_OAS_SPRD","SETTLE_DT",Company_desc!$D$1))</f>
        <v/>
      </c>
    </row>
    <row r="611">
      <c r="B611" s="75">
        <f>IF($A611="","",IFERROR(INDEX(Sheet1!$B:$B,MATCH($A611,Sheet1!$A:$A,0)),""))</f>
        <v/>
      </c>
      <c r="C611" s="75">
        <f>IF($A611="","",PROPER(_xll.BDP($A611&amp;" Corp","NAME")))</f>
        <v/>
      </c>
      <c r="D611" s="76">
        <f>IF($A611="","",_xll.BDP($A611&amp;" Corp","CPN"))</f>
        <v/>
      </c>
      <c r="E611" s="75">
        <f>IF($A611="","",_xll.BDP($A611&amp;" Corp","PAYMENT_RANK"))</f>
        <v/>
      </c>
      <c r="F611" s="100">
        <f>IF($A611="","",_xll.BDP($A611&amp;" Corp","MATURITY"))</f>
        <v/>
      </c>
      <c r="G611" s="75">
        <f>IF($A611="","",PROPER(_xll.BDP($A611&amp;" Corp","COUNTRY_FULL_NAME")))</f>
        <v/>
      </c>
      <c r="H611" s="75">
        <f>IF($A611="","",_xll.BDP($A611&amp;" Corp","INDUSTRY_SECTOR"))</f>
        <v/>
      </c>
      <c r="I611" s="101">
        <f>IF($A611="","",IFERROR(_xll.BDP($A611&amp;" Corp","MIN_PIECE")/1000,""))</f>
        <v/>
      </c>
      <c r="J611" s="31">
        <f>IF($A611="","",_xll.BDP($A611&amp;" Corp","PX_LAST"))</f>
        <v/>
      </c>
      <c r="K611" s="31">
        <f>IF($A611="","",_xll.BDP($A611&amp;" Corp","YAS_BOND_YLD","YAS_YLD_FLAG=15"))</f>
        <v/>
      </c>
      <c r="L611" s="31">
        <f>IF($A611="","",K611-_xll.BDP($A611&amp;" Corp","YAS_BOND_YLD","YAS_YLD_FLAG=15","SETTLE_DT",Company_desc!$A$1))</f>
        <v/>
      </c>
      <c r="M611" s="31">
        <f>IF($A611="","",K611-_xll.BDP($A611&amp;" Corp","YAS_BOND_YLD","YAS_YLD_FLAG=15","SETTLE_DT",Company_desc!$A$2))</f>
        <v/>
      </c>
      <c r="N611" s="79">
        <f>IF($A611="","",_xll.BDP($A611&amp;" Corp","YAS_OAS_SPRD"))</f>
        <v/>
      </c>
      <c r="O611" s="67">
        <f>IF($A611="","",_xll.BDP($A611&amp;" Corp","YAS_MOD_DUR"))</f>
        <v/>
      </c>
      <c r="P611" s="80">
        <f>IF($A611="","",IFERROR(INDEX(Sheet1!$P:$P,MATCH($A611,Sheet1!$A:$A,0)),""))</f>
        <v/>
      </c>
      <c r="Q611" s="75">
        <f>IF($A611="","",IFERROR(INDEX(Company_desc!$C:$C,MATCH($A611,Company_desc!$A:$A,0)),IFERROR(INDEX(Sheet1!$Q:$Q,MATCH($A611,Sheet1!$A:$A,0)),"")))</f>
        <v/>
      </c>
      <c r="R611" s="75">
        <f>IF($A611="","",_xll.BDP($A611&amp;" Corp","CRNCY"))</f>
        <v/>
      </c>
      <c r="S611" s="75">
        <f>IF($A611="","",IFERROR(INDEX(Sheet1!$S:$S,MATCH($A611,Sheet1!$A:$A,0)),""))</f>
        <v/>
      </c>
      <c r="T611" s="75">
        <f>IF($A611="","",IFERROR(INDEX(Sheet1!$T:$T,MATCH($A611,Sheet1!$A:$A,0)),_xll.BDP($A611&amp;" Corp","RTG_SP")))</f>
        <v/>
      </c>
      <c r="U611" s="75">
        <f>IF($A611="","",IFERROR(INDEX(Sheet1!$U:$U,MATCH($A611,Sheet1!$A:$A,0)),""))</f>
        <v/>
      </c>
      <c r="W611" s="81">
        <f>IF($A611="","",N611-_xll.BDP($A611&amp;" Corp","YAS_OAS_SPRD","SETTLE_DT",Company_desc!$A$1))</f>
        <v/>
      </c>
      <c r="X611" s="81">
        <f>IF($A611="","",N611-_xll.BDP($A611&amp;" Corp","YAS_OAS_SPRD","SETTLE_DT",Company_desc!$A$2))</f>
        <v/>
      </c>
      <c r="Y611" s="80">
        <f>IF($A611="","",N611-_xll.BDP($A611&amp;" Corp","YAS_OAS_SPRD","SETTLE_DT",Company_desc!$D$1))</f>
        <v/>
      </c>
      <c r="Z611" s="82">
        <f>IF($A611="","",K611-_xll.BDP($A611&amp;" Corp","YAS_BOND_YLD","YAS_YLD_FLAG=15","SETTLE_DT",Company_desc!$D$1))</f>
        <v/>
      </c>
      <c r="AA611" s="80">
        <f>IF($A611="","",_xll.BDP($A611&amp;" Corp","YAS_OAS_SPRD","SETTLE_DT",Company_desc!$D$1))</f>
        <v/>
      </c>
    </row>
    <row r="612">
      <c r="B612" s="75">
        <f>IF($A612="","",IFERROR(INDEX(Sheet1!$B:$B,MATCH($A612,Sheet1!$A:$A,0)),""))</f>
        <v/>
      </c>
      <c r="C612" s="75">
        <f>IF($A612="","",PROPER(_xll.BDP($A612&amp;" Corp","NAME")))</f>
        <v/>
      </c>
      <c r="D612" s="76">
        <f>IF($A612="","",_xll.BDP($A612&amp;" Corp","CPN"))</f>
        <v/>
      </c>
      <c r="E612" s="75">
        <f>IF($A612="","",_xll.BDP($A612&amp;" Corp","PAYMENT_RANK"))</f>
        <v/>
      </c>
      <c r="F612" s="100">
        <f>IF($A612="","",_xll.BDP($A612&amp;" Corp","MATURITY"))</f>
        <v/>
      </c>
      <c r="G612" s="75">
        <f>IF($A612="","",PROPER(_xll.BDP($A612&amp;" Corp","COUNTRY_FULL_NAME")))</f>
        <v/>
      </c>
      <c r="H612" s="75">
        <f>IF($A612="","",_xll.BDP($A612&amp;" Corp","INDUSTRY_SECTOR"))</f>
        <v/>
      </c>
      <c r="I612" s="101">
        <f>IF($A612="","",IFERROR(_xll.BDP($A612&amp;" Corp","MIN_PIECE")/1000,""))</f>
        <v/>
      </c>
      <c r="J612" s="31">
        <f>IF($A612="","",_xll.BDP($A612&amp;" Corp","PX_LAST"))</f>
        <v/>
      </c>
      <c r="K612" s="31">
        <f>IF($A612="","",_xll.BDP($A612&amp;" Corp","YAS_BOND_YLD","YAS_YLD_FLAG=15"))</f>
        <v/>
      </c>
      <c r="L612" s="31">
        <f>IF($A612="","",K612-_xll.BDP($A612&amp;" Corp","YAS_BOND_YLD","YAS_YLD_FLAG=15","SETTLE_DT",Company_desc!$A$1))</f>
        <v/>
      </c>
      <c r="M612" s="31">
        <f>IF($A612="","",K612-_xll.BDP($A612&amp;" Corp","YAS_BOND_YLD","YAS_YLD_FLAG=15","SETTLE_DT",Company_desc!$A$2))</f>
        <v/>
      </c>
      <c r="N612" s="79">
        <f>IF($A612="","",_xll.BDP($A612&amp;" Corp","YAS_OAS_SPRD"))</f>
        <v/>
      </c>
      <c r="O612" s="67">
        <f>IF($A612="","",_xll.BDP($A612&amp;" Corp","YAS_MOD_DUR"))</f>
        <v/>
      </c>
      <c r="P612" s="80">
        <f>IF($A612="","",IFERROR(INDEX(Sheet1!$P:$P,MATCH($A612,Sheet1!$A:$A,0)),""))</f>
        <v/>
      </c>
      <c r="Q612" s="75">
        <f>IF($A612="","",IFERROR(INDEX(Company_desc!$C:$C,MATCH($A612,Company_desc!$A:$A,0)),IFERROR(INDEX(Sheet1!$Q:$Q,MATCH($A612,Sheet1!$A:$A,0)),"")))</f>
        <v/>
      </c>
      <c r="R612" s="75">
        <f>IF($A612="","",_xll.BDP($A612&amp;" Corp","CRNCY"))</f>
        <v/>
      </c>
      <c r="S612" s="75">
        <f>IF($A612="","",IFERROR(INDEX(Sheet1!$S:$S,MATCH($A612,Sheet1!$A:$A,0)),""))</f>
        <v/>
      </c>
      <c r="T612" s="75">
        <f>IF($A612="","",IFERROR(INDEX(Sheet1!$T:$T,MATCH($A612,Sheet1!$A:$A,0)),_xll.BDP($A612&amp;" Corp","RTG_SP")))</f>
        <v/>
      </c>
      <c r="U612" s="75">
        <f>IF($A612="","",IFERROR(INDEX(Sheet1!$U:$U,MATCH($A612,Sheet1!$A:$A,0)),""))</f>
        <v/>
      </c>
      <c r="W612" s="81">
        <f>IF($A612="","",N612-_xll.BDP($A612&amp;" Corp","YAS_OAS_SPRD","SETTLE_DT",Company_desc!$A$1))</f>
        <v/>
      </c>
      <c r="X612" s="81">
        <f>IF($A612="","",N612-_xll.BDP($A612&amp;" Corp","YAS_OAS_SPRD","SETTLE_DT",Company_desc!$A$2))</f>
        <v/>
      </c>
      <c r="Y612" s="80">
        <f>IF($A612="","",N612-_xll.BDP($A612&amp;" Corp","YAS_OAS_SPRD","SETTLE_DT",Company_desc!$D$1))</f>
        <v/>
      </c>
      <c r="Z612" s="82">
        <f>IF($A612="","",K612-_xll.BDP($A612&amp;" Corp","YAS_BOND_YLD","YAS_YLD_FLAG=15","SETTLE_DT",Company_desc!$D$1))</f>
        <v/>
      </c>
      <c r="AA612" s="80">
        <f>IF($A612="","",_xll.BDP($A612&amp;" Corp","YAS_OAS_SPRD","SETTLE_DT",Company_desc!$D$1))</f>
        <v/>
      </c>
    </row>
    <row r="613">
      <c r="B613" s="75">
        <f>IF($A613="","",IFERROR(INDEX(Sheet1!$B:$B,MATCH($A613,Sheet1!$A:$A,0)),""))</f>
        <v/>
      </c>
      <c r="C613" s="75">
        <f>IF($A613="","",PROPER(_xll.BDP($A613&amp;" Corp","NAME")))</f>
        <v/>
      </c>
      <c r="D613" s="76">
        <f>IF($A613="","",_xll.BDP($A613&amp;" Corp","CPN"))</f>
        <v/>
      </c>
      <c r="E613" s="75">
        <f>IF($A613="","",_xll.BDP($A613&amp;" Corp","PAYMENT_RANK"))</f>
        <v/>
      </c>
      <c r="F613" s="100">
        <f>IF($A613="","",_xll.BDP($A613&amp;" Corp","MATURITY"))</f>
        <v/>
      </c>
      <c r="G613" s="75">
        <f>IF($A613="","",PROPER(_xll.BDP($A613&amp;" Corp","COUNTRY_FULL_NAME")))</f>
        <v/>
      </c>
      <c r="H613" s="75">
        <f>IF($A613="","",_xll.BDP($A613&amp;" Corp","INDUSTRY_SECTOR"))</f>
        <v/>
      </c>
      <c r="I613" s="101">
        <f>IF($A613="","",IFERROR(_xll.BDP($A613&amp;" Corp","MIN_PIECE")/1000,""))</f>
        <v/>
      </c>
      <c r="J613" s="31">
        <f>IF($A613="","",_xll.BDP($A613&amp;" Corp","PX_LAST"))</f>
        <v/>
      </c>
      <c r="K613" s="31">
        <f>IF($A613="","",_xll.BDP($A613&amp;" Corp","YAS_BOND_YLD","YAS_YLD_FLAG=15"))</f>
        <v/>
      </c>
      <c r="L613" s="31">
        <f>IF($A613="","",K613-_xll.BDP($A613&amp;" Corp","YAS_BOND_YLD","YAS_YLD_FLAG=15","SETTLE_DT",Company_desc!$A$1))</f>
        <v/>
      </c>
      <c r="M613" s="31">
        <f>IF($A613="","",K613-_xll.BDP($A613&amp;" Corp","YAS_BOND_YLD","YAS_YLD_FLAG=15","SETTLE_DT",Company_desc!$A$2))</f>
        <v/>
      </c>
      <c r="N613" s="79">
        <f>IF($A613="","",_xll.BDP($A613&amp;" Corp","YAS_OAS_SPRD"))</f>
        <v/>
      </c>
      <c r="O613" s="67">
        <f>IF($A613="","",_xll.BDP($A613&amp;" Corp","YAS_MOD_DUR"))</f>
        <v/>
      </c>
      <c r="P613" s="80">
        <f>IF($A613="","",IFERROR(INDEX(Sheet1!$P:$P,MATCH($A613,Sheet1!$A:$A,0)),""))</f>
        <v/>
      </c>
      <c r="Q613" s="75">
        <f>IF($A613="","",IFERROR(INDEX(Company_desc!$C:$C,MATCH($A613,Company_desc!$A:$A,0)),IFERROR(INDEX(Sheet1!$Q:$Q,MATCH($A613,Sheet1!$A:$A,0)),"")))</f>
        <v/>
      </c>
      <c r="R613" s="75">
        <f>IF($A613="","",_xll.BDP($A613&amp;" Corp","CRNCY"))</f>
        <v/>
      </c>
      <c r="S613" s="75">
        <f>IF($A613="","",IFERROR(INDEX(Sheet1!$S:$S,MATCH($A613,Sheet1!$A:$A,0)),""))</f>
        <v/>
      </c>
      <c r="T613" s="75">
        <f>IF($A613="","",IFERROR(INDEX(Sheet1!$T:$T,MATCH($A613,Sheet1!$A:$A,0)),_xll.BDP($A613&amp;" Corp","RTG_SP")))</f>
        <v/>
      </c>
      <c r="U613" s="75">
        <f>IF($A613="","",IFERROR(INDEX(Sheet1!$U:$U,MATCH($A613,Sheet1!$A:$A,0)),""))</f>
        <v/>
      </c>
      <c r="W613" s="81">
        <f>IF($A613="","",N613-_xll.BDP($A613&amp;" Corp","YAS_OAS_SPRD","SETTLE_DT",Company_desc!$A$1))</f>
        <v/>
      </c>
      <c r="X613" s="81">
        <f>IF($A613="","",N613-_xll.BDP($A613&amp;" Corp","YAS_OAS_SPRD","SETTLE_DT",Company_desc!$A$2))</f>
        <v/>
      </c>
      <c r="Y613" s="80">
        <f>IF($A613="","",N613-_xll.BDP($A613&amp;" Corp","YAS_OAS_SPRD","SETTLE_DT",Company_desc!$D$1))</f>
        <v/>
      </c>
      <c r="Z613" s="82">
        <f>IF($A613="","",K613-_xll.BDP($A613&amp;" Corp","YAS_BOND_YLD","YAS_YLD_FLAG=15","SETTLE_DT",Company_desc!$D$1))</f>
        <v/>
      </c>
      <c r="AA613" s="80">
        <f>IF($A613="","",_xll.BDP($A613&amp;" Corp","YAS_OAS_SPRD","SETTLE_DT",Company_desc!$D$1))</f>
        <v/>
      </c>
    </row>
    <row r="614">
      <c r="B614" s="75">
        <f>IF($A614="","",IFERROR(INDEX(Sheet1!$B:$B,MATCH($A614,Sheet1!$A:$A,0)),""))</f>
        <v/>
      </c>
      <c r="C614" s="75">
        <f>IF($A614="","",PROPER(_xll.BDP($A614&amp;" Corp","NAME")))</f>
        <v/>
      </c>
      <c r="D614" s="76">
        <f>IF($A614="","",_xll.BDP($A614&amp;" Corp","CPN"))</f>
        <v/>
      </c>
      <c r="E614" s="75">
        <f>IF($A614="","",_xll.BDP($A614&amp;" Corp","PAYMENT_RANK"))</f>
        <v/>
      </c>
      <c r="F614" s="100">
        <f>IF($A614="","",_xll.BDP($A614&amp;" Corp","MATURITY"))</f>
        <v/>
      </c>
      <c r="G614" s="75">
        <f>IF($A614="","",PROPER(_xll.BDP($A614&amp;" Corp","COUNTRY_FULL_NAME")))</f>
        <v/>
      </c>
      <c r="H614" s="75">
        <f>IF($A614="","",_xll.BDP($A614&amp;" Corp","INDUSTRY_SECTOR"))</f>
        <v/>
      </c>
      <c r="I614" s="101">
        <f>IF($A614="","",IFERROR(_xll.BDP($A614&amp;" Corp","MIN_PIECE")/1000,""))</f>
        <v/>
      </c>
      <c r="J614" s="31">
        <f>IF($A614="","",_xll.BDP($A614&amp;" Corp","PX_LAST"))</f>
        <v/>
      </c>
      <c r="K614" s="31">
        <f>IF($A614="","",_xll.BDP($A614&amp;" Corp","YAS_BOND_YLD","YAS_YLD_FLAG=15"))</f>
        <v/>
      </c>
      <c r="L614" s="31">
        <f>IF($A614="","",K614-_xll.BDP($A614&amp;" Corp","YAS_BOND_YLD","YAS_YLD_FLAG=15","SETTLE_DT",Company_desc!$A$1))</f>
        <v/>
      </c>
      <c r="M614" s="31">
        <f>IF($A614="","",K614-_xll.BDP($A614&amp;" Corp","YAS_BOND_YLD","YAS_YLD_FLAG=15","SETTLE_DT",Company_desc!$A$2))</f>
        <v/>
      </c>
      <c r="N614" s="79">
        <f>IF($A614="","",_xll.BDP($A614&amp;" Corp","YAS_OAS_SPRD"))</f>
        <v/>
      </c>
      <c r="O614" s="82">
        <f>IF($A614="","",_xll.BDP($A614&amp;" Corp","YAS_MOD_DUR"))</f>
        <v/>
      </c>
      <c r="P614" s="80">
        <f>IF($A614="","",IFERROR(INDEX(Sheet1!$P:$P,MATCH($A614,Sheet1!$A:$A,0)),""))</f>
        <v/>
      </c>
      <c r="Q614" s="75">
        <f>IF($A614="","",IFERROR(INDEX(Company_desc!$C:$C,MATCH($A614,Company_desc!$A:$A,0)),IFERROR(INDEX(Sheet1!$Q:$Q,MATCH($A614,Sheet1!$A:$A,0)),"")))</f>
        <v/>
      </c>
      <c r="R614" s="75">
        <f>IF($A614="","",_xll.BDP($A614&amp;" Corp","CRNCY"))</f>
        <v/>
      </c>
      <c r="S614" s="75">
        <f>IF($A614="","",IFERROR(INDEX(Sheet1!$S:$S,MATCH($A614,Sheet1!$A:$A,0)),""))</f>
        <v/>
      </c>
      <c r="T614" s="75">
        <f>IF($A614="","",IFERROR(INDEX(Sheet1!$T:$T,MATCH($A614,Sheet1!$A:$A,0)),_xll.BDP($A614&amp;" Corp","RTG_SP")))</f>
        <v/>
      </c>
      <c r="U614" s="75">
        <f>IF($A614="","",IFERROR(INDEX(Sheet1!$U:$U,MATCH($A614,Sheet1!$A:$A,0)),""))</f>
        <v/>
      </c>
      <c r="W614" s="81">
        <f>IF($A614="","",N614-_xll.BDP($A614&amp;" Corp","YAS_OAS_SPRD","SETTLE_DT",Company_desc!$A$1))</f>
        <v/>
      </c>
      <c r="X614" s="81">
        <f>IF($A614="","",N614-_xll.BDP($A614&amp;" Corp","YAS_OAS_SPRD","SETTLE_DT",Company_desc!$A$2))</f>
        <v/>
      </c>
      <c r="Y614" s="80">
        <f>IF($A614="","",N614-_xll.BDP($A614&amp;" Corp","YAS_OAS_SPRD","SETTLE_DT",Company_desc!$D$1))</f>
        <v/>
      </c>
      <c r="Z614" s="82">
        <f>IF($A614="","",K614-_xll.BDP($A614&amp;" Corp","YAS_BOND_YLD","YAS_YLD_FLAG=15","SETTLE_DT",Company_desc!$D$1))</f>
        <v/>
      </c>
      <c r="AA614" s="80">
        <f>IF($A614="","",_xll.BDP($A614&amp;" Corp","YAS_OAS_SPRD","SETTLE_DT",Company_desc!$D$1))</f>
        <v/>
      </c>
    </row>
    <row r="615">
      <c r="B615" s="75">
        <f>IF($A615="","",IFERROR(INDEX(Sheet1!$B:$B,MATCH($A615,Sheet1!$A:$A,0)),""))</f>
        <v/>
      </c>
      <c r="C615" s="75">
        <f>IF($A615="","",PROPER(_xll.BDP($A615&amp;" Corp","NAME")))</f>
        <v/>
      </c>
      <c r="D615" s="76">
        <f>IF($A615="","",_xll.BDP($A615&amp;" Corp","CPN"))</f>
        <v/>
      </c>
      <c r="E615" s="75">
        <f>IF($A615="","",_xll.BDP($A615&amp;" Corp","PAYMENT_RANK"))</f>
        <v/>
      </c>
      <c r="F615" s="100">
        <f>IF($A615="","",_xll.BDP($A615&amp;" Corp","MATURITY"))</f>
        <v/>
      </c>
      <c r="G615" s="75">
        <f>IF($A615="","",PROPER(_xll.BDP($A615&amp;" Corp","COUNTRY_FULL_NAME")))</f>
        <v/>
      </c>
      <c r="H615" s="75">
        <f>IF($A615="","",_xll.BDP($A615&amp;" Corp","INDUSTRY_SECTOR"))</f>
        <v/>
      </c>
      <c r="I615" s="101">
        <f>IF($A615="","",IFERROR(_xll.BDP($A615&amp;" Corp","MIN_PIECE")/1000,""))</f>
        <v/>
      </c>
      <c r="J615" s="31">
        <f>IF($A615="","",_xll.BDP($A615&amp;" Corp","PX_LAST"))</f>
        <v/>
      </c>
      <c r="K615" s="31">
        <f>IF($A615="","",_xll.BDP($A615&amp;" Corp","YAS_BOND_YLD","YAS_YLD_FLAG=15"))</f>
        <v/>
      </c>
      <c r="L615" s="31">
        <f>IF($A615="","",K615-_xll.BDP($A615&amp;" Corp","YAS_BOND_YLD","YAS_YLD_FLAG=15","SETTLE_DT",Company_desc!$A$1))</f>
        <v/>
      </c>
      <c r="M615" s="31">
        <f>IF($A615="","",K615-_xll.BDP($A615&amp;" Corp","YAS_BOND_YLD","YAS_YLD_FLAG=15","SETTLE_DT",Company_desc!$A$2))</f>
        <v/>
      </c>
      <c r="N615" s="79">
        <f>IF($A615="","",_xll.BDP($A615&amp;" Corp","YAS_OAS_SPRD"))</f>
        <v/>
      </c>
      <c r="O615" s="67">
        <f>IF($A615="","",_xll.BDP($A615&amp;" Corp","YAS_MOD_DUR"))</f>
        <v/>
      </c>
      <c r="P615" s="80">
        <f>IF($A615="","",IFERROR(INDEX(Sheet1!$P:$P,MATCH($A615,Sheet1!$A:$A,0)),""))</f>
        <v/>
      </c>
      <c r="Q615" s="75">
        <f>IF($A615="","",IFERROR(INDEX(Company_desc!$C:$C,MATCH($A615,Company_desc!$A:$A,0)),IFERROR(INDEX(Sheet1!$Q:$Q,MATCH($A615,Sheet1!$A:$A,0)),"")))</f>
        <v/>
      </c>
      <c r="R615" s="75">
        <f>IF($A615="","",_xll.BDP($A615&amp;" Corp","CRNCY"))</f>
        <v/>
      </c>
      <c r="S615" s="75">
        <f>IF($A615="","",IFERROR(INDEX(Sheet1!$S:$S,MATCH($A615,Sheet1!$A:$A,0)),""))</f>
        <v/>
      </c>
      <c r="T615" s="75">
        <f>IF($A615="","",IFERROR(INDEX(Sheet1!$T:$T,MATCH($A615,Sheet1!$A:$A,0)),_xll.BDP($A615&amp;" Corp","RTG_SP")))</f>
        <v/>
      </c>
      <c r="U615" s="75">
        <f>IF($A615="","",IFERROR(INDEX(Sheet1!$U:$U,MATCH($A615,Sheet1!$A:$A,0)),""))</f>
        <v/>
      </c>
      <c r="W615" s="81">
        <f>IF($A615="","",N615-_xll.BDP($A615&amp;" Corp","YAS_OAS_SPRD","SETTLE_DT",Company_desc!$A$1))</f>
        <v/>
      </c>
      <c r="X615" s="81">
        <f>IF($A615="","",N615-_xll.BDP($A615&amp;" Corp","YAS_OAS_SPRD","SETTLE_DT",Company_desc!$A$2))</f>
        <v/>
      </c>
      <c r="Y615" s="80">
        <f>IF($A615="","",N615-_xll.BDP($A615&amp;" Corp","YAS_OAS_SPRD","SETTLE_DT",Company_desc!$D$1))</f>
        <v/>
      </c>
      <c r="Z615" s="82">
        <f>IF($A615="","",K615-_xll.BDP($A615&amp;" Corp","YAS_BOND_YLD","YAS_YLD_FLAG=15","SETTLE_DT",Company_desc!$D$1))</f>
        <v/>
      </c>
      <c r="AA615" s="80">
        <f>IF($A615="","",_xll.BDP($A615&amp;" Corp","YAS_OAS_SPRD","SETTLE_DT",Company_desc!$D$1))</f>
        <v/>
      </c>
    </row>
    <row r="616">
      <c r="B616" s="75">
        <f>IF($A616="","",IFERROR(INDEX(Sheet1!$B:$B,MATCH($A616,Sheet1!$A:$A,0)),""))</f>
        <v/>
      </c>
      <c r="C616" s="75">
        <f>IF($A616="","",PROPER(_xll.BDP($A616&amp;" Corp","NAME")))</f>
        <v/>
      </c>
      <c r="D616" s="76">
        <f>IF($A616="","",_xll.BDP($A616&amp;" Corp","CPN"))</f>
        <v/>
      </c>
      <c r="E616" s="75">
        <f>IF($A616="","",_xll.BDP($A616&amp;" Corp","PAYMENT_RANK"))</f>
        <v/>
      </c>
      <c r="F616" s="100">
        <f>IF($A616="","",_xll.BDP($A616&amp;" Corp","MATURITY"))</f>
        <v/>
      </c>
      <c r="G616" s="75">
        <f>IF($A616="","",PROPER(_xll.BDP($A616&amp;" Corp","COUNTRY_FULL_NAME")))</f>
        <v/>
      </c>
      <c r="H616" s="75">
        <f>IF($A616="","",_xll.BDP($A616&amp;" Corp","INDUSTRY_SECTOR"))</f>
        <v/>
      </c>
      <c r="I616" s="101">
        <f>IF($A616="","",IFERROR(_xll.BDP($A616&amp;" Corp","MIN_PIECE")/1000,""))</f>
        <v/>
      </c>
      <c r="J616" s="31">
        <f>IF($A616="","",_xll.BDP($A616&amp;" Corp","PX_LAST"))</f>
        <v/>
      </c>
      <c r="K616" s="31">
        <f>IF($A616="","",_xll.BDP($A616&amp;" Corp","YAS_BOND_YLD","YAS_YLD_FLAG=15"))</f>
        <v/>
      </c>
      <c r="L616" s="31">
        <f>IF($A616="","",K616-_xll.BDP($A616&amp;" Corp","YAS_BOND_YLD","YAS_YLD_FLAG=15","SETTLE_DT",Company_desc!$A$1))</f>
        <v/>
      </c>
      <c r="M616" s="31">
        <f>IF($A616="","",K616-_xll.BDP($A616&amp;" Corp","YAS_BOND_YLD","YAS_YLD_FLAG=15","SETTLE_DT",Company_desc!$A$2))</f>
        <v/>
      </c>
      <c r="N616" s="79">
        <f>IF($A616="","",_xll.BDP($A616&amp;" Corp","YAS_OAS_SPRD"))</f>
        <v/>
      </c>
      <c r="O616" s="67">
        <f>IF($A616="","",_xll.BDP($A616&amp;" Corp","YAS_MOD_DUR"))</f>
        <v/>
      </c>
      <c r="P616" s="80">
        <f>IF($A616="","",IFERROR(INDEX(Sheet1!$P:$P,MATCH($A616,Sheet1!$A:$A,0)),""))</f>
        <v/>
      </c>
      <c r="Q616" s="75">
        <f>IF($A616="","",IFERROR(INDEX(Company_desc!$C:$C,MATCH($A616,Company_desc!$A:$A,0)),IFERROR(INDEX(Sheet1!$Q:$Q,MATCH($A616,Sheet1!$A:$A,0)),"")))</f>
        <v/>
      </c>
      <c r="R616" s="75">
        <f>IF($A616="","",_xll.BDP($A616&amp;" Corp","CRNCY"))</f>
        <v/>
      </c>
      <c r="S616" s="75">
        <f>IF($A616="","",IFERROR(INDEX(Sheet1!$S:$S,MATCH($A616,Sheet1!$A:$A,0)),""))</f>
        <v/>
      </c>
      <c r="T616" s="75">
        <f>IF($A616="","",IFERROR(INDEX(Sheet1!$T:$T,MATCH($A616,Sheet1!$A:$A,0)),_xll.BDP($A616&amp;" Corp","RTG_SP")))</f>
        <v/>
      </c>
      <c r="U616" s="75">
        <f>IF($A616="","",IFERROR(INDEX(Sheet1!$U:$U,MATCH($A616,Sheet1!$A:$A,0)),""))</f>
        <v/>
      </c>
      <c r="W616" s="81">
        <f>IF($A616="","",N616-_xll.BDP($A616&amp;" Corp","YAS_OAS_SPRD","SETTLE_DT",Company_desc!$A$1))</f>
        <v/>
      </c>
      <c r="X616" s="81">
        <f>IF($A616="","",N616-_xll.BDP($A616&amp;" Corp","YAS_OAS_SPRD","SETTLE_DT",Company_desc!$A$2))</f>
        <v/>
      </c>
      <c r="Y616" s="80">
        <f>IF($A616="","",N616-_xll.BDP($A616&amp;" Corp","YAS_OAS_SPRD","SETTLE_DT",Company_desc!$D$1))</f>
        <v/>
      </c>
      <c r="Z616" s="82">
        <f>IF($A616="","",K616-_xll.BDP($A616&amp;" Corp","YAS_BOND_YLD","YAS_YLD_FLAG=15","SETTLE_DT",Company_desc!$D$1))</f>
        <v/>
      </c>
      <c r="AA616" s="80">
        <f>IF($A616="","",_xll.BDP($A616&amp;" Corp","YAS_OAS_SPRD","SETTLE_DT",Company_desc!$D$1))</f>
        <v/>
      </c>
    </row>
    <row r="617">
      <c r="B617" s="75">
        <f>IF($A617="","",IFERROR(INDEX(Sheet1!$B:$B,MATCH($A617,Sheet1!$A:$A,0)),""))</f>
        <v/>
      </c>
      <c r="C617" s="75">
        <f>IF($A617="","",PROPER(_xll.BDP($A617&amp;" Corp","NAME")))</f>
        <v/>
      </c>
      <c r="D617" s="76">
        <f>IF($A617="","",_xll.BDP($A617&amp;" Corp","CPN"))</f>
        <v/>
      </c>
      <c r="E617" s="75">
        <f>IF($A617="","",_xll.BDP($A617&amp;" Corp","PAYMENT_RANK"))</f>
        <v/>
      </c>
      <c r="F617" s="100">
        <f>IF($A617="","",_xll.BDP($A617&amp;" Corp","MATURITY"))</f>
        <v/>
      </c>
      <c r="G617" s="75">
        <f>IF($A617="","",PROPER(_xll.BDP($A617&amp;" Corp","COUNTRY_FULL_NAME")))</f>
        <v/>
      </c>
      <c r="H617" s="75">
        <f>IF($A617="","",_xll.BDP($A617&amp;" Corp","INDUSTRY_SECTOR"))</f>
        <v/>
      </c>
      <c r="I617" s="101">
        <f>IF($A617="","",IFERROR(_xll.BDP($A617&amp;" Corp","MIN_PIECE")/1000,""))</f>
        <v/>
      </c>
      <c r="J617" s="31">
        <f>IF($A617="","",_xll.BDP($A617&amp;" Corp","PX_LAST"))</f>
        <v/>
      </c>
      <c r="K617" s="31">
        <f>IF($A617="","",_xll.BDP($A617&amp;" Corp","YAS_BOND_YLD","YAS_YLD_FLAG=15"))</f>
        <v/>
      </c>
      <c r="L617" s="31">
        <f>IF($A617="","",K617-_xll.BDP($A617&amp;" Corp","YAS_BOND_YLD","YAS_YLD_FLAG=15","SETTLE_DT",Company_desc!$A$1))</f>
        <v/>
      </c>
      <c r="M617" s="31">
        <f>IF($A617="","",K617-_xll.BDP($A617&amp;" Corp","YAS_BOND_YLD","YAS_YLD_FLAG=15","SETTLE_DT",Company_desc!$A$2))</f>
        <v/>
      </c>
      <c r="N617" s="79">
        <f>IF($A617="","",_xll.BDP($A617&amp;" Corp","YAS_OAS_SPRD"))</f>
        <v/>
      </c>
      <c r="O617" s="67">
        <f>IF($A617="","",_xll.BDP($A617&amp;" Corp","YAS_MOD_DUR"))</f>
        <v/>
      </c>
      <c r="P617" s="80">
        <f>IF($A617="","",IFERROR(INDEX(Sheet1!$P:$P,MATCH($A617,Sheet1!$A:$A,0)),""))</f>
        <v/>
      </c>
      <c r="Q617" s="75">
        <f>IF($A617="","",IFERROR(INDEX(Company_desc!$C:$C,MATCH($A617,Company_desc!$A:$A,0)),IFERROR(INDEX(Sheet1!$Q:$Q,MATCH($A617,Sheet1!$A:$A,0)),"")))</f>
        <v/>
      </c>
      <c r="R617" s="75">
        <f>IF($A617="","",_xll.BDP($A617&amp;" Corp","CRNCY"))</f>
        <v/>
      </c>
      <c r="S617" s="75">
        <f>IF($A617="","",IFERROR(INDEX(Sheet1!$S:$S,MATCH($A617,Sheet1!$A:$A,0)),""))</f>
        <v/>
      </c>
      <c r="T617" s="75">
        <f>IF($A617="","",IFERROR(INDEX(Sheet1!$T:$T,MATCH($A617,Sheet1!$A:$A,0)),_xll.BDP($A617&amp;" Corp","RTG_SP")))</f>
        <v/>
      </c>
      <c r="U617" s="75">
        <f>IF($A617="","",IFERROR(INDEX(Sheet1!$U:$U,MATCH($A617,Sheet1!$A:$A,0)),""))</f>
        <v/>
      </c>
      <c r="W617" s="81">
        <f>IF($A617="","",N617-_xll.BDP($A617&amp;" Corp","YAS_OAS_SPRD","SETTLE_DT",Company_desc!$A$1))</f>
        <v/>
      </c>
      <c r="X617" s="81">
        <f>IF($A617="","",N617-_xll.BDP($A617&amp;" Corp","YAS_OAS_SPRD","SETTLE_DT",Company_desc!$A$2))</f>
        <v/>
      </c>
      <c r="Y617" s="80">
        <f>IF($A617="","",N617-_xll.BDP($A617&amp;" Corp","YAS_OAS_SPRD","SETTLE_DT",Company_desc!$D$1))</f>
        <v/>
      </c>
      <c r="Z617" s="82">
        <f>IF($A617="","",K617-_xll.BDP($A617&amp;" Corp","YAS_BOND_YLD","YAS_YLD_FLAG=15","SETTLE_DT",Company_desc!$D$1))</f>
        <v/>
      </c>
      <c r="AA617" s="80">
        <f>IF($A617="","",_xll.BDP($A617&amp;" Corp","YAS_OAS_SPRD","SETTLE_DT",Company_desc!$D$1))</f>
        <v/>
      </c>
    </row>
    <row r="618">
      <c r="B618" s="28">
        <f>IF($A618="","",IFERROR(INDEX(Sheet1!$B:$B,MATCH($A618,Sheet1!$A:$A,0)),""))</f>
        <v/>
      </c>
      <c r="C618" s="29">
        <f>IF($A618="","",PROPER(_xll.BDP($A618&amp;" Corp","NAME")))</f>
        <v/>
      </c>
      <c r="D618" s="84">
        <f>IF($A618="","",_xll.BDP($A618&amp;" Corp","CPN"))</f>
        <v/>
      </c>
      <c r="E618" s="84">
        <f>IF($A618="","",_xll.BDP($A618&amp;" Corp","PAYMENT_RANK"))</f>
        <v/>
      </c>
      <c r="F618" s="102">
        <f>IF($A618="","",_xll.BDP($A618&amp;" Corp","MATURITY"))</f>
        <v/>
      </c>
      <c r="G618" s="43">
        <f>IF($A618="","",PROPER(_xll.BDP($A618&amp;" Corp","COUNTRY_FULL_NAME")))</f>
        <v/>
      </c>
      <c r="H618" s="29">
        <f>IF($A618="","",_xll.BDP($A618&amp;" Corp","INDUSTRY_SECTOR"))</f>
        <v/>
      </c>
      <c r="I618" s="103">
        <f>IF($A618="","",IFERROR(_xll.BDP($A618&amp;" Corp","MIN_PIECE")/1000,""))</f>
        <v/>
      </c>
      <c r="J618" s="31">
        <f>IF($A618="","",_xll.BDP($A618&amp;" Corp","PX_LAST"))</f>
        <v/>
      </c>
      <c r="K618" s="31">
        <f>IF($A618="","",_xll.BDP($A618&amp;" Corp","YAS_BOND_YLD","YAS_YLD_FLAG=15"))</f>
        <v/>
      </c>
      <c r="L618" s="31">
        <f>IF($A618="","",K618-_xll.BDP($A618&amp;" Corp","YAS_BOND_YLD","YAS_YLD_FLAG=15","SETTLE_DT",Company_desc!$A$1))</f>
        <v/>
      </c>
      <c r="M618" s="31">
        <f>IF($A618="","",K618-_xll.BDP($A618&amp;" Corp","YAS_BOND_YLD","YAS_YLD_FLAG=15","SETTLE_DT",Company_desc!$A$2))</f>
        <v/>
      </c>
      <c r="N618" s="79">
        <f>IF($A618="","",_xll.BDP($A618&amp;" Corp","YAS_OAS_SPRD"))</f>
        <v/>
      </c>
      <c r="O618" s="67">
        <f>IF($A618="","",_xll.BDP($A618&amp;" Corp","YAS_MOD_DUR"))</f>
        <v/>
      </c>
      <c r="P618" s="79">
        <f>IF($A618="","",IFERROR(INDEX(Sheet1!$P:$P,MATCH($A618,Sheet1!$A:$A,0)),""))</f>
        <v/>
      </c>
      <c r="Q618" s="27">
        <f>IF($A618="","",IFERROR(INDEX(Company_desc!$C:$C,MATCH($A618,Company_desc!$A:$A,0)),IFERROR(INDEX(Sheet1!$Q:$Q,MATCH($A618,Sheet1!$A:$A,0)),"")))</f>
        <v/>
      </c>
      <c r="R618" s="27">
        <f>IF($A618="","",_xll.BDP($A618&amp;" Corp","CRNCY"))</f>
        <v/>
      </c>
      <c r="S618" s="27">
        <f>IF($A618="","",IFERROR(INDEX(Sheet1!$S:$S,MATCH($A618,Sheet1!$A:$A,0)),""))</f>
        <v/>
      </c>
      <c r="T618" s="47">
        <f>IF($A618="","",IFERROR(INDEX(Sheet1!$T:$T,MATCH($A618,Sheet1!$A:$A,0)),_xll.BDP($A618&amp;" Corp","RTG_SP")))</f>
        <v/>
      </c>
      <c r="U618" s="75">
        <f>IF($A618="","",IFERROR(INDEX(Sheet1!$U:$U,MATCH($A618,Sheet1!$A:$A,0)),""))</f>
        <v/>
      </c>
      <c r="W618" s="81">
        <f>IF($A618="","",N618-_xll.BDP($A618&amp;" Corp","YAS_OAS_SPRD","SETTLE_DT",Company_desc!$A$1))</f>
        <v/>
      </c>
      <c r="X618" s="81">
        <f>IF($A618="","",N618-_xll.BDP($A618&amp;" Corp","YAS_OAS_SPRD","SETTLE_DT",Company_desc!$A$2))</f>
        <v/>
      </c>
      <c r="Y618" s="80">
        <f>IF($A618="","",N618-_xll.BDP($A618&amp;" Corp","YAS_OAS_SPRD","SETTLE_DT",Company_desc!$D$1))</f>
        <v/>
      </c>
      <c r="Z618" s="82">
        <f>IF($A618="","",K618-_xll.BDP($A618&amp;" Corp","YAS_BOND_YLD","YAS_YLD_FLAG=15","SETTLE_DT",Company_desc!$D$1))</f>
        <v/>
      </c>
      <c r="AA618" s="80">
        <f>IF($A618="","",_xll.BDP($A618&amp;" Corp","YAS_OAS_SPRD","SETTLE_DT",Company_desc!$D$1))</f>
        <v/>
      </c>
    </row>
    <row r="619">
      <c r="B619" s="28">
        <f>IF($A619="","",IFERROR(INDEX(Sheet1!$B:$B,MATCH($A619,Sheet1!$A:$A,0)),""))</f>
        <v/>
      </c>
      <c r="C619" s="29">
        <f>IF($A619="","",PROPER(_xll.BDP($A619&amp;" Corp","NAME")))</f>
        <v/>
      </c>
      <c r="D619" s="84">
        <f>IF($A619="","",_xll.BDP($A619&amp;" Corp","CPN"))</f>
        <v/>
      </c>
      <c r="E619" s="84">
        <f>IF($A619="","",_xll.BDP($A619&amp;" Corp","PAYMENT_RANK"))</f>
        <v/>
      </c>
      <c r="F619" s="102">
        <f>IF($A619="","",_xll.BDP($A619&amp;" Corp","MATURITY"))</f>
        <v/>
      </c>
      <c r="G619" s="43">
        <f>IF($A619="","",PROPER(_xll.BDP($A619&amp;" Corp","COUNTRY_FULL_NAME")))</f>
        <v/>
      </c>
      <c r="H619" s="29">
        <f>IF($A619="","",_xll.BDP($A619&amp;" Corp","INDUSTRY_SECTOR"))</f>
        <v/>
      </c>
      <c r="I619" s="103">
        <f>IF($A619="","",IFERROR(_xll.BDP($A619&amp;" Corp","MIN_PIECE")/1000,""))</f>
        <v/>
      </c>
      <c r="J619" s="31">
        <f>IF($A619="","",_xll.BDP($A619&amp;" Corp","PX_LAST"))</f>
        <v/>
      </c>
      <c r="K619" s="31">
        <f>IF($A619="","",_xll.BDP($A619&amp;" Corp","YAS_BOND_YLD","YAS_YLD_FLAG=15"))</f>
        <v/>
      </c>
      <c r="L619" s="31">
        <f>IF($A619="","",K619-_xll.BDP($A619&amp;" Corp","YAS_BOND_YLD","YAS_YLD_FLAG=15","SETTLE_DT",Company_desc!$A$1))</f>
        <v/>
      </c>
      <c r="M619" s="31">
        <f>IF($A619="","",K619-_xll.BDP($A619&amp;" Corp","YAS_BOND_YLD","YAS_YLD_FLAG=15","SETTLE_DT",Company_desc!$A$2))</f>
        <v/>
      </c>
      <c r="N619" s="79">
        <f>IF($A619="","",_xll.BDP($A619&amp;" Corp","YAS_OAS_SPRD"))</f>
        <v/>
      </c>
      <c r="O619" s="67">
        <f>IF($A619="","",_xll.BDP($A619&amp;" Corp","YAS_MOD_DUR"))</f>
        <v/>
      </c>
      <c r="P619" s="79">
        <f>IF($A619="","",IFERROR(INDEX(Sheet1!$P:$P,MATCH($A619,Sheet1!$A:$A,0)),""))</f>
        <v/>
      </c>
      <c r="Q619" s="27">
        <f>IF($A619="","",IFERROR(INDEX(Company_desc!$C:$C,MATCH($A619,Company_desc!$A:$A,0)),IFERROR(INDEX(Sheet1!$Q:$Q,MATCH($A619,Sheet1!$A:$A,0)),"")))</f>
        <v/>
      </c>
      <c r="R619" s="27">
        <f>IF($A619="","",_xll.BDP($A619&amp;" Corp","CRNCY"))</f>
        <v/>
      </c>
      <c r="S619" s="27">
        <f>IF($A619="","",IFERROR(INDEX(Sheet1!$S:$S,MATCH($A619,Sheet1!$A:$A,0)),""))</f>
        <v/>
      </c>
      <c r="T619" s="47">
        <f>IF($A619="","",IFERROR(INDEX(Sheet1!$T:$T,MATCH($A619,Sheet1!$A:$A,0)),_xll.BDP($A619&amp;" Corp","RTG_SP")))</f>
        <v/>
      </c>
      <c r="U619" s="75">
        <f>IF($A619="","",IFERROR(INDEX(Sheet1!$U:$U,MATCH($A619,Sheet1!$A:$A,0)),""))</f>
        <v/>
      </c>
      <c r="W619" s="81">
        <f>IF($A619="","",N619-_xll.BDP($A619&amp;" Corp","YAS_OAS_SPRD","SETTLE_DT",Company_desc!$A$1))</f>
        <v/>
      </c>
      <c r="X619" s="81">
        <f>IF($A619="","",N619-_xll.BDP($A619&amp;" Corp","YAS_OAS_SPRD","SETTLE_DT",Company_desc!$A$2))</f>
        <v/>
      </c>
      <c r="Y619" s="80">
        <f>IF($A619="","",N619-_xll.BDP($A619&amp;" Corp","YAS_OAS_SPRD","SETTLE_DT",Company_desc!$D$1))</f>
        <v/>
      </c>
      <c r="Z619" s="82">
        <f>IF($A619="","",K619-_xll.BDP($A619&amp;" Corp","YAS_BOND_YLD","YAS_YLD_FLAG=15","SETTLE_DT",Company_desc!$D$1))</f>
        <v/>
      </c>
      <c r="AA619" s="80">
        <f>IF($A619="","",_xll.BDP($A619&amp;" Corp","YAS_OAS_SPRD","SETTLE_DT",Company_desc!$D$1))</f>
        <v/>
      </c>
    </row>
    <row r="620">
      <c r="B620" s="28">
        <f>IF($A620="","",IFERROR(INDEX(Sheet1!$B:$B,MATCH($A620,Sheet1!$A:$A,0)),""))</f>
        <v/>
      </c>
      <c r="C620" s="29">
        <f>IF($A620="","",PROPER(_xll.BDP($A620&amp;" Corp","NAME")))</f>
        <v/>
      </c>
      <c r="D620" s="84">
        <f>IF($A620="","",_xll.BDP($A620&amp;" Corp","CPN"))</f>
        <v/>
      </c>
      <c r="E620" s="84">
        <f>IF($A620="","",_xll.BDP($A620&amp;" Corp","PAYMENT_RANK"))</f>
        <v/>
      </c>
      <c r="F620" s="102">
        <f>IF($A620="","",_xll.BDP($A620&amp;" Corp","MATURITY"))</f>
        <v/>
      </c>
      <c r="G620" s="43">
        <f>IF($A620="","",PROPER(_xll.BDP($A620&amp;" Corp","COUNTRY_FULL_NAME")))</f>
        <v/>
      </c>
      <c r="H620" s="29">
        <f>IF($A620="","",_xll.BDP($A620&amp;" Corp","INDUSTRY_SECTOR"))</f>
        <v/>
      </c>
      <c r="I620" s="103">
        <f>IF($A620="","",IFERROR(_xll.BDP($A620&amp;" Corp","MIN_PIECE")/1000,""))</f>
        <v/>
      </c>
      <c r="J620" s="31">
        <f>IF($A620="","",_xll.BDP($A620&amp;" Corp","PX_LAST"))</f>
        <v/>
      </c>
      <c r="K620" s="31">
        <f>IF($A620="","",_xll.BDP($A620&amp;" Corp","YAS_BOND_YLD","YAS_YLD_FLAG=15"))</f>
        <v/>
      </c>
      <c r="L620" s="31">
        <f>IF($A620="","",K620-_xll.BDP($A620&amp;" Corp","YAS_BOND_YLD","YAS_YLD_FLAG=15","SETTLE_DT",Company_desc!$A$1))</f>
        <v/>
      </c>
      <c r="M620" s="31">
        <f>IF($A620="","",K620-_xll.BDP($A620&amp;" Corp","YAS_BOND_YLD","YAS_YLD_FLAG=15","SETTLE_DT",Company_desc!$A$2))</f>
        <v/>
      </c>
      <c r="N620" s="79">
        <f>IF($A620="","",_xll.BDP($A620&amp;" Corp","YAS_OAS_SPRD"))</f>
        <v/>
      </c>
      <c r="O620" s="67">
        <f>IF($A620="","",_xll.BDP($A620&amp;" Corp","YAS_MOD_DUR"))</f>
        <v/>
      </c>
      <c r="P620" s="79">
        <f>IF($A620="","",IFERROR(INDEX(Sheet1!$P:$P,MATCH($A620,Sheet1!$A:$A,0)),""))</f>
        <v/>
      </c>
      <c r="Q620" s="27">
        <f>IF($A620="","",IFERROR(INDEX(Company_desc!$C:$C,MATCH($A620,Company_desc!$A:$A,0)),IFERROR(INDEX(Sheet1!$Q:$Q,MATCH($A620,Sheet1!$A:$A,0)),"")))</f>
        <v/>
      </c>
      <c r="R620" s="27">
        <f>IF($A620="","",_xll.BDP($A620&amp;" Corp","CRNCY"))</f>
        <v/>
      </c>
      <c r="S620" s="27">
        <f>IF($A620="","",IFERROR(INDEX(Sheet1!$S:$S,MATCH($A620,Sheet1!$A:$A,0)),""))</f>
        <v/>
      </c>
      <c r="T620" s="47">
        <f>IF($A620="","",IFERROR(INDEX(Sheet1!$T:$T,MATCH($A620,Sheet1!$A:$A,0)),_xll.BDP($A620&amp;" Corp","RTG_SP")))</f>
        <v/>
      </c>
      <c r="U620" s="75">
        <f>IF($A620="","",IFERROR(INDEX(Sheet1!$U:$U,MATCH($A620,Sheet1!$A:$A,0)),""))</f>
        <v/>
      </c>
      <c r="W620" s="81">
        <f>IF($A620="","",N620-_xll.BDP($A620&amp;" Corp","YAS_OAS_SPRD","SETTLE_DT",Company_desc!$A$1))</f>
        <v/>
      </c>
      <c r="X620" s="81">
        <f>IF($A620="","",N620-_xll.BDP($A620&amp;" Corp","YAS_OAS_SPRD","SETTLE_DT",Company_desc!$A$2))</f>
        <v/>
      </c>
      <c r="Y620" s="80">
        <f>IF($A620="","",N620-_xll.BDP($A620&amp;" Corp","YAS_OAS_SPRD","SETTLE_DT",Company_desc!$D$1))</f>
        <v/>
      </c>
      <c r="Z620" s="82">
        <f>IF($A620="","",K620-_xll.BDP($A620&amp;" Corp","YAS_BOND_YLD","YAS_YLD_FLAG=15","SETTLE_DT",Company_desc!$D$1))</f>
        <v/>
      </c>
      <c r="AA620" s="80">
        <f>IF($A620="","",_xll.BDP($A620&amp;" Corp","YAS_OAS_SPRD","SETTLE_DT",Company_desc!$D$1))</f>
        <v/>
      </c>
    </row>
    <row r="621">
      <c r="B621" s="28">
        <f>IF($A621="","",IFERROR(INDEX(Sheet1!$B:$B,MATCH($A621,Sheet1!$A:$A,0)),""))</f>
        <v/>
      </c>
      <c r="C621" s="29">
        <f>IF($A621="","",PROPER(_xll.BDP($A621&amp;" Corp","NAME")))</f>
        <v/>
      </c>
      <c r="D621" s="84">
        <f>IF($A621="","",_xll.BDP($A621&amp;" Corp","CPN"))</f>
        <v/>
      </c>
      <c r="E621" s="84">
        <f>IF($A621="","",_xll.BDP($A621&amp;" Corp","PAYMENT_RANK"))</f>
        <v/>
      </c>
      <c r="F621" s="102">
        <f>IF($A621="","",_xll.BDP($A621&amp;" Corp","MATURITY"))</f>
        <v/>
      </c>
      <c r="G621" s="43">
        <f>IF($A621="","",PROPER(_xll.BDP($A621&amp;" Corp","COUNTRY_FULL_NAME")))</f>
        <v/>
      </c>
      <c r="H621" s="29">
        <f>IF($A621="","",_xll.BDP($A621&amp;" Corp","INDUSTRY_SECTOR"))</f>
        <v/>
      </c>
      <c r="I621" s="103">
        <f>IF($A621="","",IFERROR(_xll.BDP($A621&amp;" Corp","MIN_PIECE")/1000,""))</f>
        <v/>
      </c>
      <c r="J621" s="31">
        <f>IF($A621="","",_xll.BDP($A621&amp;" Corp","PX_LAST"))</f>
        <v/>
      </c>
      <c r="K621" s="31">
        <f>IF($A621="","",_xll.BDP($A621&amp;" Corp","YAS_BOND_YLD","YAS_YLD_FLAG=15"))</f>
        <v/>
      </c>
      <c r="L621" s="31">
        <f>IF($A621="","",K621-_xll.BDP($A621&amp;" Corp","YAS_BOND_YLD","YAS_YLD_FLAG=15","SETTLE_DT",Company_desc!$A$1))</f>
        <v/>
      </c>
      <c r="M621" s="31">
        <f>IF($A621="","",K621-_xll.BDP($A621&amp;" Corp","YAS_BOND_YLD","YAS_YLD_FLAG=15","SETTLE_DT",Company_desc!$A$2))</f>
        <v/>
      </c>
      <c r="N621" s="79">
        <f>IF($A621="","",_xll.BDP($A621&amp;" Corp","YAS_OAS_SPRD"))</f>
        <v/>
      </c>
      <c r="O621" s="67">
        <f>IF($A621="","",_xll.BDP($A621&amp;" Corp","YAS_MOD_DUR"))</f>
        <v/>
      </c>
      <c r="P621" s="79">
        <f>IF($A621="","",IFERROR(INDEX(Sheet1!$P:$P,MATCH($A621,Sheet1!$A:$A,0)),""))</f>
        <v/>
      </c>
      <c r="Q621" s="27">
        <f>IF($A621="","",IFERROR(INDEX(Company_desc!$C:$C,MATCH($A621,Company_desc!$A:$A,0)),IFERROR(INDEX(Sheet1!$Q:$Q,MATCH($A621,Sheet1!$A:$A,0)),"")))</f>
        <v/>
      </c>
      <c r="R621" s="27">
        <f>IF($A621="","",_xll.BDP($A621&amp;" Corp","CRNCY"))</f>
        <v/>
      </c>
      <c r="S621" s="27">
        <f>IF($A621="","",IFERROR(INDEX(Sheet1!$S:$S,MATCH($A621,Sheet1!$A:$A,0)),""))</f>
        <v/>
      </c>
      <c r="T621" s="47">
        <f>IF($A621="","",IFERROR(INDEX(Sheet1!$T:$T,MATCH($A621,Sheet1!$A:$A,0)),_xll.BDP($A621&amp;" Corp","RTG_SP")))</f>
        <v/>
      </c>
      <c r="U621" s="75">
        <f>IF($A621="","",IFERROR(INDEX(Sheet1!$U:$U,MATCH($A621,Sheet1!$A:$A,0)),""))</f>
        <v/>
      </c>
      <c r="W621" s="81">
        <f>IF($A621="","",N621-_xll.BDP($A621&amp;" Corp","YAS_OAS_SPRD","SETTLE_DT",Company_desc!$A$1))</f>
        <v/>
      </c>
      <c r="X621" s="81">
        <f>IF($A621="","",N621-_xll.BDP($A621&amp;" Corp","YAS_OAS_SPRD","SETTLE_DT",Company_desc!$A$2))</f>
        <v/>
      </c>
      <c r="Y621" s="80">
        <f>IF($A621="","",N621-_xll.BDP($A621&amp;" Corp","YAS_OAS_SPRD","SETTLE_DT",Company_desc!$D$1))</f>
        <v/>
      </c>
      <c r="Z621" s="82">
        <f>IF($A621="","",K621-_xll.BDP($A621&amp;" Corp","YAS_BOND_YLD","YAS_YLD_FLAG=15","SETTLE_DT",Company_desc!$D$1))</f>
        <v/>
      </c>
      <c r="AA621" s="80">
        <f>IF($A621="","",_xll.BDP($A621&amp;" Corp","YAS_OAS_SPRD","SETTLE_DT",Company_desc!$D$1))</f>
        <v/>
      </c>
    </row>
    <row r="622">
      <c r="B622" s="75">
        <f>IF($A622="","",IFERROR(INDEX(Sheet1!$B:$B,MATCH($A622,Sheet1!$A:$A,0)),""))</f>
        <v/>
      </c>
      <c r="C622" s="75">
        <f>IF($A622="","",PROPER(_xll.BDP($A622&amp;" Corp","NAME")))</f>
        <v/>
      </c>
      <c r="D622" s="76">
        <f>IF($A622="","",_xll.BDP($A622&amp;" Corp","CPN"))</f>
        <v/>
      </c>
      <c r="E622" s="75">
        <f>IF($A622="","",_xll.BDP($A622&amp;" Corp","PAYMENT_RANK"))</f>
        <v/>
      </c>
      <c r="F622" s="100">
        <f>IF($A622="","",_xll.BDP($A622&amp;" Corp","MATURITY"))</f>
        <v/>
      </c>
      <c r="G622" s="75">
        <f>IF($A622="","",PROPER(_xll.BDP($A622&amp;" Corp","COUNTRY_FULL_NAME")))</f>
        <v/>
      </c>
      <c r="H622" s="75">
        <f>IF($A622="","",_xll.BDP($A622&amp;" Corp","INDUSTRY_SECTOR"))</f>
        <v/>
      </c>
      <c r="I622" s="101">
        <f>IF($A622="","",IFERROR(_xll.BDP($A622&amp;" Corp","MIN_PIECE")/1000,""))</f>
        <v/>
      </c>
      <c r="J622" s="31">
        <f>IF($A622="","",_xll.BDP($A622&amp;" Corp","PX_LAST"))</f>
        <v/>
      </c>
      <c r="K622" s="31">
        <f>IF($A622="","",_xll.BDP($A622&amp;" Corp","YAS_BOND_YLD","YAS_YLD_FLAG=15"))</f>
        <v/>
      </c>
      <c r="L622" s="31">
        <f>IF($A622="","",K622-_xll.BDP($A622&amp;" Corp","YAS_BOND_YLD","YAS_YLD_FLAG=15","SETTLE_DT",Company_desc!$A$1))</f>
        <v/>
      </c>
      <c r="M622" s="31">
        <f>IF($A622="","",K622-_xll.BDP($A622&amp;" Corp","YAS_BOND_YLD","YAS_YLD_FLAG=15","SETTLE_DT",Company_desc!$A$2))</f>
        <v/>
      </c>
      <c r="N622" s="79">
        <f>IF($A622="","",_xll.BDP($A622&amp;" Corp","YAS_OAS_SPRD"))</f>
        <v/>
      </c>
      <c r="O622" s="67">
        <f>IF($A622="","",_xll.BDP($A622&amp;" Corp","YAS_MOD_DUR"))</f>
        <v/>
      </c>
      <c r="P622" s="80">
        <f>IF($A622="","",IFERROR(INDEX(Sheet1!$P:$P,MATCH($A622,Sheet1!$A:$A,0)),""))</f>
        <v/>
      </c>
      <c r="Q622" s="75">
        <f>IF($A622="","",IFERROR(INDEX(Company_desc!$C:$C,MATCH($A622,Company_desc!$A:$A,0)),IFERROR(INDEX(Sheet1!$Q:$Q,MATCH($A622,Sheet1!$A:$A,0)),"")))</f>
        <v/>
      </c>
      <c r="R622" s="75">
        <f>IF($A622="","",_xll.BDP($A622&amp;" Corp","CRNCY"))</f>
        <v/>
      </c>
      <c r="S622" s="75">
        <f>IF($A622="","",IFERROR(INDEX(Sheet1!$S:$S,MATCH($A622,Sheet1!$A:$A,0)),""))</f>
        <v/>
      </c>
      <c r="T622" s="75">
        <f>IF($A622="","",IFERROR(INDEX(Sheet1!$T:$T,MATCH($A622,Sheet1!$A:$A,0)),_xll.BDP($A622&amp;" Corp","RTG_SP")))</f>
        <v/>
      </c>
      <c r="U622" s="75">
        <f>IF($A622="","",IFERROR(INDEX(Sheet1!$U:$U,MATCH($A622,Sheet1!$A:$A,0)),""))</f>
        <v/>
      </c>
      <c r="W622" s="81">
        <f>IF($A622="","",N622-_xll.BDP($A622&amp;" Corp","YAS_OAS_SPRD","SETTLE_DT",Company_desc!$A$1))</f>
        <v/>
      </c>
      <c r="X622" s="81">
        <f>IF($A622="","",N622-_xll.BDP($A622&amp;" Corp","YAS_OAS_SPRD","SETTLE_DT",Company_desc!$A$2))</f>
        <v/>
      </c>
      <c r="Y622" s="80">
        <f>IF($A622="","",N622-_xll.BDP($A622&amp;" Corp","YAS_OAS_SPRD","SETTLE_DT",Company_desc!$D$1))</f>
        <v/>
      </c>
      <c r="Z622" s="82">
        <f>IF($A622="","",K622-_xll.BDP($A622&amp;" Corp","YAS_BOND_YLD","YAS_YLD_FLAG=15","SETTLE_DT",Company_desc!$D$1))</f>
        <v/>
      </c>
      <c r="AA622" s="80">
        <f>IF($A622="","",_xll.BDP($A622&amp;" Corp","YAS_OAS_SPRD","SETTLE_DT",Company_desc!$D$1))</f>
        <v/>
      </c>
    </row>
    <row r="623">
      <c r="B623" s="75">
        <f>IF($A623="","",IFERROR(INDEX(Sheet1!$B:$B,MATCH($A623,Sheet1!$A:$A,0)),""))</f>
        <v/>
      </c>
      <c r="C623" s="75">
        <f>IF($A623="","",PROPER(_xll.BDP($A623&amp;" Corp","NAME")))</f>
        <v/>
      </c>
      <c r="D623" s="76">
        <f>IF($A623="","",_xll.BDP($A623&amp;" Corp","CPN"))</f>
        <v/>
      </c>
      <c r="E623" s="75">
        <f>IF($A623="","",_xll.BDP($A623&amp;" Corp","PAYMENT_RANK"))</f>
        <v/>
      </c>
      <c r="F623" s="100">
        <f>IF($A623="","",_xll.BDP($A623&amp;" Corp","MATURITY"))</f>
        <v/>
      </c>
      <c r="G623" s="75">
        <f>IF($A623="","",PROPER(_xll.BDP($A623&amp;" Corp","COUNTRY_FULL_NAME")))</f>
        <v/>
      </c>
      <c r="H623" s="75">
        <f>IF($A623="","",_xll.BDP($A623&amp;" Corp","INDUSTRY_SECTOR"))</f>
        <v/>
      </c>
      <c r="I623" s="101">
        <f>IF($A623="","",IFERROR(_xll.BDP($A623&amp;" Corp","MIN_PIECE")/1000,""))</f>
        <v/>
      </c>
      <c r="J623" s="31">
        <f>IF($A623="","",_xll.BDP($A623&amp;" Corp","PX_LAST"))</f>
        <v/>
      </c>
      <c r="K623" s="31">
        <f>IF($A623="","",_xll.BDP($A623&amp;" Corp","YAS_BOND_YLD","YAS_YLD_FLAG=15"))</f>
        <v/>
      </c>
      <c r="L623" s="31">
        <f>IF($A623="","",K623-_xll.BDP($A623&amp;" Corp","YAS_BOND_YLD","YAS_YLD_FLAG=15","SETTLE_DT",Company_desc!$A$1))</f>
        <v/>
      </c>
      <c r="M623" s="31">
        <f>IF($A623="","",K623-_xll.BDP($A623&amp;" Corp","YAS_BOND_YLD","YAS_YLD_FLAG=15","SETTLE_DT",Company_desc!$A$2))</f>
        <v/>
      </c>
      <c r="N623" s="79">
        <f>IF($A623="","",_xll.BDP($A623&amp;" Corp","YAS_OAS_SPRD"))</f>
        <v/>
      </c>
      <c r="O623" s="82">
        <f>IF($A623="","",_xll.BDP($A623&amp;" Corp","YAS_MOD_DUR"))</f>
        <v/>
      </c>
      <c r="P623" s="80">
        <f>IF($A623="","",IFERROR(INDEX(Sheet1!$P:$P,MATCH($A623,Sheet1!$A:$A,0)),""))</f>
        <v/>
      </c>
      <c r="Q623" s="75">
        <f>IF($A623="","",IFERROR(INDEX(Company_desc!$C:$C,MATCH($A623,Company_desc!$A:$A,0)),IFERROR(INDEX(Sheet1!$Q:$Q,MATCH($A623,Sheet1!$A:$A,0)),"")))</f>
        <v/>
      </c>
      <c r="R623" s="75">
        <f>IF($A623="","",_xll.BDP($A623&amp;" Corp","CRNCY"))</f>
        <v/>
      </c>
      <c r="S623" s="75">
        <f>IF($A623="","",IFERROR(INDEX(Sheet1!$S:$S,MATCH($A623,Sheet1!$A:$A,0)),""))</f>
        <v/>
      </c>
      <c r="T623" s="75">
        <f>IF($A623="","",IFERROR(INDEX(Sheet1!$T:$T,MATCH($A623,Sheet1!$A:$A,0)),_xll.BDP($A623&amp;" Corp","RTG_SP")))</f>
        <v/>
      </c>
      <c r="U623" s="75">
        <f>IF($A623="","",IFERROR(INDEX(Sheet1!$U:$U,MATCH($A623,Sheet1!$A:$A,0)),""))</f>
        <v/>
      </c>
      <c r="W623" s="81">
        <f>IF($A623="","",N623-_xll.BDP($A623&amp;" Corp","YAS_OAS_SPRD","SETTLE_DT",Company_desc!$A$1))</f>
        <v/>
      </c>
      <c r="X623" s="81">
        <f>IF($A623="","",N623-_xll.BDP($A623&amp;" Corp","YAS_OAS_SPRD","SETTLE_DT",Company_desc!$A$2))</f>
        <v/>
      </c>
      <c r="Y623" s="80">
        <f>IF($A623="","",N623-_xll.BDP($A623&amp;" Corp","YAS_OAS_SPRD","SETTLE_DT",Company_desc!$D$1))</f>
        <v/>
      </c>
      <c r="Z623" s="82">
        <f>IF($A623="","",K623-_xll.BDP($A623&amp;" Corp","YAS_BOND_YLD","YAS_YLD_FLAG=15","SETTLE_DT",Company_desc!$D$1))</f>
        <v/>
      </c>
      <c r="AA623" s="80">
        <f>IF($A623="","",_xll.BDP($A623&amp;" Corp","YAS_OAS_SPRD","SETTLE_DT",Company_desc!$D$1))</f>
        <v/>
      </c>
    </row>
    <row r="624">
      <c r="B624" s="28">
        <f>IF($A624="","",IFERROR(INDEX(Sheet1!$B:$B,MATCH($A624,Sheet1!$A:$A,0)),""))</f>
        <v/>
      </c>
      <c r="C624" s="29">
        <f>IF($A624="","",PROPER(_xll.BDP($A624&amp;" Corp","NAME")))</f>
        <v/>
      </c>
      <c r="D624" s="84">
        <f>IF($A624="","",_xll.BDP($A624&amp;" Corp","CPN"))</f>
        <v/>
      </c>
      <c r="E624" s="84">
        <f>IF($A624="","",_xll.BDP($A624&amp;" Corp","PAYMENT_RANK"))</f>
        <v/>
      </c>
      <c r="F624" s="102">
        <f>IF($A624="","",_xll.BDP($A624&amp;" Corp","MATURITY"))</f>
        <v/>
      </c>
      <c r="G624" s="43">
        <f>IF($A624="","",PROPER(_xll.BDP($A624&amp;" Corp","COUNTRY_FULL_NAME")))</f>
        <v/>
      </c>
      <c r="H624" s="29">
        <f>IF($A624="","",_xll.BDP($A624&amp;" Corp","INDUSTRY_SECTOR"))</f>
        <v/>
      </c>
      <c r="I624" s="103">
        <f>IF($A624="","",IFERROR(_xll.BDP($A624&amp;" Corp","MIN_PIECE")/1000,""))</f>
        <v/>
      </c>
      <c r="J624" s="31">
        <f>IF($A624="","",_xll.BDP($A624&amp;" Corp","PX_LAST"))</f>
        <v/>
      </c>
      <c r="K624" s="31">
        <f>IF($A624="","",_xll.BDP($A624&amp;" Corp","YAS_BOND_YLD","YAS_YLD_FLAG=15"))</f>
        <v/>
      </c>
      <c r="L624" s="31">
        <f>IF($A624="","",K624-_xll.BDP($A624&amp;" Corp","YAS_BOND_YLD","YAS_YLD_FLAG=15","SETTLE_DT",Company_desc!$A$1))</f>
        <v/>
      </c>
      <c r="M624" s="31">
        <f>IF($A624="","",K624-_xll.BDP($A624&amp;" Corp","YAS_BOND_YLD","YAS_YLD_FLAG=15","SETTLE_DT",Company_desc!$A$2))</f>
        <v/>
      </c>
      <c r="N624" s="79">
        <f>IF($A624="","",_xll.BDP($A624&amp;" Corp","YAS_OAS_SPRD"))</f>
        <v/>
      </c>
      <c r="O624" s="67">
        <f>IF($A624="","",_xll.BDP($A624&amp;" Corp","YAS_MOD_DUR"))</f>
        <v/>
      </c>
      <c r="P624" s="79">
        <f>IF($A624="","",IFERROR(INDEX(Sheet1!$P:$P,MATCH($A624,Sheet1!$A:$A,0)),""))</f>
        <v/>
      </c>
      <c r="Q624" s="27">
        <f>IF($A624="","",IFERROR(INDEX(Company_desc!$C:$C,MATCH($A624,Company_desc!$A:$A,0)),IFERROR(INDEX(Sheet1!$Q:$Q,MATCH($A624,Sheet1!$A:$A,0)),"")))</f>
        <v/>
      </c>
      <c r="R624" s="27">
        <f>IF($A624="","",_xll.BDP($A624&amp;" Corp","CRNCY"))</f>
        <v/>
      </c>
      <c r="S624" s="27">
        <f>IF($A624="","",IFERROR(INDEX(Sheet1!$S:$S,MATCH($A624,Sheet1!$A:$A,0)),""))</f>
        <v/>
      </c>
      <c r="T624" s="47">
        <f>IF($A624="","",IFERROR(INDEX(Sheet1!$T:$T,MATCH($A624,Sheet1!$A:$A,0)),_xll.BDP($A624&amp;" Corp","RTG_SP")))</f>
        <v/>
      </c>
      <c r="U624" s="75">
        <f>IF($A624="","",IFERROR(INDEX(Sheet1!$U:$U,MATCH($A624,Sheet1!$A:$A,0)),""))</f>
        <v/>
      </c>
      <c r="W624" s="81">
        <f>IF($A624="","",N624-_xll.BDP($A624&amp;" Corp","YAS_OAS_SPRD","SETTLE_DT",Company_desc!$A$1))</f>
        <v/>
      </c>
      <c r="X624" s="81">
        <f>IF($A624="","",N624-_xll.BDP($A624&amp;" Corp","YAS_OAS_SPRD","SETTLE_DT",Company_desc!$A$2))</f>
        <v/>
      </c>
      <c r="Y624" s="80">
        <f>IF($A624="","",N624-_xll.BDP($A624&amp;" Corp","YAS_OAS_SPRD","SETTLE_DT",Company_desc!$D$1))</f>
        <v/>
      </c>
      <c r="Z624" s="82">
        <f>IF($A624="","",K624-_xll.BDP($A624&amp;" Corp","YAS_BOND_YLD","YAS_YLD_FLAG=15","SETTLE_DT",Company_desc!$D$1))</f>
        <v/>
      </c>
      <c r="AA624" s="80">
        <f>IF($A624="","",_xll.BDP($A624&amp;" Corp","YAS_OAS_SPRD","SETTLE_DT",Company_desc!$D$1))</f>
        <v/>
      </c>
    </row>
    <row r="625">
      <c r="B625" s="75">
        <f>IF($A625="","",IFERROR(INDEX(Sheet1!$B:$B,MATCH($A625,Sheet1!$A:$A,0)),""))</f>
        <v/>
      </c>
      <c r="C625" s="75">
        <f>IF($A625="","",PROPER(_xll.BDP($A625&amp;" Corp","NAME")))</f>
        <v/>
      </c>
      <c r="D625" s="76">
        <f>IF($A625="","",_xll.BDP($A625&amp;" Corp","CPN"))</f>
        <v/>
      </c>
      <c r="E625" s="75">
        <f>IF($A625="","",_xll.BDP($A625&amp;" Corp","PAYMENT_RANK"))</f>
        <v/>
      </c>
      <c r="F625" s="100">
        <f>IF($A625="","",_xll.BDP($A625&amp;" Corp","MATURITY"))</f>
        <v/>
      </c>
      <c r="G625" s="75">
        <f>IF($A625="","",PROPER(_xll.BDP($A625&amp;" Corp","COUNTRY_FULL_NAME")))</f>
        <v/>
      </c>
      <c r="H625" s="75">
        <f>IF($A625="","",_xll.BDP($A625&amp;" Corp","INDUSTRY_SECTOR"))</f>
        <v/>
      </c>
      <c r="I625" s="101">
        <f>IF($A625="","",IFERROR(_xll.BDP($A625&amp;" Corp","MIN_PIECE")/1000,""))</f>
        <v/>
      </c>
      <c r="J625" s="31">
        <f>IF($A625="","",_xll.BDP($A625&amp;" Corp","PX_LAST"))</f>
        <v/>
      </c>
      <c r="K625" s="31">
        <f>IF($A625="","",_xll.BDP($A625&amp;" Corp","YAS_BOND_YLD","YAS_YLD_FLAG=15"))</f>
        <v/>
      </c>
      <c r="L625" s="31">
        <f>IF($A625="","",K625-_xll.BDP($A625&amp;" Corp","YAS_BOND_YLD","YAS_YLD_FLAG=15","SETTLE_DT",Company_desc!$A$1))</f>
        <v/>
      </c>
      <c r="M625" s="31">
        <f>IF($A625="","",K625-_xll.BDP($A625&amp;" Corp","YAS_BOND_YLD","YAS_YLD_FLAG=15","SETTLE_DT",Company_desc!$A$2))</f>
        <v/>
      </c>
      <c r="N625" s="79">
        <f>IF($A625="","",_xll.BDP($A625&amp;" Corp","YAS_OAS_SPRD"))</f>
        <v/>
      </c>
      <c r="O625" s="67">
        <f>IF($A625="","",_xll.BDP($A625&amp;" Corp","YAS_MOD_DUR"))</f>
        <v/>
      </c>
      <c r="P625" s="80">
        <f>IF($A625="","",IFERROR(INDEX(Sheet1!$P:$P,MATCH($A625,Sheet1!$A:$A,0)),""))</f>
        <v/>
      </c>
      <c r="Q625" s="75">
        <f>IF($A625="","",IFERROR(INDEX(Company_desc!$C:$C,MATCH($A625,Company_desc!$A:$A,0)),IFERROR(INDEX(Sheet1!$Q:$Q,MATCH($A625,Sheet1!$A:$A,0)),"")))</f>
        <v/>
      </c>
      <c r="R625" s="75">
        <f>IF($A625="","",_xll.BDP($A625&amp;" Corp","CRNCY"))</f>
        <v/>
      </c>
      <c r="S625" s="75">
        <f>IF($A625="","",IFERROR(INDEX(Sheet1!$S:$S,MATCH($A625,Sheet1!$A:$A,0)),""))</f>
        <v/>
      </c>
      <c r="T625" s="75">
        <f>IF($A625="","",IFERROR(INDEX(Sheet1!$T:$T,MATCH($A625,Sheet1!$A:$A,0)),_xll.BDP($A625&amp;" Corp","RTG_SP")))</f>
        <v/>
      </c>
      <c r="U625" s="75">
        <f>IF($A625="","",IFERROR(INDEX(Sheet1!$U:$U,MATCH($A625,Sheet1!$A:$A,0)),""))</f>
        <v/>
      </c>
      <c r="W625" s="81">
        <f>IF($A625="","",N625-_xll.BDP($A625&amp;" Corp","YAS_OAS_SPRD","SETTLE_DT",Company_desc!$A$1))</f>
        <v/>
      </c>
      <c r="X625" s="81">
        <f>IF($A625="","",N625-_xll.BDP($A625&amp;" Corp","YAS_OAS_SPRD","SETTLE_DT",Company_desc!$A$2))</f>
        <v/>
      </c>
      <c r="Y625" s="80">
        <f>IF($A625="","",N625-_xll.BDP($A625&amp;" Corp","YAS_OAS_SPRD","SETTLE_DT",Company_desc!$D$1))</f>
        <v/>
      </c>
      <c r="Z625" s="82">
        <f>IF($A625="","",K625-_xll.BDP($A625&amp;" Corp","YAS_BOND_YLD","YAS_YLD_FLAG=15","SETTLE_DT",Company_desc!$D$1))</f>
        <v/>
      </c>
      <c r="AA625" s="80">
        <f>IF($A625="","",_xll.BDP($A625&amp;" Corp","YAS_OAS_SPRD","SETTLE_DT",Company_desc!$D$1))</f>
        <v/>
      </c>
    </row>
    <row r="626">
      <c r="B626" s="75">
        <f>IF($A626="","",IFERROR(INDEX(Sheet1!$B:$B,MATCH($A626,Sheet1!$A:$A,0)),""))</f>
        <v/>
      </c>
      <c r="C626" s="75">
        <f>IF($A626="","",PROPER(_xll.BDP($A626&amp;" Corp","NAME")))</f>
        <v/>
      </c>
      <c r="D626" s="76">
        <f>IF($A626="","",_xll.BDP($A626&amp;" Corp","CPN"))</f>
        <v/>
      </c>
      <c r="E626" s="75">
        <f>IF($A626="","",_xll.BDP($A626&amp;" Corp","PAYMENT_RANK"))</f>
        <v/>
      </c>
      <c r="F626" s="100">
        <f>IF($A626="","",_xll.BDP($A626&amp;" Corp","MATURITY"))</f>
        <v/>
      </c>
      <c r="G626" s="75">
        <f>IF($A626="","",PROPER(_xll.BDP($A626&amp;" Corp","COUNTRY_FULL_NAME")))</f>
        <v/>
      </c>
      <c r="H626" s="75">
        <f>IF($A626="","",_xll.BDP($A626&amp;" Corp","INDUSTRY_SECTOR"))</f>
        <v/>
      </c>
      <c r="I626" s="101">
        <f>IF($A626="","",IFERROR(_xll.BDP($A626&amp;" Corp","MIN_PIECE")/1000,""))</f>
        <v/>
      </c>
      <c r="J626" s="31">
        <f>IF($A626="","",_xll.BDP($A626&amp;" Corp","PX_LAST"))</f>
        <v/>
      </c>
      <c r="K626" s="31">
        <f>IF($A626="","",_xll.BDP($A626&amp;" Corp","YAS_BOND_YLD","YAS_YLD_FLAG=15"))</f>
        <v/>
      </c>
      <c r="L626" s="31">
        <f>IF($A626="","",K626-_xll.BDP($A626&amp;" Corp","YAS_BOND_YLD","YAS_YLD_FLAG=15","SETTLE_DT",Company_desc!$A$1))</f>
        <v/>
      </c>
      <c r="M626" s="31">
        <f>IF($A626="","",K626-_xll.BDP($A626&amp;" Corp","YAS_BOND_YLD","YAS_YLD_FLAG=15","SETTLE_DT",Company_desc!$A$2))</f>
        <v/>
      </c>
      <c r="N626" s="79">
        <f>IF($A626="","",_xll.BDP($A626&amp;" Corp","YAS_OAS_SPRD"))</f>
        <v/>
      </c>
      <c r="O626" s="67">
        <f>IF($A626="","",_xll.BDP($A626&amp;" Corp","YAS_MOD_DUR"))</f>
        <v/>
      </c>
      <c r="P626" s="80">
        <f>IF($A626="","",IFERROR(INDEX(Sheet1!$P:$P,MATCH($A626,Sheet1!$A:$A,0)),""))</f>
        <v/>
      </c>
      <c r="Q626" s="75">
        <f>IF($A626="","",IFERROR(INDEX(Company_desc!$C:$C,MATCH($A626,Company_desc!$A:$A,0)),IFERROR(INDEX(Sheet1!$Q:$Q,MATCH($A626,Sheet1!$A:$A,0)),"")))</f>
        <v/>
      </c>
      <c r="R626" s="75">
        <f>IF($A626="","",_xll.BDP($A626&amp;" Corp","CRNCY"))</f>
        <v/>
      </c>
      <c r="S626" s="75">
        <f>IF($A626="","",IFERROR(INDEX(Sheet1!$S:$S,MATCH($A626,Sheet1!$A:$A,0)),""))</f>
        <v/>
      </c>
      <c r="T626" s="75">
        <f>IF($A626="","",IFERROR(INDEX(Sheet1!$T:$T,MATCH($A626,Sheet1!$A:$A,0)),_xll.BDP($A626&amp;" Corp","RTG_SP")))</f>
        <v/>
      </c>
      <c r="U626" s="75">
        <f>IF($A626="","",IFERROR(INDEX(Sheet1!$U:$U,MATCH($A626,Sheet1!$A:$A,0)),""))</f>
        <v/>
      </c>
      <c r="W626" s="81">
        <f>IF($A626="","",N626-_xll.BDP($A626&amp;" Corp","YAS_OAS_SPRD","SETTLE_DT",Company_desc!$A$1))</f>
        <v/>
      </c>
      <c r="X626" s="81">
        <f>IF($A626="","",N626-_xll.BDP($A626&amp;" Corp","YAS_OAS_SPRD","SETTLE_DT",Company_desc!$A$2))</f>
        <v/>
      </c>
      <c r="Y626" s="80">
        <f>IF($A626="","",N626-_xll.BDP($A626&amp;" Corp","YAS_OAS_SPRD","SETTLE_DT",Company_desc!$D$1))</f>
        <v/>
      </c>
      <c r="Z626" s="82">
        <f>IF($A626="","",K626-_xll.BDP($A626&amp;" Corp","YAS_BOND_YLD","YAS_YLD_FLAG=15","SETTLE_DT",Company_desc!$D$1))</f>
        <v/>
      </c>
      <c r="AA626" s="80">
        <f>IF($A626="","",_xll.BDP($A626&amp;" Corp","YAS_OAS_SPRD","SETTLE_DT",Company_desc!$D$1))</f>
        <v/>
      </c>
    </row>
    <row r="627">
      <c r="B627" s="75">
        <f>IF($A627="","",IFERROR(INDEX(Sheet1!$B:$B,MATCH($A627,Sheet1!$A:$A,0)),""))</f>
        <v/>
      </c>
      <c r="C627" s="75">
        <f>IF($A627="","",PROPER(_xll.BDP($A627&amp;" Corp","NAME")))</f>
        <v/>
      </c>
      <c r="D627" s="76">
        <f>IF($A627="","",_xll.BDP($A627&amp;" Corp","CPN"))</f>
        <v/>
      </c>
      <c r="E627" s="75">
        <f>IF($A627="","",_xll.BDP($A627&amp;" Corp","PAYMENT_RANK"))</f>
        <v/>
      </c>
      <c r="F627" s="100">
        <f>IF($A627="","",_xll.BDP($A627&amp;" Corp","MATURITY"))</f>
        <v/>
      </c>
      <c r="G627" s="75">
        <f>IF($A627="","",PROPER(_xll.BDP($A627&amp;" Corp","COUNTRY_FULL_NAME")))</f>
        <v/>
      </c>
      <c r="H627" s="75">
        <f>IF($A627="","",_xll.BDP($A627&amp;" Corp","INDUSTRY_SECTOR"))</f>
        <v/>
      </c>
      <c r="I627" s="101">
        <f>IF($A627="","",IFERROR(_xll.BDP($A627&amp;" Corp","MIN_PIECE")/1000,""))</f>
        <v/>
      </c>
      <c r="J627" s="31">
        <f>IF($A627="","",_xll.BDP($A627&amp;" Corp","PX_LAST"))</f>
        <v/>
      </c>
      <c r="K627" s="31">
        <f>IF($A627="","",_xll.BDP($A627&amp;" Corp","YAS_BOND_YLD","YAS_YLD_FLAG=15"))</f>
        <v/>
      </c>
      <c r="L627" s="31">
        <f>IF($A627="","",K627-_xll.BDP($A627&amp;" Corp","YAS_BOND_YLD","YAS_YLD_FLAG=15","SETTLE_DT",Company_desc!$A$1))</f>
        <v/>
      </c>
      <c r="M627" s="31">
        <f>IF($A627="","",K627-_xll.BDP($A627&amp;" Corp","YAS_BOND_YLD","YAS_YLD_FLAG=15","SETTLE_DT",Company_desc!$A$2))</f>
        <v/>
      </c>
      <c r="N627" s="79">
        <f>IF($A627="","",_xll.BDP($A627&amp;" Corp","YAS_OAS_SPRD"))</f>
        <v/>
      </c>
      <c r="O627" s="82">
        <f>IF($A627="","",_xll.BDP($A627&amp;" Corp","YAS_MOD_DUR"))</f>
        <v/>
      </c>
      <c r="P627" s="80">
        <f>IF($A627="","",IFERROR(INDEX(Sheet1!$P:$P,MATCH($A627,Sheet1!$A:$A,0)),""))</f>
        <v/>
      </c>
      <c r="Q627" s="75">
        <f>IF($A627="","",IFERROR(INDEX(Company_desc!$C:$C,MATCH($A627,Company_desc!$A:$A,0)),IFERROR(INDEX(Sheet1!$Q:$Q,MATCH($A627,Sheet1!$A:$A,0)),"")))</f>
        <v/>
      </c>
      <c r="R627" s="75">
        <f>IF($A627="","",_xll.BDP($A627&amp;" Corp","CRNCY"))</f>
        <v/>
      </c>
      <c r="S627" s="75">
        <f>IF($A627="","",IFERROR(INDEX(Sheet1!$S:$S,MATCH($A627,Sheet1!$A:$A,0)),""))</f>
        <v/>
      </c>
      <c r="T627" s="75">
        <f>IF($A627="","",IFERROR(INDEX(Sheet1!$T:$T,MATCH($A627,Sheet1!$A:$A,0)),_xll.BDP($A627&amp;" Corp","RTG_SP")))</f>
        <v/>
      </c>
      <c r="U627" s="83">
        <f>IF($A627="","",IFERROR(INDEX(Sheet1!$U:$U,MATCH($A627,Sheet1!$A:$A,0)),""))</f>
        <v/>
      </c>
      <c r="W627" s="81">
        <f>IF($A627="","",N627-_xll.BDP($A627&amp;" Corp","YAS_OAS_SPRD","SETTLE_DT",Company_desc!$A$1))</f>
        <v/>
      </c>
      <c r="X627" s="81">
        <f>IF($A627="","",N627-_xll.BDP($A627&amp;" Corp","YAS_OAS_SPRD","SETTLE_DT",Company_desc!$A$2))</f>
        <v/>
      </c>
      <c r="Y627" s="80">
        <f>IF($A627="","",N627-_xll.BDP($A627&amp;" Corp","YAS_OAS_SPRD","SETTLE_DT",Company_desc!$D$1))</f>
        <v/>
      </c>
      <c r="Z627" s="82">
        <f>IF($A627="","",K627-_xll.BDP($A627&amp;" Corp","YAS_BOND_YLD","YAS_YLD_FLAG=15","SETTLE_DT",Company_desc!$D$1))</f>
        <v/>
      </c>
      <c r="AA627" s="80">
        <f>IF($A627="","",_xll.BDP($A627&amp;" Corp","YAS_OAS_SPRD","SETTLE_DT",Company_desc!$D$1))</f>
        <v/>
      </c>
    </row>
    <row r="628">
      <c r="B628" s="28">
        <f>IF($A628="","",IFERROR(INDEX(Sheet1!$B:$B,MATCH($A628,Sheet1!$A:$A,0)),""))</f>
        <v/>
      </c>
      <c r="C628" s="29">
        <f>IF($A628="","",PROPER(_xll.BDP($A628&amp;" Corp","NAME")))</f>
        <v/>
      </c>
      <c r="D628" s="84">
        <f>IF($A628="","",_xll.BDP($A628&amp;" Corp","CPN"))</f>
        <v/>
      </c>
      <c r="E628" s="84">
        <f>IF($A628="","",_xll.BDP($A628&amp;" Corp","PAYMENT_RANK"))</f>
        <v/>
      </c>
      <c r="F628" s="102">
        <f>IF($A628="","",_xll.BDP($A628&amp;" Corp","MATURITY"))</f>
        <v/>
      </c>
      <c r="G628" s="43">
        <f>IF($A628="","",PROPER(_xll.BDP($A628&amp;" Corp","COUNTRY_FULL_NAME")))</f>
        <v/>
      </c>
      <c r="H628" s="29">
        <f>IF($A628="","",_xll.BDP($A628&amp;" Corp","INDUSTRY_SECTOR"))</f>
        <v/>
      </c>
      <c r="I628" s="103">
        <f>IF($A628="","",IFERROR(_xll.BDP($A628&amp;" Corp","MIN_PIECE")/1000,""))</f>
        <v/>
      </c>
      <c r="J628" s="31">
        <f>IF($A628="","",_xll.BDP($A628&amp;" Corp","PX_LAST"))</f>
        <v/>
      </c>
      <c r="K628" s="31">
        <f>IF($A628="","",_xll.BDP($A628&amp;" Corp","YAS_BOND_YLD","YAS_YLD_FLAG=15"))</f>
        <v/>
      </c>
      <c r="L628" s="31">
        <f>IF($A628="","",K628-_xll.BDP($A628&amp;" Corp","YAS_BOND_YLD","YAS_YLD_FLAG=15","SETTLE_DT",Company_desc!$A$1))</f>
        <v/>
      </c>
      <c r="M628" s="31">
        <f>IF($A628="","",K628-_xll.BDP($A628&amp;" Corp","YAS_BOND_YLD","YAS_YLD_FLAG=15","SETTLE_DT",Company_desc!$A$2))</f>
        <v/>
      </c>
      <c r="N628" s="79">
        <f>IF($A628="","",_xll.BDP($A628&amp;" Corp","YAS_OAS_SPRD"))</f>
        <v/>
      </c>
      <c r="O628" s="67">
        <f>IF($A628="","",_xll.BDP($A628&amp;" Corp","YAS_MOD_DUR"))</f>
        <v/>
      </c>
      <c r="P628" s="79">
        <f>IF($A628="","",IFERROR(INDEX(Sheet1!$P:$P,MATCH($A628,Sheet1!$A:$A,0)),""))</f>
        <v/>
      </c>
      <c r="Q628" s="27">
        <f>IF($A628="","",IFERROR(INDEX(Company_desc!$C:$C,MATCH($A628,Company_desc!$A:$A,0)),IFERROR(INDEX(Sheet1!$Q:$Q,MATCH($A628,Sheet1!$A:$A,0)),"")))</f>
        <v/>
      </c>
      <c r="R628" s="27">
        <f>IF($A628="","",_xll.BDP($A628&amp;" Corp","CRNCY"))</f>
        <v/>
      </c>
      <c r="S628" s="27">
        <f>IF($A628="","",IFERROR(INDEX(Sheet1!$S:$S,MATCH($A628,Sheet1!$A:$A,0)),""))</f>
        <v/>
      </c>
      <c r="T628" s="47">
        <f>IF($A628="","",IFERROR(INDEX(Sheet1!$T:$T,MATCH($A628,Sheet1!$A:$A,0)),_xll.BDP($A628&amp;" Corp","RTG_SP")))</f>
        <v/>
      </c>
      <c r="U628" s="75">
        <f>IF($A628="","",IFERROR(INDEX(Sheet1!$U:$U,MATCH($A628,Sheet1!$A:$A,0)),""))</f>
        <v/>
      </c>
      <c r="W628" s="81">
        <f>IF($A628="","",N628-_xll.BDP($A628&amp;" Corp","YAS_OAS_SPRD","SETTLE_DT",Company_desc!$A$1))</f>
        <v/>
      </c>
      <c r="X628" s="81">
        <f>IF($A628="","",N628-_xll.BDP($A628&amp;" Corp","YAS_OAS_SPRD","SETTLE_DT",Company_desc!$A$2))</f>
        <v/>
      </c>
      <c r="Y628" s="80">
        <f>IF($A628="","",N628-_xll.BDP($A628&amp;" Corp","YAS_OAS_SPRD","SETTLE_DT",Company_desc!$D$1))</f>
        <v/>
      </c>
      <c r="Z628" s="82">
        <f>IF($A628="","",K628-_xll.BDP($A628&amp;" Corp","YAS_BOND_YLD","YAS_YLD_FLAG=15","SETTLE_DT",Company_desc!$D$1))</f>
        <v/>
      </c>
      <c r="AA628" s="80">
        <f>IF($A628="","",_xll.BDP($A628&amp;" Corp","YAS_OAS_SPRD","SETTLE_DT",Company_desc!$D$1))</f>
        <v/>
      </c>
    </row>
    <row r="629">
      <c r="B629" s="75">
        <f>IF($A629="","",IFERROR(INDEX(Sheet1!$B:$B,MATCH($A629,Sheet1!$A:$A,0)),""))</f>
        <v/>
      </c>
      <c r="C629" s="75">
        <f>IF($A629="","",PROPER(_xll.BDP($A629&amp;" Corp","NAME")))</f>
        <v/>
      </c>
      <c r="D629" s="76">
        <f>IF($A629="","",_xll.BDP($A629&amp;" Corp","CPN"))</f>
        <v/>
      </c>
      <c r="E629" s="75">
        <f>IF($A629="","",_xll.BDP($A629&amp;" Corp","PAYMENT_RANK"))</f>
        <v/>
      </c>
      <c r="F629" s="100">
        <f>IF($A629="","",_xll.BDP($A629&amp;" Corp","MATURITY"))</f>
        <v/>
      </c>
      <c r="G629" s="75">
        <f>IF($A629="","",PROPER(_xll.BDP($A629&amp;" Corp","COUNTRY_FULL_NAME")))</f>
        <v/>
      </c>
      <c r="H629" s="75">
        <f>IF($A629="","",_xll.BDP($A629&amp;" Corp","INDUSTRY_SECTOR"))</f>
        <v/>
      </c>
      <c r="I629" s="101">
        <f>IF($A629="","",IFERROR(_xll.BDP($A629&amp;" Corp","MIN_PIECE")/1000,""))</f>
        <v/>
      </c>
      <c r="J629" s="31">
        <f>IF($A629="","",_xll.BDP($A629&amp;" Corp","PX_LAST"))</f>
        <v/>
      </c>
      <c r="K629" s="31">
        <f>IF($A629="","",_xll.BDP($A629&amp;" Corp","YAS_BOND_YLD","YAS_YLD_FLAG=15"))</f>
        <v/>
      </c>
      <c r="L629" s="31">
        <f>IF($A629="","",K629-_xll.BDP($A629&amp;" Corp","YAS_BOND_YLD","YAS_YLD_FLAG=15","SETTLE_DT",Company_desc!$A$1))</f>
        <v/>
      </c>
      <c r="M629" s="31">
        <f>IF($A629="","",K629-_xll.BDP($A629&amp;" Corp","YAS_BOND_YLD","YAS_YLD_FLAG=15","SETTLE_DT",Company_desc!$A$2))</f>
        <v/>
      </c>
      <c r="N629" s="79">
        <f>IF($A629="","",_xll.BDP($A629&amp;" Corp","YAS_OAS_SPRD"))</f>
        <v/>
      </c>
      <c r="O629" s="67">
        <f>IF($A629="","",_xll.BDP($A629&amp;" Corp","YAS_MOD_DUR"))</f>
        <v/>
      </c>
      <c r="P629" s="80">
        <f>IF($A629="","",IFERROR(INDEX(Sheet1!$P:$P,MATCH($A629,Sheet1!$A:$A,0)),""))</f>
        <v/>
      </c>
      <c r="Q629" s="75">
        <f>IF($A629="","",IFERROR(INDEX(Company_desc!$C:$C,MATCH($A629,Company_desc!$A:$A,0)),IFERROR(INDEX(Sheet1!$Q:$Q,MATCH($A629,Sheet1!$A:$A,0)),"")))</f>
        <v/>
      </c>
      <c r="R629" s="75">
        <f>IF($A629="","",_xll.BDP($A629&amp;" Corp","CRNCY"))</f>
        <v/>
      </c>
      <c r="S629" s="75">
        <f>IF($A629="","",IFERROR(INDEX(Sheet1!$S:$S,MATCH($A629,Sheet1!$A:$A,0)),""))</f>
        <v/>
      </c>
      <c r="T629" s="75">
        <f>IF($A629="","",IFERROR(INDEX(Sheet1!$T:$T,MATCH($A629,Sheet1!$A:$A,0)),_xll.BDP($A629&amp;" Corp","RTG_SP")))</f>
        <v/>
      </c>
      <c r="U629" s="75">
        <f>IF($A629="","",IFERROR(INDEX(Sheet1!$U:$U,MATCH($A629,Sheet1!$A:$A,0)),""))</f>
        <v/>
      </c>
      <c r="W629" s="81">
        <f>IF($A629="","",N629-_xll.BDP($A629&amp;" Corp","YAS_OAS_SPRD","SETTLE_DT",Company_desc!$A$1))</f>
        <v/>
      </c>
      <c r="X629" s="81">
        <f>IF($A629="","",N629-_xll.BDP($A629&amp;" Corp","YAS_OAS_SPRD","SETTLE_DT",Company_desc!$A$2))</f>
        <v/>
      </c>
      <c r="Y629" s="80">
        <f>IF($A629="","",N629-_xll.BDP($A629&amp;" Corp","YAS_OAS_SPRD","SETTLE_DT",Company_desc!$D$1))</f>
        <v/>
      </c>
      <c r="Z629" s="82">
        <f>IF($A629="","",K629-_xll.BDP($A629&amp;" Corp","YAS_BOND_YLD","YAS_YLD_FLAG=15","SETTLE_DT",Company_desc!$D$1))</f>
        <v/>
      </c>
      <c r="AA629" s="80">
        <f>IF($A629="","",_xll.BDP($A629&amp;" Corp","YAS_OAS_SPRD","SETTLE_DT",Company_desc!$D$1))</f>
        <v/>
      </c>
    </row>
    <row r="630">
      <c r="B630" s="75">
        <f>IF($A630="","",IFERROR(INDEX(Sheet1!$B:$B,MATCH($A630,Sheet1!$A:$A,0)),""))</f>
        <v/>
      </c>
      <c r="C630" s="75">
        <f>IF($A630="","",PROPER(_xll.BDP($A630&amp;" Corp","NAME")))</f>
        <v/>
      </c>
      <c r="D630" s="76">
        <f>IF($A630="","",_xll.BDP($A630&amp;" Corp","CPN"))</f>
        <v/>
      </c>
      <c r="E630" s="75">
        <f>IF($A630="","",_xll.BDP($A630&amp;" Corp","PAYMENT_RANK"))</f>
        <v/>
      </c>
      <c r="F630" s="100">
        <f>IF($A630="","",_xll.BDP($A630&amp;" Corp","MATURITY"))</f>
        <v/>
      </c>
      <c r="G630" s="75">
        <f>IF($A630="","",PROPER(_xll.BDP($A630&amp;" Corp","COUNTRY_FULL_NAME")))</f>
        <v/>
      </c>
      <c r="H630" s="75">
        <f>IF($A630="","",_xll.BDP($A630&amp;" Corp","INDUSTRY_SECTOR"))</f>
        <v/>
      </c>
      <c r="I630" s="101">
        <f>IF($A630="","",IFERROR(_xll.BDP($A630&amp;" Corp","MIN_PIECE")/1000,""))</f>
        <v/>
      </c>
      <c r="J630" s="31">
        <f>IF($A630="","",_xll.BDP($A630&amp;" Corp","PX_LAST"))</f>
        <v/>
      </c>
      <c r="K630" s="31">
        <f>IF($A630="","",_xll.BDP($A630&amp;" Corp","YAS_BOND_YLD","YAS_YLD_FLAG=15"))</f>
        <v/>
      </c>
      <c r="L630" s="31">
        <f>IF($A630="","",K630-_xll.BDP($A630&amp;" Corp","YAS_BOND_YLD","YAS_YLD_FLAG=15","SETTLE_DT",Company_desc!$A$1))</f>
        <v/>
      </c>
      <c r="M630" s="31">
        <f>IF($A630="","",K630-_xll.BDP($A630&amp;" Corp","YAS_BOND_YLD","YAS_YLD_FLAG=15","SETTLE_DT",Company_desc!$A$2))</f>
        <v/>
      </c>
      <c r="N630" s="79">
        <f>IF($A630="","",_xll.BDP($A630&amp;" Corp","YAS_OAS_SPRD"))</f>
        <v/>
      </c>
      <c r="O630" s="82">
        <f>IF($A630="","",_xll.BDP($A630&amp;" Corp","YAS_MOD_DUR"))</f>
        <v/>
      </c>
      <c r="P630" s="80">
        <f>IF($A630="","",IFERROR(INDEX(Sheet1!$P:$P,MATCH($A630,Sheet1!$A:$A,0)),""))</f>
        <v/>
      </c>
      <c r="Q630" s="75">
        <f>IF($A630="","",IFERROR(INDEX(Company_desc!$C:$C,MATCH($A630,Company_desc!$A:$A,0)),IFERROR(INDEX(Sheet1!$Q:$Q,MATCH($A630,Sheet1!$A:$A,0)),"")))</f>
        <v/>
      </c>
      <c r="R630" s="75">
        <f>IF($A630="","",_xll.BDP($A630&amp;" Corp","CRNCY"))</f>
        <v/>
      </c>
      <c r="S630" s="75">
        <f>IF($A630="","",IFERROR(INDEX(Sheet1!$S:$S,MATCH($A630,Sheet1!$A:$A,0)),""))</f>
        <v/>
      </c>
      <c r="T630" s="75">
        <f>IF($A630="","",IFERROR(INDEX(Sheet1!$T:$T,MATCH($A630,Sheet1!$A:$A,0)),_xll.BDP($A630&amp;" Corp","RTG_SP")))</f>
        <v/>
      </c>
      <c r="U630" s="75">
        <f>IF($A630="","",IFERROR(INDEX(Sheet1!$U:$U,MATCH($A630,Sheet1!$A:$A,0)),""))</f>
        <v/>
      </c>
      <c r="W630" s="81">
        <f>IF($A630="","",N630-_xll.BDP($A630&amp;" Corp","YAS_OAS_SPRD","SETTLE_DT",Company_desc!$A$1))</f>
        <v/>
      </c>
      <c r="X630" s="81">
        <f>IF($A630="","",N630-_xll.BDP($A630&amp;" Corp","YAS_OAS_SPRD","SETTLE_DT",Company_desc!$A$2))</f>
        <v/>
      </c>
      <c r="Y630" s="80">
        <f>IF($A630="","",N630-_xll.BDP($A630&amp;" Corp","YAS_OAS_SPRD","SETTLE_DT",Company_desc!$D$1))</f>
        <v/>
      </c>
      <c r="Z630" s="82">
        <f>IF($A630="","",K630-_xll.BDP($A630&amp;" Corp","YAS_BOND_YLD","YAS_YLD_FLAG=15","SETTLE_DT",Company_desc!$D$1))</f>
        <v/>
      </c>
      <c r="AA630" s="80">
        <f>IF($A630="","",_xll.BDP($A630&amp;" Corp","YAS_OAS_SPRD","SETTLE_DT",Company_desc!$D$1))</f>
        <v/>
      </c>
    </row>
    <row r="631">
      <c r="B631" s="75">
        <f>IF($A631="","",IFERROR(INDEX(Sheet1!$B:$B,MATCH($A631,Sheet1!$A:$A,0)),""))</f>
        <v/>
      </c>
      <c r="C631" s="75">
        <f>IF($A631="","",PROPER(_xll.BDP($A631&amp;" Corp","NAME")))</f>
        <v/>
      </c>
      <c r="D631" s="76">
        <f>IF($A631="","",_xll.BDP($A631&amp;" Corp","CPN"))</f>
        <v/>
      </c>
      <c r="E631" s="75">
        <f>IF($A631="","",_xll.BDP($A631&amp;" Corp","PAYMENT_RANK"))</f>
        <v/>
      </c>
      <c r="F631" s="100">
        <f>IF($A631="","",_xll.BDP($A631&amp;" Corp","MATURITY"))</f>
        <v/>
      </c>
      <c r="G631" s="75">
        <f>IF($A631="","",PROPER(_xll.BDP($A631&amp;" Corp","COUNTRY_FULL_NAME")))</f>
        <v/>
      </c>
      <c r="H631" s="75">
        <f>IF($A631="","",_xll.BDP($A631&amp;" Corp","INDUSTRY_SECTOR"))</f>
        <v/>
      </c>
      <c r="I631" s="101">
        <f>IF($A631="","",IFERROR(_xll.BDP($A631&amp;" Corp","MIN_PIECE")/1000,""))</f>
        <v/>
      </c>
      <c r="J631" s="31">
        <f>IF($A631="","",_xll.BDP($A631&amp;" Corp","PX_LAST"))</f>
        <v/>
      </c>
      <c r="K631" s="31">
        <f>IF($A631="","",_xll.BDP($A631&amp;" Corp","YAS_BOND_YLD","YAS_YLD_FLAG=15"))</f>
        <v/>
      </c>
      <c r="L631" s="31">
        <f>IF($A631="","",K631-_xll.BDP($A631&amp;" Corp","YAS_BOND_YLD","YAS_YLD_FLAG=15","SETTLE_DT",Company_desc!$A$1))</f>
        <v/>
      </c>
      <c r="M631" s="31">
        <f>IF($A631="","",K631-_xll.BDP($A631&amp;" Corp","YAS_BOND_YLD","YAS_YLD_FLAG=15","SETTLE_DT",Company_desc!$A$2))</f>
        <v/>
      </c>
      <c r="N631" s="79">
        <f>IF($A631="","",_xll.BDP($A631&amp;" Corp","YAS_OAS_SPRD"))</f>
        <v/>
      </c>
      <c r="O631" s="82">
        <f>IF($A631="","",_xll.BDP($A631&amp;" Corp","YAS_MOD_DUR"))</f>
        <v/>
      </c>
      <c r="P631" s="80">
        <f>IF($A631="","",IFERROR(INDEX(Sheet1!$P:$P,MATCH($A631,Sheet1!$A:$A,0)),""))</f>
        <v/>
      </c>
      <c r="Q631" s="75">
        <f>IF($A631="","",IFERROR(INDEX(Company_desc!$C:$C,MATCH($A631,Company_desc!$A:$A,0)),IFERROR(INDEX(Sheet1!$Q:$Q,MATCH($A631,Sheet1!$A:$A,0)),"")))</f>
        <v/>
      </c>
      <c r="R631" s="75">
        <f>IF($A631="","",_xll.BDP($A631&amp;" Corp","CRNCY"))</f>
        <v/>
      </c>
      <c r="S631" s="75">
        <f>IF($A631="","",IFERROR(INDEX(Sheet1!$S:$S,MATCH($A631,Sheet1!$A:$A,0)),""))</f>
        <v/>
      </c>
      <c r="T631" s="75">
        <f>IF($A631="","",IFERROR(INDEX(Sheet1!$T:$T,MATCH($A631,Sheet1!$A:$A,0)),_xll.BDP($A631&amp;" Corp","RTG_SP")))</f>
        <v/>
      </c>
      <c r="U631" s="75">
        <f>IF($A631="","",IFERROR(INDEX(Sheet1!$U:$U,MATCH($A631,Sheet1!$A:$A,0)),""))</f>
        <v/>
      </c>
      <c r="W631" s="81">
        <f>IF($A631="","",N631-_xll.BDP($A631&amp;" Corp","YAS_OAS_SPRD","SETTLE_DT",Company_desc!$A$1))</f>
        <v/>
      </c>
      <c r="X631" s="81">
        <f>IF($A631="","",N631-_xll.BDP($A631&amp;" Corp","YAS_OAS_SPRD","SETTLE_DT",Company_desc!$A$2))</f>
        <v/>
      </c>
      <c r="Y631" s="80">
        <f>IF($A631="","",N631-_xll.BDP($A631&amp;" Corp","YAS_OAS_SPRD","SETTLE_DT",Company_desc!$D$1))</f>
        <v/>
      </c>
      <c r="Z631" s="82">
        <f>IF($A631="","",K631-_xll.BDP($A631&amp;" Corp","YAS_BOND_YLD","YAS_YLD_FLAG=15","SETTLE_DT",Company_desc!$D$1))</f>
        <v/>
      </c>
      <c r="AA631" s="80">
        <f>IF($A631="","",_xll.BDP($A631&amp;" Corp","YAS_OAS_SPRD","SETTLE_DT",Company_desc!$D$1))</f>
        <v/>
      </c>
    </row>
    <row r="632">
      <c r="B632" s="75">
        <f>IF($A632="","",IFERROR(INDEX(Sheet1!$B:$B,MATCH($A632,Sheet1!$A:$A,0)),""))</f>
        <v/>
      </c>
      <c r="C632" s="75">
        <f>IF($A632="","",PROPER(_xll.BDP($A632&amp;" Corp","NAME")))</f>
        <v/>
      </c>
      <c r="D632" s="76">
        <f>IF($A632="","",_xll.BDP($A632&amp;" Corp","CPN"))</f>
        <v/>
      </c>
      <c r="E632" s="75">
        <f>IF($A632="","",_xll.BDP($A632&amp;" Corp","PAYMENT_RANK"))</f>
        <v/>
      </c>
      <c r="F632" s="100">
        <f>IF($A632="","",_xll.BDP($A632&amp;" Corp","MATURITY"))</f>
        <v/>
      </c>
      <c r="G632" s="75">
        <f>IF($A632="","",PROPER(_xll.BDP($A632&amp;" Corp","COUNTRY_FULL_NAME")))</f>
        <v/>
      </c>
      <c r="H632" s="75">
        <f>IF($A632="","",_xll.BDP($A632&amp;" Corp","INDUSTRY_SECTOR"))</f>
        <v/>
      </c>
      <c r="I632" s="101">
        <f>IF($A632="","",IFERROR(_xll.BDP($A632&amp;" Corp","MIN_PIECE")/1000,""))</f>
        <v/>
      </c>
      <c r="J632" s="31">
        <f>IF($A632="","",_xll.BDP($A632&amp;" Corp","PX_LAST"))</f>
        <v/>
      </c>
      <c r="K632" s="31">
        <f>IF($A632="","",_xll.BDP($A632&amp;" Corp","YAS_BOND_YLD","YAS_YLD_FLAG=15"))</f>
        <v/>
      </c>
      <c r="L632" s="31">
        <f>IF($A632="","",K632-_xll.BDP($A632&amp;" Corp","YAS_BOND_YLD","YAS_YLD_FLAG=15","SETTLE_DT",Company_desc!$A$1))</f>
        <v/>
      </c>
      <c r="M632" s="31">
        <f>IF($A632="","",K632-_xll.BDP($A632&amp;" Corp","YAS_BOND_YLD","YAS_YLD_FLAG=15","SETTLE_DT",Company_desc!$A$2))</f>
        <v/>
      </c>
      <c r="N632" s="79">
        <f>IF($A632="","",_xll.BDP($A632&amp;" Corp","YAS_OAS_SPRD"))</f>
        <v/>
      </c>
      <c r="O632" s="67">
        <f>IF($A632="","",_xll.BDP($A632&amp;" Corp","YAS_MOD_DUR"))</f>
        <v/>
      </c>
      <c r="P632" s="80">
        <f>IF($A632="","",IFERROR(INDEX(Sheet1!$P:$P,MATCH($A632,Sheet1!$A:$A,0)),""))</f>
        <v/>
      </c>
      <c r="Q632" s="75">
        <f>IF($A632="","",IFERROR(INDEX(Company_desc!$C:$C,MATCH($A632,Company_desc!$A:$A,0)),IFERROR(INDEX(Sheet1!$Q:$Q,MATCH($A632,Sheet1!$A:$A,0)),"")))</f>
        <v/>
      </c>
      <c r="R632" s="75">
        <f>IF($A632="","",_xll.BDP($A632&amp;" Corp","CRNCY"))</f>
        <v/>
      </c>
      <c r="S632" s="75">
        <f>IF($A632="","",IFERROR(INDEX(Sheet1!$S:$S,MATCH($A632,Sheet1!$A:$A,0)),""))</f>
        <v/>
      </c>
      <c r="T632" s="75">
        <f>IF($A632="","",IFERROR(INDEX(Sheet1!$T:$T,MATCH($A632,Sheet1!$A:$A,0)),_xll.BDP($A632&amp;" Corp","RTG_SP")))</f>
        <v/>
      </c>
      <c r="U632" s="75">
        <f>IF($A632="","",IFERROR(INDEX(Sheet1!$U:$U,MATCH($A632,Sheet1!$A:$A,0)),""))</f>
        <v/>
      </c>
      <c r="W632" s="81">
        <f>IF($A632="","",N632-_xll.BDP($A632&amp;" Corp","YAS_OAS_SPRD","SETTLE_DT",Company_desc!$A$1))</f>
        <v/>
      </c>
      <c r="X632" s="81">
        <f>IF($A632="","",N632-_xll.BDP($A632&amp;" Corp","YAS_OAS_SPRD","SETTLE_DT",Company_desc!$A$2))</f>
        <v/>
      </c>
      <c r="Y632" s="80">
        <f>IF($A632="","",N632-_xll.BDP($A632&amp;" Corp","YAS_OAS_SPRD","SETTLE_DT",Company_desc!$D$1))</f>
        <v/>
      </c>
      <c r="Z632" s="82">
        <f>IF($A632="","",K632-_xll.BDP($A632&amp;" Corp","YAS_BOND_YLD","YAS_YLD_FLAG=15","SETTLE_DT",Company_desc!$D$1))</f>
        <v/>
      </c>
      <c r="AA632" s="80">
        <f>IF($A632="","",_xll.BDP($A632&amp;" Corp","YAS_OAS_SPRD","SETTLE_DT",Company_desc!$D$1))</f>
        <v/>
      </c>
    </row>
    <row r="633">
      <c r="B633" s="75">
        <f>IF($A633="","",IFERROR(INDEX(Sheet1!$B:$B,MATCH($A633,Sheet1!$A:$A,0)),""))</f>
        <v/>
      </c>
      <c r="C633" s="75">
        <f>IF($A633="","",PROPER(_xll.BDP($A633&amp;" Corp","NAME")))</f>
        <v/>
      </c>
      <c r="D633" s="76">
        <f>IF($A633="","",_xll.BDP($A633&amp;" Corp","CPN"))</f>
        <v/>
      </c>
      <c r="E633" s="75">
        <f>IF($A633="","",_xll.BDP($A633&amp;" Corp","PAYMENT_RANK"))</f>
        <v/>
      </c>
      <c r="F633" s="100">
        <f>IF($A633="","",_xll.BDP($A633&amp;" Corp","MATURITY"))</f>
        <v/>
      </c>
      <c r="G633" s="75">
        <f>IF($A633="","",PROPER(_xll.BDP($A633&amp;" Corp","COUNTRY_FULL_NAME")))</f>
        <v/>
      </c>
      <c r="H633" s="75">
        <f>IF($A633="","",_xll.BDP($A633&amp;" Corp","INDUSTRY_SECTOR"))</f>
        <v/>
      </c>
      <c r="I633" s="101">
        <f>IF($A633="","",IFERROR(_xll.BDP($A633&amp;" Corp","MIN_PIECE")/1000,""))</f>
        <v/>
      </c>
      <c r="J633" s="31">
        <f>IF($A633="","",_xll.BDP($A633&amp;" Corp","PX_LAST"))</f>
        <v/>
      </c>
      <c r="K633" s="31">
        <f>IF($A633="","",_xll.BDP($A633&amp;" Corp","YAS_BOND_YLD","YAS_YLD_FLAG=15"))</f>
        <v/>
      </c>
      <c r="L633" s="31">
        <f>IF($A633="","",K633-_xll.BDP($A633&amp;" Corp","YAS_BOND_YLD","YAS_YLD_FLAG=15","SETTLE_DT",Company_desc!$A$1))</f>
        <v/>
      </c>
      <c r="M633" s="31">
        <f>IF($A633="","",K633-_xll.BDP($A633&amp;" Corp","YAS_BOND_YLD","YAS_YLD_FLAG=15","SETTLE_DT",Company_desc!$A$2))</f>
        <v/>
      </c>
      <c r="N633" s="79">
        <f>IF($A633="","",_xll.BDP($A633&amp;" Corp","YAS_OAS_SPRD"))</f>
        <v/>
      </c>
      <c r="O633" s="82">
        <f>IF($A633="","",_xll.BDP($A633&amp;" Corp","YAS_MOD_DUR"))</f>
        <v/>
      </c>
      <c r="P633" s="80">
        <f>IF($A633="","",IFERROR(INDEX(Sheet1!$P:$P,MATCH($A633,Sheet1!$A:$A,0)),""))</f>
        <v/>
      </c>
      <c r="Q633" s="75">
        <f>IF($A633="","",IFERROR(INDEX(Company_desc!$C:$C,MATCH($A633,Company_desc!$A:$A,0)),IFERROR(INDEX(Sheet1!$Q:$Q,MATCH($A633,Sheet1!$A:$A,0)),"")))</f>
        <v/>
      </c>
      <c r="R633" s="75">
        <f>IF($A633="","",_xll.BDP($A633&amp;" Corp","CRNCY"))</f>
        <v/>
      </c>
      <c r="S633" s="75">
        <f>IF($A633="","",IFERROR(INDEX(Sheet1!$S:$S,MATCH($A633,Sheet1!$A:$A,0)),""))</f>
        <v/>
      </c>
      <c r="T633" s="75">
        <f>IF($A633="","",IFERROR(INDEX(Sheet1!$T:$T,MATCH($A633,Sheet1!$A:$A,0)),_xll.BDP($A633&amp;" Corp","RTG_SP")))</f>
        <v/>
      </c>
      <c r="U633" s="75">
        <f>IF($A633="","",IFERROR(INDEX(Sheet1!$U:$U,MATCH($A633,Sheet1!$A:$A,0)),""))</f>
        <v/>
      </c>
      <c r="W633" s="81">
        <f>IF($A633="","",N633-_xll.BDP($A633&amp;" Corp","YAS_OAS_SPRD","SETTLE_DT",Company_desc!$A$1))</f>
        <v/>
      </c>
      <c r="X633" s="81">
        <f>IF($A633="","",N633-_xll.BDP($A633&amp;" Corp","YAS_OAS_SPRD","SETTLE_DT",Company_desc!$A$2))</f>
        <v/>
      </c>
      <c r="Y633" s="80">
        <f>IF($A633="","",N633-_xll.BDP($A633&amp;" Corp","YAS_OAS_SPRD","SETTLE_DT",Company_desc!$D$1))</f>
        <v/>
      </c>
      <c r="Z633" s="82">
        <f>IF($A633="","",K633-_xll.BDP($A633&amp;" Corp","YAS_BOND_YLD","YAS_YLD_FLAG=15","SETTLE_DT",Company_desc!$D$1))</f>
        <v/>
      </c>
      <c r="AA633" s="80">
        <f>IF($A633="","",_xll.BDP($A633&amp;" Corp","YAS_OAS_SPRD","SETTLE_DT",Company_desc!$D$1))</f>
        <v/>
      </c>
    </row>
    <row r="634">
      <c r="B634" s="28">
        <f>IF($A634="","",IFERROR(INDEX(Sheet1!$B:$B,MATCH($A634,Sheet1!$A:$A,0)),""))</f>
        <v/>
      </c>
      <c r="C634" s="29">
        <f>IF($A634="","",PROPER(_xll.BDP($A634&amp;" Corp","NAME")))</f>
        <v/>
      </c>
      <c r="D634" s="84">
        <f>IF($A634="","",_xll.BDP($A634&amp;" Corp","CPN"))</f>
        <v/>
      </c>
      <c r="E634" s="84">
        <f>IF($A634="","",_xll.BDP($A634&amp;" Corp","PAYMENT_RANK"))</f>
        <v/>
      </c>
      <c r="F634" s="102">
        <f>IF($A634="","",_xll.BDP($A634&amp;" Corp","MATURITY"))</f>
        <v/>
      </c>
      <c r="G634" s="43">
        <f>IF($A634="","",PROPER(_xll.BDP($A634&amp;" Corp","COUNTRY_FULL_NAME")))</f>
        <v/>
      </c>
      <c r="H634" s="29">
        <f>IF($A634="","",_xll.BDP($A634&amp;" Corp","INDUSTRY_SECTOR"))</f>
        <v/>
      </c>
      <c r="I634" s="103">
        <f>IF($A634="","",IFERROR(_xll.BDP($A634&amp;" Corp","MIN_PIECE")/1000,""))</f>
        <v/>
      </c>
      <c r="J634" s="31">
        <f>IF($A634="","",_xll.BDP($A634&amp;" Corp","PX_LAST"))</f>
        <v/>
      </c>
      <c r="K634" s="31">
        <f>IF($A634="","",_xll.BDP($A634&amp;" Corp","YAS_BOND_YLD","YAS_YLD_FLAG=15"))</f>
        <v/>
      </c>
      <c r="L634" s="31">
        <f>IF($A634="","",K634-_xll.BDP($A634&amp;" Corp","YAS_BOND_YLD","YAS_YLD_FLAG=15","SETTLE_DT",Company_desc!$A$1))</f>
        <v/>
      </c>
      <c r="M634" s="31">
        <f>IF($A634="","",K634-_xll.BDP($A634&amp;" Corp","YAS_BOND_YLD","YAS_YLD_FLAG=15","SETTLE_DT",Company_desc!$A$2))</f>
        <v/>
      </c>
      <c r="N634" s="79">
        <f>IF($A634="","",_xll.BDP($A634&amp;" Corp","YAS_OAS_SPRD"))</f>
        <v/>
      </c>
      <c r="O634" s="67">
        <f>IF($A634="","",_xll.BDP($A634&amp;" Corp","YAS_MOD_DUR"))</f>
        <v/>
      </c>
      <c r="P634" s="79">
        <f>IF($A634="","",IFERROR(INDEX(Sheet1!$P:$P,MATCH($A634,Sheet1!$A:$A,0)),""))</f>
        <v/>
      </c>
      <c r="Q634" s="27">
        <f>IF($A634="","",IFERROR(INDEX(Company_desc!$C:$C,MATCH($A634,Company_desc!$A:$A,0)),IFERROR(INDEX(Sheet1!$Q:$Q,MATCH($A634,Sheet1!$A:$A,0)),"")))</f>
        <v/>
      </c>
      <c r="R634" s="27">
        <f>IF($A634="","",_xll.BDP($A634&amp;" Corp","CRNCY"))</f>
        <v/>
      </c>
      <c r="S634" s="27">
        <f>IF($A634="","",IFERROR(INDEX(Sheet1!$S:$S,MATCH($A634,Sheet1!$A:$A,0)),""))</f>
        <v/>
      </c>
      <c r="T634" s="47">
        <f>IF($A634="","",IFERROR(INDEX(Sheet1!$T:$T,MATCH($A634,Sheet1!$A:$A,0)),_xll.BDP($A634&amp;" Corp","RTG_SP")))</f>
        <v/>
      </c>
      <c r="U634" s="75">
        <f>IF($A634="","",IFERROR(INDEX(Sheet1!$U:$U,MATCH($A634,Sheet1!$A:$A,0)),""))</f>
        <v/>
      </c>
      <c r="W634" s="81">
        <f>IF($A634="","",N634-_xll.BDP($A634&amp;" Corp","YAS_OAS_SPRD","SETTLE_DT",Company_desc!$A$1))</f>
        <v/>
      </c>
      <c r="X634" s="81">
        <f>IF($A634="","",N634-_xll.BDP($A634&amp;" Corp","YAS_OAS_SPRD","SETTLE_DT",Company_desc!$A$2))</f>
        <v/>
      </c>
      <c r="Y634" s="80">
        <f>IF($A634="","",N634-_xll.BDP($A634&amp;" Corp","YAS_OAS_SPRD","SETTLE_DT",Company_desc!$D$1))</f>
        <v/>
      </c>
      <c r="Z634" s="82">
        <f>IF($A634="","",K634-_xll.BDP($A634&amp;" Corp","YAS_BOND_YLD","YAS_YLD_FLAG=15","SETTLE_DT",Company_desc!$D$1))</f>
        <v/>
      </c>
      <c r="AA634" s="80">
        <f>IF($A634="","",_xll.BDP($A634&amp;" Corp","YAS_OAS_SPRD","SETTLE_DT",Company_desc!$D$1))</f>
        <v/>
      </c>
    </row>
    <row r="635">
      <c r="B635" s="75">
        <f>IF($A635="","",IFERROR(INDEX(Sheet1!$B:$B,MATCH($A635,Sheet1!$A:$A,0)),""))</f>
        <v/>
      </c>
      <c r="C635" s="75">
        <f>IF($A635="","",PROPER(_xll.BDP($A635&amp;" Corp","NAME")))</f>
        <v/>
      </c>
      <c r="D635" s="76">
        <f>IF($A635="","",_xll.BDP($A635&amp;" Corp","CPN"))</f>
        <v/>
      </c>
      <c r="E635" s="75">
        <f>IF($A635="","",_xll.BDP($A635&amp;" Corp","PAYMENT_RANK"))</f>
        <v/>
      </c>
      <c r="F635" s="100">
        <f>IF($A635="","",_xll.BDP($A635&amp;" Corp","MATURITY"))</f>
        <v/>
      </c>
      <c r="G635" s="75">
        <f>IF($A635="","",PROPER(_xll.BDP($A635&amp;" Corp","COUNTRY_FULL_NAME")))</f>
        <v/>
      </c>
      <c r="H635" s="75">
        <f>IF($A635="","",_xll.BDP($A635&amp;" Corp","INDUSTRY_SECTOR"))</f>
        <v/>
      </c>
      <c r="I635" s="101">
        <f>IF($A635="","",IFERROR(_xll.BDP($A635&amp;" Corp","MIN_PIECE")/1000,""))</f>
        <v/>
      </c>
      <c r="J635" s="31">
        <f>IF($A635="","",_xll.BDP($A635&amp;" Corp","PX_LAST"))</f>
        <v/>
      </c>
      <c r="K635" s="31">
        <f>IF($A635="","",_xll.BDP($A635&amp;" Corp","YAS_BOND_YLD","YAS_YLD_FLAG=15"))</f>
        <v/>
      </c>
      <c r="L635" s="31">
        <f>IF($A635="","",K635-_xll.BDP($A635&amp;" Corp","YAS_BOND_YLD","YAS_YLD_FLAG=15","SETTLE_DT",Company_desc!$A$1))</f>
        <v/>
      </c>
      <c r="M635" s="31">
        <f>IF($A635="","",K635-_xll.BDP($A635&amp;" Corp","YAS_BOND_YLD","YAS_YLD_FLAG=15","SETTLE_DT",Company_desc!$A$2))</f>
        <v/>
      </c>
      <c r="N635" s="79">
        <f>IF($A635="","",_xll.BDP($A635&amp;" Corp","YAS_OAS_SPRD"))</f>
        <v/>
      </c>
      <c r="O635" s="67">
        <f>IF($A635="","",_xll.BDP($A635&amp;" Corp","YAS_MOD_DUR"))</f>
        <v/>
      </c>
      <c r="P635" s="80">
        <f>IF($A635="","",IFERROR(INDEX(Sheet1!$P:$P,MATCH($A635,Sheet1!$A:$A,0)),""))</f>
        <v/>
      </c>
      <c r="Q635" s="75">
        <f>IF($A635="","",IFERROR(INDEX(Company_desc!$C:$C,MATCH($A635,Company_desc!$A:$A,0)),IFERROR(INDEX(Sheet1!$Q:$Q,MATCH($A635,Sheet1!$A:$A,0)),"")))</f>
        <v/>
      </c>
      <c r="R635" s="75">
        <f>IF($A635="","",_xll.BDP($A635&amp;" Corp","CRNCY"))</f>
        <v/>
      </c>
      <c r="S635" s="75">
        <f>IF($A635="","",IFERROR(INDEX(Sheet1!$S:$S,MATCH($A635,Sheet1!$A:$A,0)),""))</f>
        <v/>
      </c>
      <c r="T635" s="75">
        <f>IF($A635="","",IFERROR(INDEX(Sheet1!$T:$T,MATCH($A635,Sheet1!$A:$A,0)),_xll.BDP($A635&amp;" Corp","RTG_SP")))</f>
        <v/>
      </c>
      <c r="U635" s="75">
        <f>IF($A635="","",IFERROR(INDEX(Sheet1!$U:$U,MATCH($A635,Sheet1!$A:$A,0)),""))</f>
        <v/>
      </c>
      <c r="W635" s="81">
        <f>IF($A635="","",N635-_xll.BDP($A635&amp;" Corp","YAS_OAS_SPRD","SETTLE_DT",Company_desc!$A$1))</f>
        <v/>
      </c>
      <c r="X635" s="81">
        <f>IF($A635="","",N635-_xll.BDP($A635&amp;" Corp","YAS_OAS_SPRD","SETTLE_DT",Company_desc!$A$2))</f>
        <v/>
      </c>
      <c r="Y635" s="80">
        <f>IF($A635="","",N635-_xll.BDP($A635&amp;" Corp","YAS_OAS_SPRD","SETTLE_DT",Company_desc!$D$1))</f>
        <v/>
      </c>
      <c r="Z635" s="82">
        <f>IF($A635="","",K635-_xll.BDP($A635&amp;" Corp","YAS_BOND_YLD","YAS_YLD_FLAG=15","SETTLE_DT",Company_desc!$D$1))</f>
        <v/>
      </c>
      <c r="AA635" s="80">
        <f>IF($A635="","",_xll.BDP($A635&amp;" Corp","YAS_OAS_SPRD","SETTLE_DT",Company_desc!$D$1))</f>
        <v/>
      </c>
    </row>
    <row r="636">
      <c r="B636" s="28">
        <f>IF($A636="","",IFERROR(INDEX(Sheet1!$B:$B,MATCH($A636,Sheet1!$A:$A,0)),""))</f>
        <v/>
      </c>
      <c r="C636" s="29">
        <f>IF($A636="","",PROPER(_xll.BDP($A636&amp;" Corp","NAME")))</f>
        <v/>
      </c>
      <c r="D636" s="84">
        <f>IF($A636="","",_xll.BDP($A636&amp;" Corp","CPN"))</f>
        <v/>
      </c>
      <c r="E636" s="84">
        <f>IF($A636="","",_xll.BDP($A636&amp;" Corp","PAYMENT_RANK"))</f>
        <v/>
      </c>
      <c r="F636" s="102">
        <f>IF($A636="","",_xll.BDP($A636&amp;" Corp","MATURITY"))</f>
        <v/>
      </c>
      <c r="G636" s="43">
        <f>IF($A636="","",PROPER(_xll.BDP($A636&amp;" Corp","COUNTRY_FULL_NAME")))</f>
        <v/>
      </c>
      <c r="H636" s="29">
        <f>IF($A636="","",_xll.BDP($A636&amp;" Corp","INDUSTRY_SECTOR"))</f>
        <v/>
      </c>
      <c r="I636" s="103">
        <f>IF($A636="","",IFERROR(_xll.BDP($A636&amp;" Corp","MIN_PIECE")/1000,""))</f>
        <v/>
      </c>
      <c r="J636" s="31">
        <f>IF($A636="","",_xll.BDP($A636&amp;" Corp","PX_LAST"))</f>
        <v/>
      </c>
      <c r="K636" s="31">
        <f>IF($A636="","",_xll.BDP($A636&amp;" Corp","YAS_BOND_YLD","YAS_YLD_FLAG=15"))</f>
        <v/>
      </c>
      <c r="L636" s="31">
        <f>IF($A636="","",K636-_xll.BDP($A636&amp;" Corp","YAS_BOND_YLD","YAS_YLD_FLAG=15","SETTLE_DT",Company_desc!$A$1))</f>
        <v/>
      </c>
      <c r="M636" s="31">
        <f>IF($A636="","",K636-_xll.BDP($A636&amp;" Corp","YAS_BOND_YLD","YAS_YLD_FLAG=15","SETTLE_DT",Company_desc!$A$2))</f>
        <v/>
      </c>
      <c r="N636" s="79">
        <f>IF($A636="","",_xll.BDP($A636&amp;" Corp","YAS_OAS_SPRD"))</f>
        <v/>
      </c>
      <c r="O636" s="67">
        <f>IF($A636="","",_xll.BDP($A636&amp;" Corp","YAS_MOD_DUR"))</f>
        <v/>
      </c>
      <c r="P636" s="79">
        <f>IF($A636="","",IFERROR(INDEX(Sheet1!$P:$P,MATCH($A636,Sheet1!$A:$A,0)),""))</f>
        <v/>
      </c>
      <c r="Q636" s="27">
        <f>IF($A636="","",IFERROR(INDEX(Company_desc!$C:$C,MATCH($A636,Company_desc!$A:$A,0)),IFERROR(INDEX(Sheet1!$Q:$Q,MATCH($A636,Sheet1!$A:$A,0)),"")))</f>
        <v/>
      </c>
      <c r="R636" s="27">
        <f>IF($A636="","",_xll.BDP($A636&amp;" Corp","CRNCY"))</f>
        <v/>
      </c>
      <c r="S636" s="27">
        <f>IF($A636="","",IFERROR(INDEX(Sheet1!$S:$S,MATCH($A636,Sheet1!$A:$A,0)),""))</f>
        <v/>
      </c>
      <c r="T636" s="47">
        <f>IF($A636="","",IFERROR(INDEX(Sheet1!$T:$T,MATCH($A636,Sheet1!$A:$A,0)),_xll.BDP($A636&amp;" Corp","RTG_SP")))</f>
        <v/>
      </c>
      <c r="U636" s="75">
        <f>IF($A636="","",IFERROR(INDEX(Sheet1!$U:$U,MATCH($A636,Sheet1!$A:$A,0)),""))</f>
        <v/>
      </c>
      <c r="W636" s="81">
        <f>IF($A636="","",N636-_xll.BDP($A636&amp;" Corp","YAS_OAS_SPRD","SETTLE_DT",Company_desc!$A$1))</f>
        <v/>
      </c>
      <c r="X636" s="81">
        <f>IF($A636="","",N636-_xll.BDP($A636&amp;" Corp","YAS_OAS_SPRD","SETTLE_DT",Company_desc!$A$2))</f>
        <v/>
      </c>
      <c r="Y636" s="80">
        <f>IF($A636="","",N636-_xll.BDP($A636&amp;" Corp","YAS_OAS_SPRD","SETTLE_DT",Company_desc!$D$1))</f>
        <v/>
      </c>
      <c r="Z636" s="82">
        <f>IF($A636="","",K636-_xll.BDP($A636&amp;" Corp","YAS_BOND_YLD","YAS_YLD_FLAG=15","SETTLE_DT",Company_desc!$D$1))</f>
        <v/>
      </c>
      <c r="AA636" s="80">
        <f>IF($A636="","",_xll.BDP($A636&amp;" Corp","YAS_OAS_SPRD","SETTLE_DT",Company_desc!$D$1))</f>
        <v/>
      </c>
    </row>
    <row r="637">
      <c r="B637" s="28">
        <f>IF($A637="","",IFERROR(INDEX(Sheet1!$B:$B,MATCH($A637,Sheet1!$A:$A,0)),""))</f>
        <v/>
      </c>
      <c r="C637" s="29">
        <f>IF($A637="","",PROPER(_xll.BDP($A637&amp;" Corp","NAME")))</f>
        <v/>
      </c>
      <c r="D637" s="84">
        <f>IF($A637="","",_xll.BDP($A637&amp;" Corp","CPN"))</f>
        <v/>
      </c>
      <c r="E637" s="84">
        <f>IF($A637="","",_xll.BDP($A637&amp;" Corp","PAYMENT_RANK"))</f>
        <v/>
      </c>
      <c r="F637" s="102">
        <f>IF($A637="","",_xll.BDP($A637&amp;" Corp","MATURITY"))</f>
        <v/>
      </c>
      <c r="G637" s="43">
        <f>IF($A637="","",PROPER(_xll.BDP($A637&amp;" Corp","COUNTRY_FULL_NAME")))</f>
        <v/>
      </c>
      <c r="H637" s="29">
        <f>IF($A637="","",_xll.BDP($A637&amp;" Corp","INDUSTRY_SECTOR"))</f>
        <v/>
      </c>
      <c r="I637" s="103">
        <f>IF($A637="","",IFERROR(_xll.BDP($A637&amp;" Corp","MIN_PIECE")/1000,""))</f>
        <v/>
      </c>
      <c r="J637" s="31">
        <f>IF($A637="","",_xll.BDP($A637&amp;" Corp","PX_LAST"))</f>
        <v/>
      </c>
      <c r="K637" s="31">
        <f>IF($A637="","",_xll.BDP($A637&amp;" Corp","YAS_BOND_YLD","YAS_YLD_FLAG=15"))</f>
        <v/>
      </c>
      <c r="L637" s="31">
        <f>IF($A637="","",K637-_xll.BDP($A637&amp;" Corp","YAS_BOND_YLD","YAS_YLD_FLAG=15","SETTLE_DT",Company_desc!$A$1))</f>
        <v/>
      </c>
      <c r="M637" s="31">
        <f>IF($A637="","",K637-_xll.BDP($A637&amp;" Corp","YAS_BOND_YLD","YAS_YLD_FLAG=15","SETTLE_DT",Company_desc!$A$2))</f>
        <v/>
      </c>
      <c r="N637" s="79">
        <f>IF($A637="","",_xll.BDP($A637&amp;" Corp","YAS_OAS_SPRD"))</f>
        <v/>
      </c>
      <c r="O637" s="67">
        <f>IF($A637="","",_xll.BDP($A637&amp;" Corp","YAS_MOD_DUR"))</f>
        <v/>
      </c>
      <c r="P637" s="79">
        <f>IF($A637="","",IFERROR(INDEX(Sheet1!$P:$P,MATCH($A637,Sheet1!$A:$A,0)),""))</f>
        <v/>
      </c>
      <c r="Q637" s="27">
        <f>IF($A637="","",IFERROR(INDEX(Company_desc!$C:$C,MATCH($A637,Company_desc!$A:$A,0)),IFERROR(INDEX(Sheet1!$Q:$Q,MATCH($A637,Sheet1!$A:$A,0)),"")))</f>
        <v/>
      </c>
      <c r="R637" s="27">
        <f>IF($A637="","",_xll.BDP($A637&amp;" Corp","CRNCY"))</f>
        <v/>
      </c>
      <c r="S637" s="27">
        <f>IF($A637="","",IFERROR(INDEX(Sheet1!$S:$S,MATCH($A637,Sheet1!$A:$A,0)),""))</f>
        <v/>
      </c>
      <c r="T637" s="47">
        <f>IF($A637="","",IFERROR(INDEX(Sheet1!$T:$T,MATCH($A637,Sheet1!$A:$A,0)),_xll.BDP($A637&amp;" Corp","RTG_SP")))</f>
        <v/>
      </c>
      <c r="U637" s="75">
        <f>IF($A637="","",IFERROR(INDEX(Sheet1!$U:$U,MATCH($A637,Sheet1!$A:$A,0)),""))</f>
        <v/>
      </c>
      <c r="W637" s="81">
        <f>IF($A637="","",N637-_xll.BDP($A637&amp;" Corp","YAS_OAS_SPRD","SETTLE_DT",Company_desc!$A$1))</f>
        <v/>
      </c>
      <c r="X637" s="81">
        <f>IF($A637="","",N637-_xll.BDP($A637&amp;" Corp","YAS_OAS_SPRD","SETTLE_DT",Company_desc!$A$2))</f>
        <v/>
      </c>
      <c r="Y637" s="80">
        <f>IF($A637="","",N637-_xll.BDP($A637&amp;" Corp","YAS_OAS_SPRD","SETTLE_DT",Company_desc!$D$1))</f>
        <v/>
      </c>
      <c r="Z637" s="82">
        <f>IF($A637="","",K637-_xll.BDP($A637&amp;" Corp","YAS_BOND_YLD","YAS_YLD_FLAG=15","SETTLE_DT",Company_desc!$D$1))</f>
        <v/>
      </c>
      <c r="AA637" s="80">
        <f>IF($A637="","",_xll.BDP($A637&amp;" Corp","YAS_OAS_SPRD","SETTLE_DT",Company_desc!$D$1))</f>
        <v/>
      </c>
    </row>
    <row r="638">
      <c r="B638" s="75">
        <f>IF($A638="","",IFERROR(INDEX(Sheet1!$B:$B,MATCH($A638,Sheet1!$A:$A,0)),""))</f>
        <v/>
      </c>
      <c r="C638" s="75">
        <f>IF($A638="","",PROPER(_xll.BDP($A638&amp;" Corp","NAME")))</f>
        <v/>
      </c>
      <c r="D638" s="76">
        <f>IF($A638="","",_xll.BDP($A638&amp;" Corp","CPN"))</f>
        <v/>
      </c>
      <c r="E638" s="75">
        <f>IF($A638="","",_xll.BDP($A638&amp;" Corp","PAYMENT_RANK"))</f>
        <v/>
      </c>
      <c r="F638" s="100">
        <f>IF($A638="","",_xll.BDP($A638&amp;" Corp","MATURITY"))</f>
        <v/>
      </c>
      <c r="G638" s="75">
        <f>IF($A638="","",PROPER(_xll.BDP($A638&amp;" Corp","COUNTRY_FULL_NAME")))</f>
        <v/>
      </c>
      <c r="H638" s="75">
        <f>IF($A638="","",_xll.BDP($A638&amp;" Corp","INDUSTRY_SECTOR"))</f>
        <v/>
      </c>
      <c r="I638" s="101">
        <f>IF($A638="","",IFERROR(_xll.BDP($A638&amp;" Corp","MIN_PIECE")/1000,""))</f>
        <v/>
      </c>
      <c r="J638" s="31">
        <f>IF($A638="","",_xll.BDP($A638&amp;" Corp","PX_LAST"))</f>
        <v/>
      </c>
      <c r="K638" s="31">
        <f>IF($A638="","",_xll.BDP($A638&amp;" Corp","YAS_BOND_YLD","YAS_YLD_FLAG=15"))</f>
        <v/>
      </c>
      <c r="L638" s="31">
        <f>IF($A638="","",K638-_xll.BDP($A638&amp;" Corp","YAS_BOND_YLD","YAS_YLD_FLAG=15","SETTLE_DT",Company_desc!$A$1))</f>
        <v/>
      </c>
      <c r="M638" s="31">
        <f>IF($A638="","",K638-_xll.BDP($A638&amp;" Corp","YAS_BOND_YLD","YAS_YLD_FLAG=15","SETTLE_DT",Company_desc!$A$2))</f>
        <v/>
      </c>
      <c r="N638" s="79">
        <f>IF($A638="","",_xll.BDP($A638&amp;" Corp","YAS_OAS_SPRD"))</f>
        <v/>
      </c>
      <c r="O638" s="67">
        <f>IF($A638="","",_xll.BDP($A638&amp;" Corp","YAS_MOD_DUR"))</f>
        <v/>
      </c>
      <c r="P638" s="80">
        <f>IF($A638="","",IFERROR(INDEX(Sheet1!$P:$P,MATCH($A638,Sheet1!$A:$A,0)),""))</f>
        <v/>
      </c>
      <c r="Q638" s="75">
        <f>IF($A638="","",IFERROR(INDEX(Company_desc!$C:$C,MATCH($A638,Company_desc!$A:$A,0)),IFERROR(INDEX(Sheet1!$Q:$Q,MATCH($A638,Sheet1!$A:$A,0)),"")))</f>
        <v/>
      </c>
      <c r="R638" s="75">
        <f>IF($A638="","",_xll.BDP($A638&amp;" Corp","CRNCY"))</f>
        <v/>
      </c>
      <c r="S638" s="75">
        <f>IF($A638="","",IFERROR(INDEX(Sheet1!$S:$S,MATCH($A638,Sheet1!$A:$A,0)),""))</f>
        <v/>
      </c>
      <c r="T638" s="75">
        <f>IF($A638="","",IFERROR(INDEX(Sheet1!$T:$T,MATCH($A638,Sheet1!$A:$A,0)),_xll.BDP($A638&amp;" Corp","RTG_SP")))</f>
        <v/>
      </c>
      <c r="U638" s="75">
        <f>IF($A638="","",IFERROR(INDEX(Sheet1!$U:$U,MATCH($A638,Sheet1!$A:$A,0)),""))</f>
        <v/>
      </c>
      <c r="W638" s="81">
        <f>IF($A638="","",N638-_xll.BDP($A638&amp;" Corp","YAS_OAS_SPRD","SETTLE_DT",Company_desc!$A$1))</f>
        <v/>
      </c>
      <c r="X638" s="81">
        <f>IF($A638="","",N638-_xll.BDP($A638&amp;" Corp","YAS_OAS_SPRD","SETTLE_DT",Company_desc!$A$2))</f>
        <v/>
      </c>
      <c r="Y638" s="80">
        <f>IF($A638="","",N638-_xll.BDP($A638&amp;" Corp","YAS_OAS_SPRD","SETTLE_DT",Company_desc!$D$1))</f>
        <v/>
      </c>
      <c r="Z638" s="82">
        <f>IF($A638="","",K638-_xll.BDP($A638&amp;" Corp","YAS_BOND_YLD","YAS_YLD_FLAG=15","SETTLE_DT",Company_desc!$D$1))</f>
        <v/>
      </c>
      <c r="AA638" s="80">
        <f>IF($A638="","",_xll.BDP($A638&amp;" Corp","YAS_OAS_SPRD","SETTLE_DT",Company_desc!$D$1))</f>
        <v/>
      </c>
    </row>
    <row r="639">
      <c r="B639" s="75">
        <f>IF($A639="","",IFERROR(INDEX(Sheet1!$B:$B,MATCH($A639,Sheet1!$A:$A,0)),""))</f>
        <v/>
      </c>
      <c r="C639" s="75">
        <f>IF($A639="","",PROPER(_xll.BDP($A639&amp;" Corp","NAME")))</f>
        <v/>
      </c>
      <c r="D639" s="76">
        <f>IF($A639="","",_xll.BDP($A639&amp;" Corp","CPN"))</f>
        <v/>
      </c>
      <c r="E639" s="75">
        <f>IF($A639="","",_xll.BDP($A639&amp;" Corp","PAYMENT_RANK"))</f>
        <v/>
      </c>
      <c r="F639" s="100">
        <f>IF($A639="","",_xll.BDP($A639&amp;" Corp","MATURITY"))</f>
        <v/>
      </c>
      <c r="G639" s="75">
        <f>IF($A639="","",PROPER(_xll.BDP($A639&amp;" Corp","COUNTRY_FULL_NAME")))</f>
        <v/>
      </c>
      <c r="H639" s="75">
        <f>IF($A639="","",_xll.BDP($A639&amp;" Corp","INDUSTRY_SECTOR"))</f>
        <v/>
      </c>
      <c r="I639" s="101">
        <f>IF($A639="","",IFERROR(_xll.BDP($A639&amp;" Corp","MIN_PIECE")/1000,""))</f>
        <v/>
      </c>
      <c r="J639" s="31">
        <f>IF($A639="","",_xll.BDP($A639&amp;" Corp","PX_LAST"))</f>
        <v/>
      </c>
      <c r="K639" s="31">
        <f>IF($A639="","",_xll.BDP($A639&amp;" Corp","YAS_BOND_YLD","YAS_YLD_FLAG=15"))</f>
        <v/>
      </c>
      <c r="L639" s="31">
        <f>IF($A639="","",K639-_xll.BDP($A639&amp;" Corp","YAS_BOND_YLD","YAS_YLD_FLAG=15","SETTLE_DT",Company_desc!$A$1))</f>
        <v/>
      </c>
      <c r="M639" s="31">
        <f>IF($A639="","",K639-_xll.BDP($A639&amp;" Corp","YAS_BOND_YLD","YAS_YLD_FLAG=15","SETTLE_DT",Company_desc!$A$2))</f>
        <v/>
      </c>
      <c r="N639" s="79">
        <f>IF($A639="","",_xll.BDP($A639&amp;" Corp","YAS_OAS_SPRD"))</f>
        <v/>
      </c>
      <c r="O639" s="67">
        <f>IF($A639="","",_xll.BDP($A639&amp;" Corp","YAS_MOD_DUR"))</f>
        <v/>
      </c>
      <c r="P639" s="80">
        <f>IF($A639="","",IFERROR(INDEX(Sheet1!$P:$P,MATCH($A639,Sheet1!$A:$A,0)),""))</f>
        <v/>
      </c>
      <c r="Q639" s="75">
        <f>IF($A639="","",IFERROR(INDEX(Company_desc!$C:$C,MATCH($A639,Company_desc!$A:$A,0)),IFERROR(INDEX(Sheet1!$Q:$Q,MATCH($A639,Sheet1!$A:$A,0)),"")))</f>
        <v/>
      </c>
      <c r="R639" s="75">
        <f>IF($A639="","",_xll.BDP($A639&amp;" Corp","CRNCY"))</f>
        <v/>
      </c>
      <c r="S639" s="75">
        <f>IF($A639="","",IFERROR(INDEX(Sheet1!$S:$S,MATCH($A639,Sheet1!$A:$A,0)),""))</f>
        <v/>
      </c>
      <c r="T639" s="75">
        <f>IF($A639="","",IFERROR(INDEX(Sheet1!$T:$T,MATCH($A639,Sheet1!$A:$A,0)),_xll.BDP($A639&amp;" Corp","RTG_SP")))</f>
        <v/>
      </c>
      <c r="U639" s="83">
        <f>IF($A639="","",IFERROR(INDEX(Sheet1!$U:$U,MATCH($A639,Sheet1!$A:$A,0)),""))</f>
        <v/>
      </c>
      <c r="W639" s="81">
        <f>IF($A639="","",N639-_xll.BDP($A639&amp;" Corp","YAS_OAS_SPRD","SETTLE_DT",Company_desc!$A$1))</f>
        <v/>
      </c>
      <c r="X639" s="81">
        <f>IF($A639="","",N639-_xll.BDP($A639&amp;" Corp","YAS_OAS_SPRD","SETTLE_DT",Company_desc!$A$2))</f>
        <v/>
      </c>
      <c r="Y639" s="80">
        <f>IF($A639="","",N639-_xll.BDP($A639&amp;" Corp","YAS_OAS_SPRD","SETTLE_DT",Company_desc!$D$1))</f>
        <v/>
      </c>
      <c r="Z639" s="82">
        <f>IF($A639="","",K639-_xll.BDP($A639&amp;" Corp","YAS_BOND_YLD","YAS_YLD_FLAG=15","SETTLE_DT",Company_desc!$D$1))</f>
        <v/>
      </c>
      <c r="AA639" s="80">
        <f>IF($A639="","",_xll.BDP($A639&amp;" Corp","YAS_OAS_SPRD","SETTLE_DT",Company_desc!$D$1))</f>
        <v/>
      </c>
    </row>
    <row r="640">
      <c r="B640" s="75">
        <f>IF($A640="","",IFERROR(INDEX(Sheet1!$B:$B,MATCH($A640,Sheet1!$A:$A,0)),""))</f>
        <v/>
      </c>
      <c r="C640" s="75">
        <f>IF($A640="","",PROPER(_xll.BDP($A640&amp;" Corp","NAME")))</f>
        <v/>
      </c>
      <c r="D640" s="76">
        <f>IF($A640="","",_xll.BDP($A640&amp;" Corp","CPN"))</f>
        <v/>
      </c>
      <c r="E640" s="75">
        <f>IF($A640="","",_xll.BDP($A640&amp;" Corp","PAYMENT_RANK"))</f>
        <v/>
      </c>
      <c r="F640" s="100">
        <f>IF($A640="","",_xll.BDP($A640&amp;" Corp","MATURITY"))</f>
        <v/>
      </c>
      <c r="G640" s="75">
        <f>IF($A640="","",PROPER(_xll.BDP($A640&amp;" Corp","COUNTRY_FULL_NAME")))</f>
        <v/>
      </c>
      <c r="H640" s="75">
        <f>IF($A640="","",_xll.BDP($A640&amp;" Corp","INDUSTRY_SECTOR"))</f>
        <v/>
      </c>
      <c r="I640" s="101">
        <f>IF($A640="","",IFERROR(_xll.BDP($A640&amp;" Corp","MIN_PIECE")/1000,""))</f>
        <v/>
      </c>
      <c r="J640" s="31">
        <f>IF($A640="","",_xll.BDP($A640&amp;" Corp","PX_LAST"))</f>
        <v/>
      </c>
      <c r="K640" s="31">
        <f>IF($A640="","",_xll.BDP($A640&amp;" Corp","YAS_BOND_YLD","YAS_YLD_FLAG=15"))</f>
        <v/>
      </c>
      <c r="L640" s="31">
        <f>IF($A640="","",K640-_xll.BDP($A640&amp;" Corp","YAS_BOND_YLD","YAS_YLD_FLAG=15","SETTLE_DT",Company_desc!$A$1))</f>
        <v/>
      </c>
      <c r="M640" s="31">
        <f>IF($A640="","",K640-_xll.BDP($A640&amp;" Corp","YAS_BOND_YLD","YAS_YLD_FLAG=15","SETTLE_DT",Company_desc!$A$2))</f>
        <v/>
      </c>
      <c r="N640" s="79">
        <f>IF($A640="","",_xll.BDP($A640&amp;" Corp","YAS_OAS_SPRD"))</f>
        <v/>
      </c>
      <c r="O640" s="82">
        <f>IF($A640="","",_xll.BDP($A640&amp;" Corp","YAS_MOD_DUR"))</f>
        <v/>
      </c>
      <c r="P640" s="80">
        <f>IF($A640="","",IFERROR(INDEX(Sheet1!$P:$P,MATCH($A640,Sheet1!$A:$A,0)),""))</f>
        <v/>
      </c>
      <c r="Q640" s="75">
        <f>IF($A640="","",IFERROR(INDEX(Company_desc!$C:$C,MATCH($A640,Company_desc!$A:$A,0)),IFERROR(INDEX(Sheet1!$Q:$Q,MATCH($A640,Sheet1!$A:$A,0)),"")))</f>
        <v/>
      </c>
      <c r="R640" s="75">
        <f>IF($A640="","",_xll.BDP($A640&amp;" Corp","CRNCY"))</f>
        <v/>
      </c>
      <c r="S640" s="75">
        <f>IF($A640="","",IFERROR(INDEX(Sheet1!$S:$S,MATCH($A640,Sheet1!$A:$A,0)),""))</f>
        <v/>
      </c>
      <c r="T640" s="75">
        <f>IF($A640="","",IFERROR(INDEX(Sheet1!$T:$T,MATCH($A640,Sheet1!$A:$A,0)),_xll.BDP($A640&amp;" Corp","RTG_SP")))</f>
        <v/>
      </c>
      <c r="U640" s="83">
        <f>IF($A640="","",IFERROR(INDEX(Sheet1!$U:$U,MATCH($A640,Sheet1!$A:$A,0)),""))</f>
        <v/>
      </c>
      <c r="W640" s="81">
        <f>IF($A640="","",N640-_xll.BDP($A640&amp;" Corp","YAS_OAS_SPRD","SETTLE_DT",Company_desc!$A$1))</f>
        <v/>
      </c>
      <c r="X640" s="81">
        <f>IF($A640="","",N640-_xll.BDP($A640&amp;" Corp","YAS_OAS_SPRD","SETTLE_DT",Company_desc!$A$2))</f>
        <v/>
      </c>
      <c r="Y640" s="80">
        <f>IF($A640="","",N640-_xll.BDP($A640&amp;" Corp","YAS_OAS_SPRD","SETTLE_DT",Company_desc!$D$1))</f>
        <v/>
      </c>
      <c r="Z640" s="82">
        <f>IF($A640="","",K640-_xll.BDP($A640&amp;" Corp","YAS_BOND_YLD","YAS_YLD_FLAG=15","SETTLE_DT",Company_desc!$D$1))</f>
        <v/>
      </c>
      <c r="AA640" s="80">
        <f>IF($A640="","",_xll.BDP($A640&amp;" Corp","YAS_OAS_SPRD","SETTLE_DT",Company_desc!$D$1))</f>
        <v/>
      </c>
    </row>
    <row r="641">
      <c r="B641" s="75">
        <f>IF($A641="","",IFERROR(INDEX(Sheet1!$B:$B,MATCH($A641,Sheet1!$A:$A,0)),""))</f>
        <v/>
      </c>
      <c r="C641" s="75">
        <f>IF($A641="","",PROPER(_xll.BDP($A641&amp;" Corp","NAME")))</f>
        <v/>
      </c>
      <c r="D641" s="76">
        <f>IF($A641="","",_xll.BDP($A641&amp;" Corp","CPN"))</f>
        <v/>
      </c>
      <c r="E641" s="75">
        <f>IF($A641="","",_xll.BDP($A641&amp;" Corp","PAYMENT_RANK"))</f>
        <v/>
      </c>
      <c r="F641" s="100">
        <f>IF($A641="","",_xll.BDP($A641&amp;" Corp","MATURITY"))</f>
        <v/>
      </c>
      <c r="G641" s="75">
        <f>IF($A641="","",PROPER(_xll.BDP($A641&amp;" Corp","COUNTRY_FULL_NAME")))</f>
        <v/>
      </c>
      <c r="H641" s="75">
        <f>IF($A641="","",_xll.BDP($A641&amp;" Corp","INDUSTRY_SECTOR"))</f>
        <v/>
      </c>
      <c r="I641" s="101">
        <f>IF($A641="","",IFERROR(_xll.BDP($A641&amp;" Corp","MIN_PIECE")/1000,""))</f>
        <v/>
      </c>
      <c r="J641" s="31">
        <f>IF($A641="","",_xll.BDP($A641&amp;" Corp","PX_LAST"))</f>
        <v/>
      </c>
      <c r="K641" s="31">
        <f>IF($A641="","",_xll.BDP($A641&amp;" Corp","YAS_BOND_YLD","YAS_YLD_FLAG=15"))</f>
        <v/>
      </c>
      <c r="L641" s="31">
        <f>IF($A641="","",K641-_xll.BDP($A641&amp;" Corp","YAS_BOND_YLD","YAS_YLD_FLAG=15","SETTLE_DT",Company_desc!$A$1))</f>
        <v/>
      </c>
      <c r="M641" s="31">
        <f>IF($A641="","",K641-_xll.BDP($A641&amp;" Corp","YAS_BOND_YLD","YAS_YLD_FLAG=15","SETTLE_DT",Company_desc!$A$2))</f>
        <v/>
      </c>
      <c r="N641" s="79">
        <f>IF($A641="","",_xll.BDP($A641&amp;" Corp","YAS_OAS_SPRD"))</f>
        <v/>
      </c>
      <c r="O641" s="67">
        <f>IF($A641="","",_xll.BDP($A641&amp;" Corp","YAS_MOD_DUR"))</f>
        <v/>
      </c>
      <c r="P641" s="80">
        <f>IF($A641="","",IFERROR(INDEX(Sheet1!$P:$P,MATCH($A641,Sheet1!$A:$A,0)),""))</f>
        <v/>
      </c>
      <c r="Q641" s="75">
        <f>IF($A641="","",IFERROR(INDEX(Company_desc!$C:$C,MATCH($A641,Company_desc!$A:$A,0)),IFERROR(INDEX(Sheet1!$Q:$Q,MATCH($A641,Sheet1!$A:$A,0)),"")))</f>
        <v/>
      </c>
      <c r="R641" s="75">
        <f>IF($A641="","",_xll.BDP($A641&amp;" Corp","CRNCY"))</f>
        <v/>
      </c>
      <c r="S641" s="75">
        <f>IF($A641="","",IFERROR(INDEX(Sheet1!$S:$S,MATCH($A641,Sheet1!$A:$A,0)),""))</f>
        <v/>
      </c>
      <c r="T641" s="75">
        <f>IF($A641="","",IFERROR(INDEX(Sheet1!$T:$T,MATCH($A641,Sheet1!$A:$A,0)),_xll.BDP($A641&amp;" Corp","RTG_SP")))</f>
        <v/>
      </c>
      <c r="U641" s="75">
        <f>IF($A641="","",IFERROR(INDEX(Sheet1!$U:$U,MATCH($A641,Sheet1!$A:$A,0)),""))</f>
        <v/>
      </c>
      <c r="W641" s="81">
        <f>IF($A641="","",N641-_xll.BDP($A641&amp;" Corp","YAS_OAS_SPRD","SETTLE_DT",Company_desc!$A$1))</f>
        <v/>
      </c>
      <c r="X641" s="81">
        <f>IF($A641="","",N641-_xll.BDP($A641&amp;" Corp","YAS_OAS_SPRD","SETTLE_DT",Company_desc!$A$2))</f>
        <v/>
      </c>
      <c r="Y641" s="80">
        <f>IF($A641="","",N641-_xll.BDP($A641&amp;" Corp","YAS_OAS_SPRD","SETTLE_DT",Company_desc!$D$1))</f>
        <v/>
      </c>
      <c r="Z641" s="82">
        <f>IF($A641="","",K641-_xll.BDP($A641&amp;" Corp","YAS_BOND_YLD","YAS_YLD_FLAG=15","SETTLE_DT",Company_desc!$D$1))</f>
        <v/>
      </c>
      <c r="AA641" s="80">
        <f>IF($A641="","",_xll.BDP($A641&amp;" Corp","YAS_OAS_SPRD","SETTLE_DT",Company_desc!$D$1))</f>
        <v/>
      </c>
    </row>
    <row r="642">
      <c r="B642" s="75">
        <f>IF($A642="","",IFERROR(INDEX(Sheet1!$B:$B,MATCH($A642,Sheet1!$A:$A,0)),""))</f>
        <v/>
      </c>
      <c r="C642" s="75">
        <f>IF($A642="","",PROPER(_xll.BDP($A642&amp;" Corp","NAME")))</f>
        <v/>
      </c>
      <c r="D642" s="76">
        <f>IF($A642="","",_xll.BDP($A642&amp;" Corp","CPN"))</f>
        <v/>
      </c>
      <c r="E642" s="75">
        <f>IF($A642="","",_xll.BDP($A642&amp;" Corp","PAYMENT_RANK"))</f>
        <v/>
      </c>
      <c r="F642" s="100">
        <f>IF($A642="","",_xll.BDP($A642&amp;" Corp","MATURITY"))</f>
        <v/>
      </c>
      <c r="G642" s="75">
        <f>IF($A642="","",PROPER(_xll.BDP($A642&amp;" Corp","COUNTRY_FULL_NAME")))</f>
        <v/>
      </c>
      <c r="H642" s="75">
        <f>IF($A642="","",_xll.BDP($A642&amp;" Corp","INDUSTRY_SECTOR"))</f>
        <v/>
      </c>
      <c r="I642" s="101">
        <f>IF($A642="","",IFERROR(_xll.BDP($A642&amp;" Corp","MIN_PIECE")/1000,""))</f>
        <v/>
      </c>
      <c r="J642" s="31">
        <f>IF($A642="","",_xll.BDP($A642&amp;" Corp","PX_LAST"))</f>
        <v/>
      </c>
      <c r="K642" s="31">
        <f>IF($A642="","",_xll.BDP($A642&amp;" Corp","YAS_BOND_YLD","YAS_YLD_FLAG=15"))</f>
        <v/>
      </c>
      <c r="L642" s="31">
        <f>IF($A642="","",K642-_xll.BDP($A642&amp;" Corp","YAS_BOND_YLD","YAS_YLD_FLAG=15","SETTLE_DT",Company_desc!$A$1))</f>
        <v/>
      </c>
      <c r="M642" s="31">
        <f>IF($A642="","",K642-_xll.BDP($A642&amp;" Corp","YAS_BOND_YLD","YAS_YLD_FLAG=15","SETTLE_DT",Company_desc!$A$2))</f>
        <v/>
      </c>
      <c r="N642" s="79">
        <f>IF($A642="","",_xll.BDP($A642&amp;" Corp","YAS_OAS_SPRD"))</f>
        <v/>
      </c>
      <c r="O642" s="67">
        <f>IF($A642="","",_xll.BDP($A642&amp;" Corp","YAS_MOD_DUR"))</f>
        <v/>
      </c>
      <c r="P642" s="80">
        <f>IF($A642="","",IFERROR(INDEX(Sheet1!$P:$P,MATCH($A642,Sheet1!$A:$A,0)),""))</f>
        <v/>
      </c>
      <c r="Q642" s="75">
        <f>IF($A642="","",IFERROR(INDEX(Company_desc!$C:$C,MATCH($A642,Company_desc!$A:$A,0)),IFERROR(INDEX(Sheet1!$Q:$Q,MATCH($A642,Sheet1!$A:$A,0)),"")))</f>
        <v/>
      </c>
      <c r="R642" s="75">
        <f>IF($A642="","",_xll.BDP($A642&amp;" Corp","CRNCY"))</f>
        <v/>
      </c>
      <c r="S642" s="75">
        <f>IF($A642="","",IFERROR(INDEX(Sheet1!$S:$S,MATCH($A642,Sheet1!$A:$A,0)),""))</f>
        <v/>
      </c>
      <c r="T642" s="75">
        <f>IF($A642="","",IFERROR(INDEX(Sheet1!$T:$T,MATCH($A642,Sheet1!$A:$A,0)),_xll.BDP($A642&amp;" Corp","RTG_SP")))</f>
        <v/>
      </c>
      <c r="U642" s="75">
        <f>IF($A642="","",IFERROR(INDEX(Sheet1!$U:$U,MATCH($A642,Sheet1!$A:$A,0)),""))</f>
        <v/>
      </c>
      <c r="W642" s="81">
        <f>IF($A642="","",N642-_xll.BDP($A642&amp;" Corp","YAS_OAS_SPRD","SETTLE_DT",Company_desc!$A$1))</f>
        <v/>
      </c>
      <c r="X642" s="81">
        <f>IF($A642="","",N642-_xll.BDP($A642&amp;" Corp","YAS_OAS_SPRD","SETTLE_DT",Company_desc!$A$2))</f>
        <v/>
      </c>
      <c r="Y642" s="80">
        <f>IF($A642="","",N642-_xll.BDP($A642&amp;" Corp","YAS_OAS_SPRD","SETTLE_DT",Company_desc!$D$1))</f>
        <v/>
      </c>
      <c r="Z642" s="82">
        <f>IF($A642="","",K642-_xll.BDP($A642&amp;" Corp","YAS_BOND_YLD","YAS_YLD_FLAG=15","SETTLE_DT",Company_desc!$D$1))</f>
        <v/>
      </c>
      <c r="AA642" s="80">
        <f>IF($A642="","",_xll.BDP($A642&amp;" Corp","YAS_OAS_SPRD","SETTLE_DT",Company_desc!$D$1))</f>
        <v/>
      </c>
    </row>
    <row r="643">
      <c r="B643" s="75">
        <f>IF($A643="","",IFERROR(INDEX(Sheet1!$B:$B,MATCH($A643,Sheet1!$A:$A,0)),""))</f>
        <v/>
      </c>
      <c r="C643" s="75">
        <f>IF($A643="","",PROPER(_xll.BDP($A643&amp;" Corp","NAME")))</f>
        <v/>
      </c>
      <c r="D643" s="76">
        <f>IF($A643="","",_xll.BDP($A643&amp;" Corp","CPN"))</f>
        <v/>
      </c>
      <c r="E643" s="75">
        <f>IF($A643="","",_xll.BDP($A643&amp;" Corp","PAYMENT_RANK"))</f>
        <v/>
      </c>
      <c r="F643" s="100">
        <f>IF($A643="","",_xll.BDP($A643&amp;" Corp","MATURITY"))</f>
        <v/>
      </c>
      <c r="G643" s="75">
        <f>IF($A643="","",PROPER(_xll.BDP($A643&amp;" Corp","COUNTRY_FULL_NAME")))</f>
        <v/>
      </c>
      <c r="H643" s="75">
        <f>IF($A643="","",_xll.BDP($A643&amp;" Corp","INDUSTRY_SECTOR"))</f>
        <v/>
      </c>
      <c r="I643" s="101">
        <f>IF($A643="","",IFERROR(_xll.BDP($A643&amp;" Corp","MIN_PIECE")/1000,""))</f>
        <v/>
      </c>
      <c r="J643" s="31">
        <f>IF($A643="","",_xll.BDP($A643&amp;" Corp","PX_LAST"))</f>
        <v/>
      </c>
      <c r="K643" s="31">
        <f>IF($A643="","",_xll.BDP($A643&amp;" Corp","YAS_BOND_YLD","YAS_YLD_FLAG=15"))</f>
        <v/>
      </c>
      <c r="L643" s="31">
        <f>IF($A643="","",K643-_xll.BDP($A643&amp;" Corp","YAS_BOND_YLD","YAS_YLD_FLAG=15","SETTLE_DT",Company_desc!$A$1))</f>
        <v/>
      </c>
      <c r="M643" s="31">
        <f>IF($A643="","",K643-_xll.BDP($A643&amp;" Corp","YAS_BOND_YLD","YAS_YLD_FLAG=15","SETTLE_DT",Company_desc!$A$2))</f>
        <v/>
      </c>
      <c r="N643" s="79">
        <f>IF($A643="","",_xll.BDP($A643&amp;" Corp","YAS_OAS_SPRD"))</f>
        <v/>
      </c>
      <c r="O643" s="67">
        <f>IF($A643="","",_xll.BDP($A643&amp;" Corp","YAS_MOD_DUR"))</f>
        <v/>
      </c>
      <c r="P643" s="80">
        <f>IF($A643="","",IFERROR(INDEX(Sheet1!$P:$P,MATCH($A643,Sheet1!$A:$A,0)),""))</f>
        <v/>
      </c>
      <c r="Q643" s="75">
        <f>IF($A643="","",IFERROR(INDEX(Company_desc!$C:$C,MATCH($A643,Company_desc!$A:$A,0)),IFERROR(INDEX(Sheet1!$Q:$Q,MATCH($A643,Sheet1!$A:$A,0)),"")))</f>
        <v/>
      </c>
      <c r="R643" s="75">
        <f>IF($A643="","",_xll.BDP($A643&amp;" Corp","CRNCY"))</f>
        <v/>
      </c>
      <c r="S643" s="75">
        <f>IF($A643="","",IFERROR(INDEX(Sheet1!$S:$S,MATCH($A643,Sheet1!$A:$A,0)),""))</f>
        <v/>
      </c>
      <c r="T643" s="75">
        <f>IF($A643="","",IFERROR(INDEX(Sheet1!$T:$T,MATCH($A643,Sheet1!$A:$A,0)),_xll.BDP($A643&amp;" Corp","RTG_SP")))</f>
        <v/>
      </c>
      <c r="U643" s="75">
        <f>IF($A643="","",IFERROR(INDEX(Sheet1!$U:$U,MATCH($A643,Sheet1!$A:$A,0)),""))</f>
        <v/>
      </c>
      <c r="W643" s="81">
        <f>IF($A643="","",N643-_xll.BDP($A643&amp;" Corp","YAS_OAS_SPRD","SETTLE_DT",Company_desc!$A$1))</f>
        <v/>
      </c>
      <c r="X643" s="81">
        <f>IF($A643="","",N643-_xll.BDP($A643&amp;" Corp","YAS_OAS_SPRD","SETTLE_DT",Company_desc!$A$2))</f>
        <v/>
      </c>
      <c r="Y643" s="80">
        <f>IF($A643="","",N643-_xll.BDP($A643&amp;" Corp","YAS_OAS_SPRD","SETTLE_DT",Company_desc!$D$1))</f>
        <v/>
      </c>
      <c r="Z643" s="82">
        <f>IF($A643="","",K643-_xll.BDP($A643&amp;" Corp","YAS_BOND_YLD","YAS_YLD_FLAG=15","SETTLE_DT",Company_desc!$D$1))</f>
        <v/>
      </c>
      <c r="AA643" s="80">
        <f>IF($A643="","",_xll.BDP($A643&amp;" Corp","YAS_OAS_SPRD","SETTLE_DT",Company_desc!$D$1))</f>
        <v/>
      </c>
    </row>
    <row r="644">
      <c r="B644" s="75">
        <f>IF($A644="","",IFERROR(INDEX(Sheet1!$B:$B,MATCH($A644,Sheet1!$A:$A,0)),""))</f>
        <v/>
      </c>
      <c r="C644" s="75">
        <f>IF($A644="","",PROPER(_xll.BDP($A644&amp;" Corp","NAME")))</f>
        <v/>
      </c>
      <c r="D644" s="76">
        <f>IF($A644="","",_xll.BDP($A644&amp;" Corp","CPN"))</f>
        <v/>
      </c>
      <c r="E644" s="75">
        <f>IF($A644="","",_xll.BDP($A644&amp;" Corp","PAYMENT_RANK"))</f>
        <v/>
      </c>
      <c r="F644" s="100">
        <f>IF($A644="","",_xll.BDP($A644&amp;" Corp","MATURITY"))</f>
        <v/>
      </c>
      <c r="G644" s="75">
        <f>IF($A644="","",PROPER(_xll.BDP($A644&amp;" Corp","COUNTRY_FULL_NAME")))</f>
        <v/>
      </c>
      <c r="H644" s="75">
        <f>IF($A644="","",_xll.BDP($A644&amp;" Corp","INDUSTRY_SECTOR"))</f>
        <v/>
      </c>
      <c r="I644" s="101">
        <f>IF($A644="","",IFERROR(_xll.BDP($A644&amp;" Corp","MIN_PIECE")/1000,""))</f>
        <v/>
      </c>
      <c r="J644" s="31">
        <f>IF($A644="","",_xll.BDP($A644&amp;" Corp","PX_LAST"))</f>
        <v/>
      </c>
      <c r="K644" s="31">
        <f>IF($A644="","",_xll.BDP($A644&amp;" Corp","YAS_BOND_YLD","YAS_YLD_FLAG=15"))</f>
        <v/>
      </c>
      <c r="L644" s="31">
        <f>IF($A644="","",K644-_xll.BDP($A644&amp;" Corp","YAS_BOND_YLD","YAS_YLD_FLAG=15","SETTLE_DT",Company_desc!$A$1))</f>
        <v/>
      </c>
      <c r="M644" s="31">
        <f>IF($A644="","",K644-_xll.BDP($A644&amp;" Corp","YAS_BOND_YLD","YAS_YLD_FLAG=15","SETTLE_DT",Company_desc!$A$2))</f>
        <v/>
      </c>
      <c r="N644" s="79">
        <f>IF($A644="","",_xll.BDP($A644&amp;" Corp","YAS_OAS_SPRD"))</f>
        <v/>
      </c>
      <c r="O644" s="67">
        <f>IF($A644="","",_xll.BDP($A644&amp;" Corp","YAS_MOD_DUR"))</f>
        <v/>
      </c>
      <c r="P644" s="80">
        <f>IF($A644="","",IFERROR(INDEX(Sheet1!$P:$P,MATCH($A644,Sheet1!$A:$A,0)),""))</f>
        <v/>
      </c>
      <c r="Q644" s="75">
        <f>IF($A644="","",IFERROR(INDEX(Company_desc!$C:$C,MATCH($A644,Company_desc!$A:$A,0)),IFERROR(INDEX(Sheet1!$Q:$Q,MATCH($A644,Sheet1!$A:$A,0)),"")))</f>
        <v/>
      </c>
      <c r="R644" s="75">
        <f>IF($A644="","",_xll.BDP($A644&amp;" Corp","CRNCY"))</f>
        <v/>
      </c>
      <c r="S644" s="75">
        <f>IF($A644="","",IFERROR(INDEX(Sheet1!$S:$S,MATCH($A644,Sheet1!$A:$A,0)),""))</f>
        <v/>
      </c>
      <c r="T644" s="75">
        <f>IF($A644="","",IFERROR(INDEX(Sheet1!$T:$T,MATCH($A644,Sheet1!$A:$A,0)),_xll.BDP($A644&amp;" Corp","RTG_SP")))</f>
        <v/>
      </c>
      <c r="U644" s="75">
        <f>IF($A644="","",IFERROR(INDEX(Sheet1!$U:$U,MATCH($A644,Sheet1!$A:$A,0)),""))</f>
        <v/>
      </c>
      <c r="W644" s="81">
        <f>IF($A644="","",N644-_xll.BDP($A644&amp;" Corp","YAS_OAS_SPRD","SETTLE_DT",Company_desc!$A$1))</f>
        <v/>
      </c>
      <c r="X644" s="81">
        <f>IF($A644="","",N644-_xll.BDP($A644&amp;" Corp","YAS_OAS_SPRD","SETTLE_DT",Company_desc!$A$2))</f>
        <v/>
      </c>
      <c r="Y644" s="80">
        <f>IF($A644="","",N644-_xll.BDP($A644&amp;" Corp","YAS_OAS_SPRD","SETTLE_DT",Company_desc!$D$1))</f>
        <v/>
      </c>
      <c r="Z644" s="82">
        <f>IF($A644="","",K644-_xll.BDP($A644&amp;" Corp","YAS_BOND_YLD","YAS_YLD_FLAG=15","SETTLE_DT",Company_desc!$D$1))</f>
        <v/>
      </c>
      <c r="AA644" s="80">
        <f>IF($A644="","",_xll.BDP($A644&amp;" Corp","YAS_OAS_SPRD","SETTLE_DT",Company_desc!$D$1))</f>
        <v/>
      </c>
    </row>
    <row r="645">
      <c r="B645" s="75">
        <f>IF($A645="","",IFERROR(INDEX(Sheet1!$B:$B,MATCH($A645,Sheet1!$A:$A,0)),""))</f>
        <v/>
      </c>
      <c r="C645" s="75">
        <f>IF($A645="","",PROPER(_xll.BDP($A645&amp;" Corp","NAME")))</f>
        <v/>
      </c>
      <c r="D645" s="76">
        <f>IF($A645="","",_xll.BDP($A645&amp;" Corp","CPN"))</f>
        <v/>
      </c>
      <c r="E645" s="75">
        <f>IF($A645="","",_xll.BDP($A645&amp;" Corp","PAYMENT_RANK"))</f>
        <v/>
      </c>
      <c r="F645" s="100">
        <f>IF($A645="","",_xll.BDP($A645&amp;" Corp","MATURITY"))</f>
        <v/>
      </c>
      <c r="G645" s="75">
        <f>IF($A645="","",PROPER(_xll.BDP($A645&amp;" Corp","COUNTRY_FULL_NAME")))</f>
        <v/>
      </c>
      <c r="H645" s="75">
        <f>IF($A645="","",_xll.BDP($A645&amp;" Corp","INDUSTRY_SECTOR"))</f>
        <v/>
      </c>
      <c r="I645" s="101">
        <f>IF($A645="","",IFERROR(_xll.BDP($A645&amp;" Corp","MIN_PIECE")/1000,""))</f>
        <v/>
      </c>
      <c r="J645" s="31">
        <f>IF($A645="","",_xll.BDP($A645&amp;" Corp","PX_LAST"))</f>
        <v/>
      </c>
      <c r="K645" s="31">
        <f>IF($A645="","",_xll.BDP($A645&amp;" Corp","YAS_BOND_YLD","YAS_YLD_FLAG=15"))</f>
        <v/>
      </c>
      <c r="L645" s="31">
        <f>IF($A645="","",K645-_xll.BDP($A645&amp;" Corp","YAS_BOND_YLD","YAS_YLD_FLAG=15","SETTLE_DT",Company_desc!$A$1))</f>
        <v/>
      </c>
      <c r="M645" s="31">
        <f>IF($A645="","",K645-_xll.BDP($A645&amp;" Corp","YAS_BOND_YLD","YAS_YLD_FLAG=15","SETTLE_DT",Company_desc!$A$2))</f>
        <v/>
      </c>
      <c r="N645" s="79">
        <f>IF($A645="","",_xll.BDP($A645&amp;" Corp","YAS_OAS_SPRD"))</f>
        <v/>
      </c>
      <c r="O645" s="82">
        <f>IF($A645="","",_xll.BDP($A645&amp;" Corp","YAS_MOD_DUR"))</f>
        <v/>
      </c>
      <c r="P645" s="80">
        <f>IF($A645="","",IFERROR(INDEX(Sheet1!$P:$P,MATCH($A645,Sheet1!$A:$A,0)),""))</f>
        <v/>
      </c>
      <c r="Q645" s="75">
        <f>IF($A645="","",IFERROR(INDEX(Company_desc!$C:$C,MATCH($A645,Company_desc!$A:$A,0)),IFERROR(INDEX(Sheet1!$Q:$Q,MATCH($A645,Sheet1!$A:$A,0)),"")))</f>
        <v/>
      </c>
      <c r="R645" s="75">
        <f>IF($A645="","",_xll.BDP($A645&amp;" Corp","CRNCY"))</f>
        <v/>
      </c>
      <c r="S645" s="75">
        <f>IF($A645="","",IFERROR(INDEX(Sheet1!$S:$S,MATCH($A645,Sheet1!$A:$A,0)),""))</f>
        <v/>
      </c>
      <c r="T645" s="75">
        <f>IF($A645="","",IFERROR(INDEX(Sheet1!$T:$T,MATCH($A645,Sheet1!$A:$A,0)),_xll.BDP($A645&amp;" Corp","RTG_SP")))</f>
        <v/>
      </c>
      <c r="U645" s="75">
        <f>IF($A645="","",IFERROR(INDEX(Sheet1!$U:$U,MATCH($A645,Sheet1!$A:$A,0)),""))</f>
        <v/>
      </c>
      <c r="W645" s="81">
        <f>IF($A645="","",N645-_xll.BDP($A645&amp;" Corp","YAS_OAS_SPRD","SETTLE_DT",Company_desc!$A$1))</f>
        <v/>
      </c>
      <c r="X645" s="81">
        <f>IF($A645="","",N645-_xll.BDP($A645&amp;" Corp","YAS_OAS_SPRD","SETTLE_DT",Company_desc!$A$2))</f>
        <v/>
      </c>
      <c r="Y645" s="80">
        <f>IF($A645="","",N645-_xll.BDP($A645&amp;" Corp","YAS_OAS_SPRD","SETTLE_DT",Company_desc!$D$1))</f>
        <v/>
      </c>
      <c r="Z645" s="82">
        <f>IF($A645="","",K645-_xll.BDP($A645&amp;" Corp","YAS_BOND_YLD","YAS_YLD_FLAG=15","SETTLE_DT",Company_desc!$D$1))</f>
        <v/>
      </c>
      <c r="AA645" s="80">
        <f>IF($A645="","",_xll.BDP($A645&amp;" Corp","YAS_OAS_SPRD","SETTLE_DT",Company_desc!$D$1))</f>
        <v/>
      </c>
    </row>
    <row r="646">
      <c r="B646" s="75">
        <f>IF($A646="","",IFERROR(INDEX(Sheet1!$B:$B,MATCH($A646,Sheet1!$A:$A,0)),""))</f>
        <v/>
      </c>
      <c r="C646" s="75">
        <f>IF($A646="","",PROPER(_xll.BDP($A646&amp;" Corp","NAME")))</f>
        <v/>
      </c>
      <c r="D646" s="76">
        <f>IF($A646="","",_xll.BDP($A646&amp;" Corp","CPN"))</f>
        <v/>
      </c>
      <c r="E646" s="75">
        <f>IF($A646="","",_xll.BDP($A646&amp;" Corp","PAYMENT_RANK"))</f>
        <v/>
      </c>
      <c r="F646" s="100">
        <f>IF($A646="","",_xll.BDP($A646&amp;" Corp","MATURITY"))</f>
        <v/>
      </c>
      <c r="G646" s="75">
        <f>IF($A646="","",PROPER(_xll.BDP($A646&amp;" Corp","COUNTRY_FULL_NAME")))</f>
        <v/>
      </c>
      <c r="H646" s="75">
        <f>IF($A646="","",_xll.BDP($A646&amp;" Corp","INDUSTRY_SECTOR"))</f>
        <v/>
      </c>
      <c r="I646" s="101">
        <f>IF($A646="","",IFERROR(_xll.BDP($A646&amp;" Corp","MIN_PIECE")/1000,""))</f>
        <v/>
      </c>
      <c r="J646" s="31">
        <f>IF($A646="","",_xll.BDP($A646&amp;" Corp","PX_LAST"))</f>
        <v/>
      </c>
      <c r="K646" s="31">
        <f>IF($A646="","",_xll.BDP($A646&amp;" Corp","YAS_BOND_YLD","YAS_YLD_FLAG=15"))</f>
        <v/>
      </c>
      <c r="L646" s="31">
        <f>IF($A646="","",K646-_xll.BDP($A646&amp;" Corp","YAS_BOND_YLD","YAS_YLD_FLAG=15","SETTLE_DT",Company_desc!$A$1))</f>
        <v/>
      </c>
      <c r="M646" s="31">
        <f>IF($A646="","",K646-_xll.BDP($A646&amp;" Corp","YAS_BOND_YLD","YAS_YLD_FLAG=15","SETTLE_DT",Company_desc!$A$2))</f>
        <v/>
      </c>
      <c r="N646" s="79">
        <f>IF($A646="","",_xll.BDP($A646&amp;" Corp","YAS_OAS_SPRD"))</f>
        <v/>
      </c>
      <c r="O646" s="67">
        <f>IF($A646="","",_xll.BDP($A646&amp;" Corp","YAS_MOD_DUR"))</f>
        <v/>
      </c>
      <c r="P646" s="80">
        <f>IF($A646="","",IFERROR(INDEX(Sheet1!$P:$P,MATCH($A646,Sheet1!$A:$A,0)),""))</f>
        <v/>
      </c>
      <c r="Q646" s="75">
        <f>IF($A646="","",IFERROR(INDEX(Company_desc!$C:$C,MATCH($A646,Company_desc!$A:$A,0)),IFERROR(INDEX(Sheet1!$Q:$Q,MATCH($A646,Sheet1!$A:$A,0)),"")))</f>
        <v/>
      </c>
      <c r="R646" s="75">
        <f>IF($A646="","",_xll.BDP($A646&amp;" Corp","CRNCY"))</f>
        <v/>
      </c>
      <c r="S646" s="75">
        <f>IF($A646="","",IFERROR(INDEX(Sheet1!$S:$S,MATCH($A646,Sheet1!$A:$A,0)),""))</f>
        <v/>
      </c>
      <c r="T646" s="75">
        <f>IF($A646="","",IFERROR(INDEX(Sheet1!$T:$T,MATCH($A646,Sheet1!$A:$A,0)),_xll.BDP($A646&amp;" Corp","RTG_SP")))</f>
        <v/>
      </c>
      <c r="U646" s="75">
        <f>IF($A646="","",IFERROR(INDEX(Sheet1!$U:$U,MATCH($A646,Sheet1!$A:$A,0)),""))</f>
        <v/>
      </c>
      <c r="W646" s="81">
        <f>IF($A646="","",N646-_xll.BDP($A646&amp;" Corp","YAS_OAS_SPRD","SETTLE_DT",Company_desc!$A$1))</f>
        <v/>
      </c>
      <c r="X646" s="81">
        <f>IF($A646="","",N646-_xll.BDP($A646&amp;" Corp","YAS_OAS_SPRD","SETTLE_DT",Company_desc!$A$2))</f>
        <v/>
      </c>
      <c r="Y646" s="80">
        <f>IF($A646="","",N646-_xll.BDP($A646&amp;" Corp","YAS_OAS_SPRD","SETTLE_DT",Company_desc!$D$1))</f>
        <v/>
      </c>
      <c r="Z646" s="82">
        <f>IF($A646="","",K646-_xll.BDP($A646&amp;" Corp","YAS_BOND_YLD","YAS_YLD_FLAG=15","SETTLE_DT",Company_desc!$D$1))</f>
        <v/>
      </c>
      <c r="AA646" s="80">
        <f>IF($A646="","",_xll.BDP($A646&amp;" Corp","YAS_OAS_SPRD","SETTLE_DT",Company_desc!$D$1))</f>
        <v/>
      </c>
    </row>
    <row r="647">
      <c r="B647" s="75">
        <f>IF($A647="","",IFERROR(INDEX(Sheet1!$B:$B,MATCH($A647,Sheet1!$A:$A,0)),""))</f>
        <v/>
      </c>
      <c r="C647" s="75">
        <f>IF($A647="","",PROPER(_xll.BDP($A647&amp;" Corp","NAME")))</f>
        <v/>
      </c>
      <c r="D647" s="76">
        <f>IF($A647="","",_xll.BDP($A647&amp;" Corp","CPN"))</f>
        <v/>
      </c>
      <c r="E647" s="75">
        <f>IF($A647="","",_xll.BDP($A647&amp;" Corp","PAYMENT_RANK"))</f>
        <v/>
      </c>
      <c r="F647" s="100">
        <f>IF($A647="","",_xll.BDP($A647&amp;" Corp","MATURITY"))</f>
        <v/>
      </c>
      <c r="G647" s="75">
        <f>IF($A647="","",PROPER(_xll.BDP($A647&amp;" Corp","COUNTRY_FULL_NAME")))</f>
        <v/>
      </c>
      <c r="H647" s="75">
        <f>IF($A647="","",_xll.BDP($A647&amp;" Corp","INDUSTRY_SECTOR"))</f>
        <v/>
      </c>
      <c r="I647" s="101">
        <f>IF($A647="","",IFERROR(_xll.BDP($A647&amp;" Corp","MIN_PIECE")/1000,""))</f>
        <v/>
      </c>
      <c r="J647" s="31">
        <f>IF($A647="","",_xll.BDP($A647&amp;" Corp","PX_LAST"))</f>
        <v/>
      </c>
      <c r="K647" s="31">
        <f>IF($A647="","",_xll.BDP($A647&amp;" Corp","YAS_BOND_YLD","YAS_YLD_FLAG=15"))</f>
        <v/>
      </c>
      <c r="L647" s="31">
        <f>IF($A647="","",K647-_xll.BDP($A647&amp;" Corp","YAS_BOND_YLD","YAS_YLD_FLAG=15","SETTLE_DT",Company_desc!$A$1))</f>
        <v/>
      </c>
      <c r="M647" s="31">
        <f>IF($A647="","",K647-_xll.BDP($A647&amp;" Corp","YAS_BOND_YLD","YAS_YLD_FLAG=15","SETTLE_DT",Company_desc!$A$2))</f>
        <v/>
      </c>
      <c r="N647" s="79">
        <f>IF($A647="","",_xll.BDP($A647&amp;" Corp","YAS_OAS_SPRD"))</f>
        <v/>
      </c>
      <c r="O647" s="67">
        <f>IF($A647="","",_xll.BDP($A647&amp;" Corp","YAS_MOD_DUR"))</f>
        <v/>
      </c>
      <c r="P647" s="80">
        <f>IF($A647="","",IFERROR(INDEX(Sheet1!$P:$P,MATCH($A647,Sheet1!$A:$A,0)),""))</f>
        <v/>
      </c>
      <c r="Q647" s="75">
        <f>IF($A647="","",IFERROR(INDEX(Company_desc!$C:$C,MATCH($A647,Company_desc!$A:$A,0)),IFERROR(INDEX(Sheet1!$Q:$Q,MATCH($A647,Sheet1!$A:$A,0)),"")))</f>
        <v/>
      </c>
      <c r="R647" s="75">
        <f>IF($A647="","",_xll.BDP($A647&amp;" Corp","CRNCY"))</f>
        <v/>
      </c>
      <c r="S647" s="75">
        <f>IF($A647="","",IFERROR(INDEX(Sheet1!$S:$S,MATCH($A647,Sheet1!$A:$A,0)),""))</f>
        <v/>
      </c>
      <c r="T647" s="75">
        <f>IF($A647="","",IFERROR(INDEX(Sheet1!$T:$T,MATCH($A647,Sheet1!$A:$A,0)),_xll.BDP($A647&amp;" Corp","RTG_SP")))</f>
        <v/>
      </c>
      <c r="U647" s="75">
        <f>IF($A647="","",IFERROR(INDEX(Sheet1!$U:$U,MATCH($A647,Sheet1!$A:$A,0)),""))</f>
        <v/>
      </c>
      <c r="W647" s="81">
        <f>IF($A647="","",N647-_xll.BDP($A647&amp;" Corp","YAS_OAS_SPRD","SETTLE_DT",Company_desc!$A$1))</f>
        <v/>
      </c>
      <c r="X647" s="81">
        <f>IF($A647="","",N647-_xll.BDP($A647&amp;" Corp","YAS_OAS_SPRD","SETTLE_DT",Company_desc!$A$2))</f>
        <v/>
      </c>
      <c r="Y647" s="80">
        <f>IF($A647="","",N647-_xll.BDP($A647&amp;" Corp","YAS_OAS_SPRD","SETTLE_DT",Company_desc!$D$1))</f>
        <v/>
      </c>
      <c r="Z647" s="82">
        <f>IF($A647="","",K647-_xll.BDP($A647&amp;" Corp","YAS_BOND_YLD","YAS_YLD_FLAG=15","SETTLE_DT",Company_desc!$D$1))</f>
        <v/>
      </c>
      <c r="AA647" s="80">
        <f>IF($A647="","",_xll.BDP($A647&amp;" Corp","YAS_OAS_SPRD","SETTLE_DT",Company_desc!$D$1))</f>
        <v/>
      </c>
    </row>
    <row r="648">
      <c r="B648" s="75">
        <f>IF($A648="","",IFERROR(INDEX(Sheet1!$B:$B,MATCH($A648,Sheet1!$A:$A,0)),""))</f>
        <v/>
      </c>
      <c r="C648" s="75">
        <f>IF($A648="","",PROPER(_xll.BDP($A648&amp;" Corp","NAME")))</f>
        <v/>
      </c>
      <c r="D648" s="76">
        <f>IF($A648="","",_xll.BDP($A648&amp;" Corp","CPN"))</f>
        <v/>
      </c>
      <c r="E648" s="75">
        <f>IF($A648="","",_xll.BDP($A648&amp;" Corp","PAYMENT_RANK"))</f>
        <v/>
      </c>
      <c r="F648" s="100">
        <f>IF($A648="","",_xll.BDP($A648&amp;" Corp","MATURITY"))</f>
        <v/>
      </c>
      <c r="G648" s="75">
        <f>IF($A648="","",PROPER(_xll.BDP($A648&amp;" Corp","COUNTRY_FULL_NAME")))</f>
        <v/>
      </c>
      <c r="H648" s="75">
        <f>IF($A648="","",_xll.BDP($A648&amp;" Corp","INDUSTRY_SECTOR"))</f>
        <v/>
      </c>
      <c r="I648" s="101">
        <f>IF($A648="","",IFERROR(_xll.BDP($A648&amp;" Corp","MIN_PIECE")/1000,""))</f>
        <v/>
      </c>
      <c r="J648" s="31">
        <f>IF($A648="","",_xll.BDP($A648&amp;" Corp","PX_LAST"))</f>
        <v/>
      </c>
      <c r="K648" s="31">
        <f>IF($A648="","",_xll.BDP($A648&amp;" Corp","YAS_BOND_YLD","YAS_YLD_FLAG=15"))</f>
        <v/>
      </c>
      <c r="L648" s="31">
        <f>IF($A648="","",K648-_xll.BDP($A648&amp;" Corp","YAS_BOND_YLD","YAS_YLD_FLAG=15","SETTLE_DT",Company_desc!$A$1))</f>
        <v/>
      </c>
      <c r="M648" s="31">
        <f>IF($A648="","",K648-_xll.BDP($A648&amp;" Corp","YAS_BOND_YLD","YAS_YLD_FLAG=15","SETTLE_DT",Company_desc!$A$2))</f>
        <v/>
      </c>
      <c r="N648" s="79">
        <f>IF($A648="","",_xll.BDP($A648&amp;" Corp","YAS_OAS_SPRD"))</f>
        <v/>
      </c>
      <c r="O648" s="67">
        <f>IF($A648="","",_xll.BDP($A648&amp;" Corp","YAS_MOD_DUR"))</f>
        <v/>
      </c>
      <c r="P648" s="80">
        <f>IF($A648="","",IFERROR(INDEX(Sheet1!$P:$P,MATCH($A648,Sheet1!$A:$A,0)),""))</f>
        <v/>
      </c>
      <c r="Q648" s="75">
        <f>IF($A648="","",IFERROR(INDEX(Company_desc!$C:$C,MATCH($A648,Company_desc!$A:$A,0)),IFERROR(INDEX(Sheet1!$Q:$Q,MATCH($A648,Sheet1!$A:$A,0)),"")))</f>
        <v/>
      </c>
      <c r="R648" s="75">
        <f>IF($A648="","",_xll.BDP($A648&amp;" Corp","CRNCY"))</f>
        <v/>
      </c>
      <c r="S648" s="75">
        <f>IF($A648="","",IFERROR(INDEX(Sheet1!$S:$S,MATCH($A648,Sheet1!$A:$A,0)),""))</f>
        <v/>
      </c>
      <c r="T648" s="75">
        <f>IF($A648="","",IFERROR(INDEX(Sheet1!$T:$T,MATCH($A648,Sheet1!$A:$A,0)),_xll.BDP($A648&amp;" Corp","RTG_SP")))</f>
        <v/>
      </c>
      <c r="U648" s="75">
        <f>IF($A648="","",IFERROR(INDEX(Sheet1!$U:$U,MATCH($A648,Sheet1!$A:$A,0)),""))</f>
        <v/>
      </c>
      <c r="W648" s="81">
        <f>IF($A648="","",N648-_xll.BDP($A648&amp;" Corp","YAS_OAS_SPRD","SETTLE_DT",Company_desc!$A$1))</f>
        <v/>
      </c>
      <c r="X648" s="81">
        <f>IF($A648="","",N648-_xll.BDP($A648&amp;" Corp","YAS_OAS_SPRD","SETTLE_DT",Company_desc!$A$2))</f>
        <v/>
      </c>
      <c r="Y648" s="80">
        <f>IF($A648="","",N648-_xll.BDP($A648&amp;" Corp","YAS_OAS_SPRD","SETTLE_DT",Company_desc!$D$1))</f>
        <v/>
      </c>
      <c r="Z648" s="82">
        <f>IF($A648="","",K648-_xll.BDP($A648&amp;" Corp","YAS_BOND_YLD","YAS_YLD_FLAG=15","SETTLE_DT",Company_desc!$D$1))</f>
        <v/>
      </c>
      <c r="AA648" s="80">
        <f>IF($A648="","",_xll.BDP($A648&amp;" Corp","YAS_OAS_SPRD","SETTLE_DT",Company_desc!$D$1))</f>
        <v/>
      </c>
    </row>
    <row r="649">
      <c r="B649" s="75">
        <f>IF($A649="","",IFERROR(INDEX(Sheet1!$B:$B,MATCH($A649,Sheet1!$A:$A,0)),""))</f>
        <v/>
      </c>
      <c r="C649" s="75">
        <f>IF($A649="","",PROPER(_xll.BDP($A649&amp;" Corp","NAME")))</f>
        <v/>
      </c>
      <c r="D649" s="76">
        <f>IF($A649="","",_xll.BDP($A649&amp;" Corp","CPN"))</f>
        <v/>
      </c>
      <c r="E649" s="75">
        <f>IF($A649="","",_xll.BDP($A649&amp;" Corp","PAYMENT_RANK"))</f>
        <v/>
      </c>
      <c r="F649" s="100">
        <f>IF($A649="","",_xll.BDP($A649&amp;" Corp","MATURITY"))</f>
        <v/>
      </c>
      <c r="G649" s="75">
        <f>IF($A649="","",PROPER(_xll.BDP($A649&amp;" Corp","COUNTRY_FULL_NAME")))</f>
        <v/>
      </c>
      <c r="H649" s="75">
        <f>IF($A649="","",_xll.BDP($A649&amp;" Corp","INDUSTRY_SECTOR"))</f>
        <v/>
      </c>
      <c r="I649" s="101">
        <f>IF($A649="","",IFERROR(_xll.BDP($A649&amp;" Corp","MIN_PIECE")/1000,""))</f>
        <v/>
      </c>
      <c r="J649" s="31">
        <f>IF($A649="","",_xll.BDP($A649&amp;" Corp","PX_LAST"))</f>
        <v/>
      </c>
      <c r="K649" s="31">
        <f>IF($A649="","",_xll.BDP($A649&amp;" Corp","YAS_BOND_YLD","YAS_YLD_FLAG=15"))</f>
        <v/>
      </c>
      <c r="L649" s="31">
        <f>IF($A649="","",K649-_xll.BDP($A649&amp;" Corp","YAS_BOND_YLD","YAS_YLD_FLAG=15","SETTLE_DT",Company_desc!$A$1))</f>
        <v/>
      </c>
      <c r="M649" s="31">
        <f>IF($A649="","",K649-_xll.BDP($A649&amp;" Corp","YAS_BOND_YLD","YAS_YLD_FLAG=15","SETTLE_DT",Company_desc!$A$2))</f>
        <v/>
      </c>
      <c r="N649" s="79">
        <f>IF($A649="","",_xll.BDP($A649&amp;" Corp","YAS_OAS_SPRD"))</f>
        <v/>
      </c>
      <c r="O649" s="67">
        <f>IF($A649="","",_xll.BDP($A649&amp;" Corp","YAS_MOD_DUR"))</f>
        <v/>
      </c>
      <c r="P649" s="80">
        <f>IF($A649="","",IFERROR(INDEX(Sheet1!$P:$P,MATCH($A649,Sheet1!$A:$A,0)),""))</f>
        <v/>
      </c>
      <c r="Q649" s="75">
        <f>IF($A649="","",IFERROR(INDEX(Company_desc!$C:$C,MATCH($A649,Company_desc!$A:$A,0)),IFERROR(INDEX(Sheet1!$Q:$Q,MATCH($A649,Sheet1!$A:$A,0)),"")))</f>
        <v/>
      </c>
      <c r="R649" s="75">
        <f>IF($A649="","",_xll.BDP($A649&amp;" Corp","CRNCY"))</f>
        <v/>
      </c>
      <c r="S649" s="75">
        <f>IF($A649="","",IFERROR(INDEX(Sheet1!$S:$S,MATCH($A649,Sheet1!$A:$A,0)),""))</f>
        <v/>
      </c>
      <c r="T649" s="75">
        <f>IF($A649="","",IFERROR(INDEX(Sheet1!$T:$T,MATCH($A649,Sheet1!$A:$A,0)),_xll.BDP($A649&amp;" Corp","RTG_SP")))</f>
        <v/>
      </c>
      <c r="U649" s="75">
        <f>IF($A649="","",IFERROR(INDEX(Sheet1!$U:$U,MATCH($A649,Sheet1!$A:$A,0)),""))</f>
        <v/>
      </c>
      <c r="W649" s="81">
        <f>IF($A649="","",N649-_xll.BDP($A649&amp;" Corp","YAS_OAS_SPRD","SETTLE_DT",Company_desc!$A$1))</f>
        <v/>
      </c>
      <c r="X649" s="81">
        <f>IF($A649="","",N649-_xll.BDP($A649&amp;" Corp","YAS_OAS_SPRD","SETTLE_DT",Company_desc!$A$2))</f>
        <v/>
      </c>
      <c r="Y649" s="80">
        <f>IF($A649="","",N649-_xll.BDP($A649&amp;" Corp","YAS_OAS_SPRD","SETTLE_DT",Company_desc!$D$1))</f>
        <v/>
      </c>
      <c r="Z649" s="82">
        <f>IF($A649="","",K649-_xll.BDP($A649&amp;" Corp","YAS_BOND_YLD","YAS_YLD_FLAG=15","SETTLE_DT",Company_desc!$D$1))</f>
        <v/>
      </c>
      <c r="AA649" s="80">
        <f>IF($A649="","",_xll.BDP($A649&amp;" Corp","YAS_OAS_SPRD","SETTLE_DT",Company_desc!$D$1))</f>
        <v/>
      </c>
    </row>
    <row r="650">
      <c r="B650" s="75">
        <f>IF($A650="","",IFERROR(INDEX(Sheet1!$B:$B,MATCH($A650,Sheet1!$A:$A,0)),""))</f>
        <v/>
      </c>
      <c r="C650" s="75">
        <f>IF($A650="","",PROPER(_xll.BDP($A650&amp;" Corp","NAME")))</f>
        <v/>
      </c>
      <c r="D650" s="76">
        <f>IF($A650="","",_xll.BDP($A650&amp;" Corp","CPN"))</f>
        <v/>
      </c>
      <c r="E650" s="75">
        <f>IF($A650="","",_xll.BDP($A650&amp;" Corp","PAYMENT_RANK"))</f>
        <v/>
      </c>
      <c r="F650" s="100">
        <f>IF($A650="","",_xll.BDP($A650&amp;" Corp","MATURITY"))</f>
        <v/>
      </c>
      <c r="G650" s="75">
        <f>IF($A650="","",PROPER(_xll.BDP($A650&amp;" Corp","COUNTRY_FULL_NAME")))</f>
        <v/>
      </c>
      <c r="H650" s="75">
        <f>IF($A650="","",_xll.BDP($A650&amp;" Corp","INDUSTRY_SECTOR"))</f>
        <v/>
      </c>
      <c r="I650" s="101">
        <f>IF($A650="","",IFERROR(_xll.BDP($A650&amp;" Corp","MIN_PIECE")/1000,""))</f>
        <v/>
      </c>
      <c r="J650" s="31">
        <f>IF($A650="","",_xll.BDP($A650&amp;" Corp","PX_LAST"))</f>
        <v/>
      </c>
      <c r="K650" s="31">
        <f>IF($A650="","",_xll.BDP($A650&amp;" Corp","YAS_BOND_YLD","YAS_YLD_FLAG=15"))</f>
        <v/>
      </c>
      <c r="L650" s="31">
        <f>IF($A650="","",K650-_xll.BDP($A650&amp;" Corp","YAS_BOND_YLD","YAS_YLD_FLAG=15","SETTLE_DT",Company_desc!$A$1))</f>
        <v/>
      </c>
      <c r="M650" s="31">
        <f>IF($A650="","",K650-_xll.BDP($A650&amp;" Corp","YAS_BOND_YLD","YAS_YLD_FLAG=15","SETTLE_DT",Company_desc!$A$2))</f>
        <v/>
      </c>
      <c r="N650" s="79">
        <f>IF($A650="","",_xll.BDP($A650&amp;" Corp","YAS_OAS_SPRD"))</f>
        <v/>
      </c>
      <c r="O650" s="67">
        <f>IF($A650="","",_xll.BDP($A650&amp;" Corp","YAS_MOD_DUR"))</f>
        <v/>
      </c>
      <c r="P650" s="80">
        <f>IF($A650="","",IFERROR(INDEX(Sheet1!$P:$P,MATCH($A650,Sheet1!$A:$A,0)),""))</f>
        <v/>
      </c>
      <c r="Q650" s="75">
        <f>IF($A650="","",IFERROR(INDEX(Company_desc!$C:$C,MATCH($A650,Company_desc!$A:$A,0)),IFERROR(INDEX(Sheet1!$Q:$Q,MATCH($A650,Sheet1!$A:$A,0)),"")))</f>
        <v/>
      </c>
      <c r="R650" s="75">
        <f>IF($A650="","",_xll.BDP($A650&amp;" Corp","CRNCY"))</f>
        <v/>
      </c>
      <c r="S650" s="75">
        <f>IF($A650="","",IFERROR(INDEX(Sheet1!$S:$S,MATCH($A650,Sheet1!$A:$A,0)),""))</f>
        <v/>
      </c>
      <c r="T650" s="75">
        <f>IF($A650="","",IFERROR(INDEX(Sheet1!$T:$T,MATCH($A650,Sheet1!$A:$A,0)),_xll.BDP($A650&amp;" Corp","RTG_SP")))</f>
        <v/>
      </c>
      <c r="U650" s="75">
        <f>IF($A650="","",IFERROR(INDEX(Sheet1!$U:$U,MATCH($A650,Sheet1!$A:$A,0)),""))</f>
        <v/>
      </c>
      <c r="W650" s="81">
        <f>IF($A650="","",N650-_xll.BDP($A650&amp;" Corp","YAS_OAS_SPRD","SETTLE_DT",Company_desc!$A$1))</f>
        <v/>
      </c>
      <c r="X650" s="81">
        <f>IF($A650="","",N650-_xll.BDP($A650&amp;" Corp","YAS_OAS_SPRD","SETTLE_DT",Company_desc!$A$2))</f>
        <v/>
      </c>
      <c r="Y650" s="80">
        <f>IF($A650="","",N650-_xll.BDP($A650&amp;" Corp","YAS_OAS_SPRD","SETTLE_DT",Company_desc!$D$1))</f>
        <v/>
      </c>
      <c r="Z650" s="82">
        <f>IF($A650="","",K650-_xll.BDP($A650&amp;" Corp","YAS_BOND_YLD","YAS_YLD_FLAG=15","SETTLE_DT",Company_desc!$D$1))</f>
        <v/>
      </c>
      <c r="AA650" s="80">
        <f>IF($A650="","",_xll.BDP($A650&amp;" Corp","YAS_OAS_SPRD","SETTLE_DT",Company_desc!$D$1))</f>
        <v/>
      </c>
    </row>
    <row r="651">
      <c r="B651" s="75">
        <f>IF($A651="","",IFERROR(INDEX(Sheet1!$B:$B,MATCH($A651,Sheet1!$A:$A,0)),""))</f>
        <v/>
      </c>
      <c r="C651" s="75">
        <f>IF($A651="","",PROPER(_xll.BDP($A651&amp;" Corp","NAME")))</f>
        <v/>
      </c>
      <c r="D651" s="76">
        <f>IF($A651="","",_xll.BDP($A651&amp;" Corp","CPN"))</f>
        <v/>
      </c>
      <c r="E651" s="75">
        <f>IF($A651="","",_xll.BDP($A651&amp;" Corp","PAYMENT_RANK"))</f>
        <v/>
      </c>
      <c r="F651" s="100">
        <f>IF($A651="","",_xll.BDP($A651&amp;" Corp","MATURITY"))</f>
        <v/>
      </c>
      <c r="G651" s="75">
        <f>IF($A651="","",PROPER(_xll.BDP($A651&amp;" Corp","COUNTRY_FULL_NAME")))</f>
        <v/>
      </c>
      <c r="H651" s="75">
        <f>IF($A651="","",_xll.BDP($A651&amp;" Corp","INDUSTRY_SECTOR"))</f>
        <v/>
      </c>
      <c r="I651" s="101">
        <f>IF($A651="","",IFERROR(_xll.BDP($A651&amp;" Corp","MIN_PIECE")/1000,""))</f>
        <v/>
      </c>
      <c r="J651" s="31">
        <f>IF($A651="","",_xll.BDP($A651&amp;" Corp","PX_LAST"))</f>
        <v/>
      </c>
      <c r="K651" s="31">
        <f>IF($A651="","",_xll.BDP($A651&amp;" Corp","YAS_BOND_YLD","YAS_YLD_FLAG=15"))</f>
        <v/>
      </c>
      <c r="L651" s="31">
        <f>IF($A651="","",K651-_xll.BDP($A651&amp;" Corp","YAS_BOND_YLD","YAS_YLD_FLAG=15","SETTLE_DT",Company_desc!$A$1))</f>
        <v/>
      </c>
      <c r="M651" s="31">
        <f>IF($A651="","",K651-_xll.BDP($A651&amp;" Corp","YAS_BOND_YLD","YAS_YLD_FLAG=15","SETTLE_DT",Company_desc!$A$2))</f>
        <v/>
      </c>
      <c r="N651" s="79">
        <f>IF($A651="","",_xll.BDP($A651&amp;" Corp","YAS_OAS_SPRD"))</f>
        <v/>
      </c>
      <c r="O651" s="67">
        <f>IF($A651="","",_xll.BDP($A651&amp;" Corp","YAS_MOD_DUR"))</f>
        <v/>
      </c>
      <c r="P651" s="80">
        <f>IF($A651="","",IFERROR(INDEX(Sheet1!$P:$P,MATCH($A651,Sheet1!$A:$A,0)),""))</f>
        <v/>
      </c>
      <c r="Q651" s="75">
        <f>IF($A651="","",IFERROR(INDEX(Company_desc!$C:$C,MATCH($A651,Company_desc!$A:$A,0)),IFERROR(INDEX(Sheet1!$Q:$Q,MATCH($A651,Sheet1!$A:$A,0)),"")))</f>
        <v/>
      </c>
      <c r="R651" s="75">
        <f>IF($A651="","",_xll.BDP($A651&amp;" Corp","CRNCY"))</f>
        <v/>
      </c>
      <c r="S651" s="75">
        <f>IF($A651="","",IFERROR(INDEX(Sheet1!$S:$S,MATCH($A651,Sheet1!$A:$A,0)),""))</f>
        <v/>
      </c>
      <c r="T651" s="75">
        <f>IF($A651="","",IFERROR(INDEX(Sheet1!$T:$T,MATCH($A651,Sheet1!$A:$A,0)),_xll.BDP($A651&amp;" Corp","RTG_SP")))</f>
        <v/>
      </c>
      <c r="U651" s="75">
        <f>IF($A651="","",IFERROR(INDEX(Sheet1!$U:$U,MATCH($A651,Sheet1!$A:$A,0)),""))</f>
        <v/>
      </c>
      <c r="W651" s="81">
        <f>IF($A651="","",N651-_xll.BDP($A651&amp;" Corp","YAS_OAS_SPRD","SETTLE_DT",Company_desc!$A$1))</f>
        <v/>
      </c>
      <c r="X651" s="81">
        <f>IF($A651="","",N651-_xll.BDP($A651&amp;" Corp","YAS_OAS_SPRD","SETTLE_DT",Company_desc!$A$2))</f>
        <v/>
      </c>
      <c r="Y651" s="80">
        <f>IF($A651="","",N651-_xll.BDP($A651&amp;" Corp","YAS_OAS_SPRD","SETTLE_DT",Company_desc!$D$1))</f>
        <v/>
      </c>
      <c r="Z651" s="82">
        <f>IF($A651="","",K651-_xll.BDP($A651&amp;" Corp","YAS_BOND_YLD","YAS_YLD_FLAG=15","SETTLE_DT",Company_desc!$D$1))</f>
        <v/>
      </c>
      <c r="AA651" s="80">
        <f>IF($A651="","",_xll.BDP($A651&amp;" Corp","YAS_OAS_SPRD","SETTLE_DT",Company_desc!$D$1))</f>
        <v/>
      </c>
    </row>
    <row r="652">
      <c r="B652" s="75">
        <f>IF($A652="","",IFERROR(INDEX(Sheet1!$B:$B,MATCH($A652,Sheet1!$A:$A,0)),""))</f>
        <v/>
      </c>
      <c r="C652" s="75">
        <f>IF($A652="","",PROPER(_xll.BDP($A652&amp;" Corp","NAME")))</f>
        <v/>
      </c>
      <c r="D652" s="76">
        <f>IF($A652="","",_xll.BDP($A652&amp;" Corp","CPN"))</f>
        <v/>
      </c>
      <c r="E652" s="75">
        <f>IF($A652="","",_xll.BDP($A652&amp;" Corp","PAYMENT_RANK"))</f>
        <v/>
      </c>
      <c r="F652" s="100">
        <f>IF($A652="","",_xll.BDP($A652&amp;" Corp","MATURITY"))</f>
        <v/>
      </c>
      <c r="G652" s="75">
        <f>IF($A652="","",PROPER(_xll.BDP($A652&amp;" Corp","COUNTRY_FULL_NAME")))</f>
        <v/>
      </c>
      <c r="H652" s="75">
        <f>IF($A652="","",_xll.BDP($A652&amp;" Corp","INDUSTRY_SECTOR"))</f>
        <v/>
      </c>
      <c r="I652" s="101">
        <f>IF($A652="","",IFERROR(_xll.BDP($A652&amp;" Corp","MIN_PIECE")/1000,""))</f>
        <v/>
      </c>
      <c r="J652" s="31">
        <f>IF($A652="","",_xll.BDP($A652&amp;" Corp","PX_LAST"))</f>
        <v/>
      </c>
      <c r="K652" s="31">
        <f>IF($A652="","",_xll.BDP($A652&amp;" Corp","YAS_BOND_YLD","YAS_YLD_FLAG=15"))</f>
        <v/>
      </c>
      <c r="L652" s="31">
        <f>IF($A652="","",K652-_xll.BDP($A652&amp;" Corp","YAS_BOND_YLD","YAS_YLD_FLAG=15","SETTLE_DT",Company_desc!$A$1))</f>
        <v/>
      </c>
      <c r="M652" s="31">
        <f>IF($A652="","",K652-_xll.BDP($A652&amp;" Corp","YAS_BOND_YLD","YAS_YLD_FLAG=15","SETTLE_DT",Company_desc!$A$2))</f>
        <v/>
      </c>
      <c r="N652" s="79">
        <f>IF($A652="","",_xll.BDP($A652&amp;" Corp","YAS_OAS_SPRD"))</f>
        <v/>
      </c>
      <c r="O652" s="67">
        <f>IF($A652="","",_xll.BDP($A652&amp;" Corp","YAS_MOD_DUR"))</f>
        <v/>
      </c>
      <c r="P652" s="80">
        <f>IF($A652="","",IFERROR(INDEX(Sheet1!$P:$P,MATCH($A652,Sheet1!$A:$A,0)),""))</f>
        <v/>
      </c>
      <c r="Q652" s="75">
        <f>IF($A652="","",IFERROR(INDEX(Company_desc!$C:$C,MATCH($A652,Company_desc!$A:$A,0)),IFERROR(INDEX(Sheet1!$Q:$Q,MATCH($A652,Sheet1!$A:$A,0)),"")))</f>
        <v/>
      </c>
      <c r="R652" s="75">
        <f>IF($A652="","",_xll.BDP($A652&amp;" Corp","CRNCY"))</f>
        <v/>
      </c>
      <c r="S652" s="75">
        <f>IF($A652="","",IFERROR(INDEX(Sheet1!$S:$S,MATCH($A652,Sheet1!$A:$A,0)),""))</f>
        <v/>
      </c>
      <c r="T652" s="75">
        <f>IF($A652="","",IFERROR(INDEX(Sheet1!$T:$T,MATCH($A652,Sheet1!$A:$A,0)),_xll.BDP($A652&amp;" Corp","RTG_SP")))</f>
        <v/>
      </c>
      <c r="U652" s="75">
        <f>IF($A652="","",IFERROR(INDEX(Sheet1!$U:$U,MATCH($A652,Sheet1!$A:$A,0)),""))</f>
        <v/>
      </c>
      <c r="W652" s="81">
        <f>IF($A652="","",N652-_xll.BDP($A652&amp;" Corp","YAS_OAS_SPRD","SETTLE_DT",Company_desc!$A$1))</f>
        <v/>
      </c>
      <c r="X652" s="81">
        <f>IF($A652="","",N652-_xll.BDP($A652&amp;" Corp","YAS_OAS_SPRD","SETTLE_DT",Company_desc!$A$2))</f>
        <v/>
      </c>
      <c r="Y652" s="80">
        <f>IF($A652="","",N652-_xll.BDP($A652&amp;" Corp","YAS_OAS_SPRD","SETTLE_DT",Company_desc!$D$1))</f>
        <v/>
      </c>
      <c r="Z652" s="82">
        <f>IF($A652="","",K652-_xll.BDP($A652&amp;" Corp","YAS_BOND_YLD","YAS_YLD_FLAG=15","SETTLE_DT",Company_desc!$D$1))</f>
        <v/>
      </c>
      <c r="AA652" s="80">
        <f>IF($A652="","",_xll.BDP($A652&amp;" Corp","YAS_OAS_SPRD","SETTLE_DT",Company_desc!$D$1))</f>
        <v/>
      </c>
    </row>
    <row r="653">
      <c r="B653" s="75">
        <f>IF($A653="","",IFERROR(INDEX(Sheet1!$B:$B,MATCH($A653,Sheet1!$A:$A,0)),""))</f>
        <v/>
      </c>
      <c r="C653" s="75">
        <f>IF($A653="","",PROPER(_xll.BDP($A653&amp;" Corp","NAME")))</f>
        <v/>
      </c>
      <c r="D653" s="76">
        <f>IF($A653="","",_xll.BDP($A653&amp;" Corp","CPN"))</f>
        <v/>
      </c>
      <c r="E653" s="75">
        <f>IF($A653="","",_xll.BDP($A653&amp;" Corp","PAYMENT_RANK"))</f>
        <v/>
      </c>
      <c r="F653" s="100">
        <f>IF($A653="","",_xll.BDP($A653&amp;" Corp","MATURITY"))</f>
        <v/>
      </c>
      <c r="G653" s="75">
        <f>IF($A653="","",PROPER(_xll.BDP($A653&amp;" Corp","COUNTRY_FULL_NAME")))</f>
        <v/>
      </c>
      <c r="H653" s="75">
        <f>IF($A653="","",_xll.BDP($A653&amp;" Corp","INDUSTRY_SECTOR"))</f>
        <v/>
      </c>
      <c r="I653" s="101">
        <f>IF($A653="","",IFERROR(_xll.BDP($A653&amp;" Corp","MIN_PIECE")/1000,""))</f>
        <v/>
      </c>
      <c r="J653" s="31">
        <f>IF($A653="","",_xll.BDP($A653&amp;" Corp","PX_LAST"))</f>
        <v/>
      </c>
      <c r="K653" s="31">
        <f>IF($A653="","",_xll.BDP($A653&amp;" Corp","YAS_BOND_YLD","YAS_YLD_FLAG=15"))</f>
        <v/>
      </c>
      <c r="L653" s="31">
        <f>IF($A653="","",K653-_xll.BDP($A653&amp;" Corp","YAS_BOND_YLD","YAS_YLD_FLAG=15","SETTLE_DT",Company_desc!$A$1))</f>
        <v/>
      </c>
      <c r="M653" s="31">
        <f>IF($A653="","",K653-_xll.BDP($A653&amp;" Corp","YAS_BOND_YLD","YAS_YLD_FLAG=15","SETTLE_DT",Company_desc!$A$2))</f>
        <v/>
      </c>
      <c r="N653" s="79">
        <f>IF($A653="","",_xll.BDP($A653&amp;" Corp","YAS_OAS_SPRD"))</f>
        <v/>
      </c>
      <c r="O653" s="67">
        <f>IF($A653="","",_xll.BDP($A653&amp;" Corp","YAS_MOD_DUR"))</f>
        <v/>
      </c>
      <c r="P653" s="80">
        <f>IF($A653="","",IFERROR(INDEX(Sheet1!$P:$P,MATCH($A653,Sheet1!$A:$A,0)),""))</f>
        <v/>
      </c>
      <c r="Q653" s="75">
        <f>IF($A653="","",IFERROR(INDEX(Company_desc!$C:$C,MATCH($A653,Company_desc!$A:$A,0)),IFERROR(INDEX(Sheet1!$Q:$Q,MATCH($A653,Sheet1!$A:$A,0)),"")))</f>
        <v/>
      </c>
      <c r="R653" s="75">
        <f>IF($A653="","",_xll.BDP($A653&amp;" Corp","CRNCY"))</f>
        <v/>
      </c>
      <c r="S653" s="75">
        <f>IF($A653="","",IFERROR(INDEX(Sheet1!$S:$S,MATCH($A653,Sheet1!$A:$A,0)),""))</f>
        <v/>
      </c>
      <c r="T653" s="75">
        <f>IF($A653="","",IFERROR(INDEX(Sheet1!$T:$T,MATCH($A653,Sheet1!$A:$A,0)),_xll.BDP($A653&amp;" Corp","RTG_SP")))</f>
        <v/>
      </c>
      <c r="U653" s="75">
        <f>IF($A653="","",IFERROR(INDEX(Sheet1!$U:$U,MATCH($A653,Sheet1!$A:$A,0)),""))</f>
        <v/>
      </c>
      <c r="W653" s="81">
        <f>IF($A653="","",N653-_xll.BDP($A653&amp;" Corp","YAS_OAS_SPRD","SETTLE_DT",Company_desc!$A$1))</f>
        <v/>
      </c>
      <c r="X653" s="81">
        <f>IF($A653="","",N653-_xll.BDP($A653&amp;" Corp","YAS_OAS_SPRD","SETTLE_DT",Company_desc!$A$2))</f>
        <v/>
      </c>
      <c r="Y653" s="80">
        <f>IF($A653="","",N653-_xll.BDP($A653&amp;" Corp","YAS_OAS_SPRD","SETTLE_DT",Company_desc!$D$1))</f>
        <v/>
      </c>
      <c r="Z653" s="82">
        <f>IF($A653="","",K653-_xll.BDP($A653&amp;" Corp","YAS_BOND_YLD","YAS_YLD_FLAG=15","SETTLE_DT",Company_desc!$D$1))</f>
        <v/>
      </c>
      <c r="AA653" s="80">
        <f>IF($A653="","",_xll.BDP($A653&amp;" Corp","YAS_OAS_SPRD","SETTLE_DT",Company_desc!$D$1))</f>
        <v/>
      </c>
    </row>
    <row r="654">
      <c r="B654" s="75">
        <f>IF($A654="","",IFERROR(INDEX(Sheet1!$B:$B,MATCH($A654,Sheet1!$A:$A,0)),""))</f>
        <v/>
      </c>
      <c r="C654" s="75">
        <f>IF($A654="","",PROPER(_xll.BDP($A654&amp;" Corp","NAME")))</f>
        <v/>
      </c>
      <c r="D654" s="76">
        <f>IF($A654="","",_xll.BDP($A654&amp;" Corp","CPN"))</f>
        <v/>
      </c>
      <c r="E654" s="75">
        <f>IF($A654="","",_xll.BDP($A654&amp;" Corp","PAYMENT_RANK"))</f>
        <v/>
      </c>
      <c r="F654" s="100">
        <f>IF($A654="","",_xll.BDP($A654&amp;" Corp","MATURITY"))</f>
        <v/>
      </c>
      <c r="G654" s="75">
        <f>IF($A654="","",PROPER(_xll.BDP($A654&amp;" Corp","COUNTRY_FULL_NAME")))</f>
        <v/>
      </c>
      <c r="H654" s="75">
        <f>IF($A654="","",_xll.BDP($A654&amp;" Corp","INDUSTRY_SECTOR"))</f>
        <v/>
      </c>
      <c r="I654" s="101">
        <f>IF($A654="","",IFERROR(_xll.BDP($A654&amp;" Corp","MIN_PIECE")/1000,""))</f>
        <v/>
      </c>
      <c r="J654" s="31">
        <f>IF($A654="","",_xll.BDP($A654&amp;" Corp","PX_LAST"))</f>
        <v/>
      </c>
      <c r="K654" s="31">
        <f>IF($A654="","",_xll.BDP($A654&amp;" Corp","YAS_BOND_YLD","YAS_YLD_FLAG=15"))</f>
        <v/>
      </c>
      <c r="L654" s="31">
        <f>IF($A654="","",K654-_xll.BDP($A654&amp;" Corp","YAS_BOND_YLD","YAS_YLD_FLAG=15","SETTLE_DT",Company_desc!$A$1))</f>
        <v/>
      </c>
      <c r="M654" s="31">
        <f>IF($A654="","",K654-_xll.BDP($A654&amp;" Corp","YAS_BOND_YLD","YAS_YLD_FLAG=15","SETTLE_DT",Company_desc!$A$2))</f>
        <v/>
      </c>
      <c r="N654" s="79">
        <f>IF($A654="","",_xll.BDP($A654&amp;" Corp","YAS_OAS_SPRD"))</f>
        <v/>
      </c>
      <c r="O654" s="67">
        <f>IF($A654="","",_xll.BDP($A654&amp;" Corp","YAS_MOD_DUR"))</f>
        <v/>
      </c>
      <c r="P654" s="80">
        <f>IF($A654="","",IFERROR(INDEX(Sheet1!$P:$P,MATCH($A654,Sheet1!$A:$A,0)),""))</f>
        <v/>
      </c>
      <c r="Q654" s="75">
        <f>IF($A654="","",IFERROR(INDEX(Company_desc!$C:$C,MATCH($A654,Company_desc!$A:$A,0)),IFERROR(INDEX(Sheet1!$Q:$Q,MATCH($A654,Sheet1!$A:$A,0)),"")))</f>
        <v/>
      </c>
      <c r="R654" s="75">
        <f>IF($A654="","",_xll.BDP($A654&amp;" Corp","CRNCY"))</f>
        <v/>
      </c>
      <c r="S654" s="75">
        <f>IF($A654="","",IFERROR(INDEX(Sheet1!$S:$S,MATCH($A654,Sheet1!$A:$A,0)),""))</f>
        <v/>
      </c>
      <c r="T654" s="75">
        <f>IF($A654="","",IFERROR(INDEX(Sheet1!$T:$T,MATCH($A654,Sheet1!$A:$A,0)),_xll.BDP($A654&amp;" Corp","RTG_SP")))</f>
        <v/>
      </c>
      <c r="U654" s="75">
        <f>IF($A654="","",IFERROR(INDEX(Sheet1!$U:$U,MATCH($A654,Sheet1!$A:$A,0)),""))</f>
        <v/>
      </c>
      <c r="W654" s="81">
        <f>IF($A654="","",N654-_xll.BDP($A654&amp;" Corp","YAS_OAS_SPRD","SETTLE_DT",Company_desc!$A$1))</f>
        <v/>
      </c>
      <c r="X654" s="81">
        <f>IF($A654="","",N654-_xll.BDP($A654&amp;" Corp","YAS_OAS_SPRD","SETTLE_DT",Company_desc!$A$2))</f>
        <v/>
      </c>
      <c r="Y654" s="80">
        <f>IF($A654="","",N654-_xll.BDP($A654&amp;" Corp","YAS_OAS_SPRD","SETTLE_DT",Company_desc!$D$1))</f>
        <v/>
      </c>
      <c r="Z654" s="82">
        <f>IF($A654="","",K654-_xll.BDP($A654&amp;" Corp","YAS_BOND_YLD","YAS_YLD_FLAG=15","SETTLE_DT",Company_desc!$D$1))</f>
        <v/>
      </c>
      <c r="AA654" s="80">
        <f>IF($A654="","",_xll.BDP($A654&amp;" Corp","YAS_OAS_SPRD","SETTLE_DT",Company_desc!$D$1))</f>
        <v/>
      </c>
    </row>
    <row r="655">
      <c r="B655" s="75">
        <f>IF($A655="","",IFERROR(INDEX(Sheet1!$B:$B,MATCH($A655,Sheet1!$A:$A,0)),""))</f>
        <v/>
      </c>
      <c r="C655" s="75">
        <f>IF($A655="","",PROPER(_xll.BDP($A655&amp;" Corp","NAME")))</f>
        <v/>
      </c>
      <c r="D655" s="76">
        <f>IF($A655="","",_xll.BDP($A655&amp;" Corp","CPN"))</f>
        <v/>
      </c>
      <c r="E655" s="75">
        <f>IF($A655="","",_xll.BDP($A655&amp;" Corp","PAYMENT_RANK"))</f>
        <v/>
      </c>
      <c r="F655" s="100">
        <f>IF($A655="","",_xll.BDP($A655&amp;" Corp","MATURITY"))</f>
        <v/>
      </c>
      <c r="G655" s="75">
        <f>IF($A655="","",PROPER(_xll.BDP($A655&amp;" Corp","COUNTRY_FULL_NAME")))</f>
        <v/>
      </c>
      <c r="H655" s="75">
        <f>IF($A655="","",_xll.BDP($A655&amp;" Corp","INDUSTRY_SECTOR"))</f>
        <v/>
      </c>
      <c r="I655" s="101">
        <f>IF($A655="","",IFERROR(_xll.BDP($A655&amp;" Corp","MIN_PIECE")/1000,""))</f>
        <v/>
      </c>
      <c r="J655" s="31">
        <f>IF($A655="","",_xll.BDP($A655&amp;" Corp","PX_LAST"))</f>
        <v/>
      </c>
      <c r="K655" s="31">
        <f>IF($A655="","",_xll.BDP($A655&amp;" Corp","YAS_BOND_YLD","YAS_YLD_FLAG=15"))</f>
        <v/>
      </c>
      <c r="L655" s="31">
        <f>IF($A655="","",K655-_xll.BDP($A655&amp;" Corp","YAS_BOND_YLD","YAS_YLD_FLAG=15","SETTLE_DT",Company_desc!$A$1))</f>
        <v/>
      </c>
      <c r="M655" s="31">
        <f>IF($A655="","",K655-_xll.BDP($A655&amp;" Corp","YAS_BOND_YLD","YAS_YLD_FLAG=15","SETTLE_DT",Company_desc!$A$2))</f>
        <v/>
      </c>
      <c r="N655" s="79">
        <f>IF($A655="","",_xll.BDP($A655&amp;" Corp","YAS_OAS_SPRD"))</f>
        <v/>
      </c>
      <c r="O655" s="67">
        <f>IF($A655="","",_xll.BDP($A655&amp;" Corp","YAS_MOD_DUR"))</f>
        <v/>
      </c>
      <c r="P655" s="80">
        <f>IF($A655="","",IFERROR(INDEX(Sheet1!$P:$P,MATCH($A655,Sheet1!$A:$A,0)),""))</f>
        <v/>
      </c>
      <c r="Q655" s="75">
        <f>IF($A655="","",IFERROR(INDEX(Company_desc!$C:$C,MATCH($A655,Company_desc!$A:$A,0)),IFERROR(INDEX(Sheet1!$Q:$Q,MATCH($A655,Sheet1!$A:$A,0)),"")))</f>
        <v/>
      </c>
      <c r="R655" s="75">
        <f>IF($A655="","",_xll.BDP($A655&amp;" Corp","CRNCY"))</f>
        <v/>
      </c>
      <c r="S655" s="75">
        <f>IF($A655="","",IFERROR(INDEX(Sheet1!$S:$S,MATCH($A655,Sheet1!$A:$A,0)),""))</f>
        <v/>
      </c>
      <c r="T655" s="75">
        <f>IF($A655="","",IFERROR(INDEX(Sheet1!$T:$T,MATCH($A655,Sheet1!$A:$A,0)),_xll.BDP($A655&amp;" Corp","RTG_SP")))</f>
        <v/>
      </c>
      <c r="U655" s="75">
        <f>IF($A655="","",IFERROR(INDEX(Sheet1!$U:$U,MATCH($A655,Sheet1!$A:$A,0)),""))</f>
        <v/>
      </c>
      <c r="W655" s="81">
        <f>IF($A655="","",N655-_xll.BDP($A655&amp;" Corp","YAS_OAS_SPRD","SETTLE_DT",Company_desc!$A$1))</f>
        <v/>
      </c>
      <c r="X655" s="81">
        <f>IF($A655="","",N655-_xll.BDP($A655&amp;" Corp","YAS_OAS_SPRD","SETTLE_DT",Company_desc!$A$2))</f>
        <v/>
      </c>
      <c r="Y655" s="80">
        <f>IF($A655="","",N655-_xll.BDP($A655&amp;" Corp","YAS_OAS_SPRD","SETTLE_DT",Company_desc!$D$1))</f>
        <v/>
      </c>
      <c r="Z655" s="82">
        <f>IF($A655="","",K655-_xll.BDP($A655&amp;" Corp","YAS_BOND_YLD","YAS_YLD_FLAG=15","SETTLE_DT",Company_desc!$D$1))</f>
        <v/>
      </c>
      <c r="AA655" s="80">
        <f>IF($A655="","",_xll.BDP($A655&amp;" Corp","YAS_OAS_SPRD","SETTLE_DT",Company_desc!$D$1))</f>
        <v/>
      </c>
    </row>
    <row r="656">
      <c r="B656" s="75">
        <f>IF($A656="","",IFERROR(INDEX(Sheet1!$B:$B,MATCH($A656,Sheet1!$A:$A,0)),""))</f>
        <v/>
      </c>
      <c r="C656" s="75">
        <f>IF($A656="","",PROPER(_xll.BDP($A656&amp;" Corp","NAME")))</f>
        <v/>
      </c>
      <c r="D656" s="76">
        <f>IF($A656="","",_xll.BDP($A656&amp;" Corp","CPN"))</f>
        <v/>
      </c>
      <c r="E656" s="75">
        <f>IF($A656="","",_xll.BDP($A656&amp;" Corp","PAYMENT_RANK"))</f>
        <v/>
      </c>
      <c r="F656" s="100">
        <f>IF($A656="","",_xll.BDP($A656&amp;" Corp","MATURITY"))</f>
        <v/>
      </c>
      <c r="G656" s="75">
        <f>IF($A656="","",PROPER(_xll.BDP($A656&amp;" Corp","COUNTRY_FULL_NAME")))</f>
        <v/>
      </c>
      <c r="H656" s="75">
        <f>IF($A656="","",_xll.BDP($A656&amp;" Corp","INDUSTRY_SECTOR"))</f>
        <v/>
      </c>
      <c r="I656" s="101">
        <f>IF($A656="","",IFERROR(_xll.BDP($A656&amp;" Corp","MIN_PIECE")/1000,""))</f>
        <v/>
      </c>
      <c r="J656" s="31">
        <f>IF($A656="","",_xll.BDP($A656&amp;" Corp","PX_LAST"))</f>
        <v/>
      </c>
      <c r="K656" s="31">
        <f>IF($A656="","",_xll.BDP($A656&amp;" Corp","YAS_BOND_YLD","YAS_YLD_FLAG=15"))</f>
        <v/>
      </c>
      <c r="L656" s="31">
        <f>IF($A656="","",K656-_xll.BDP($A656&amp;" Corp","YAS_BOND_YLD","YAS_YLD_FLAG=15","SETTLE_DT",Company_desc!$A$1))</f>
        <v/>
      </c>
      <c r="M656" s="31">
        <f>IF($A656="","",K656-_xll.BDP($A656&amp;" Corp","YAS_BOND_YLD","YAS_YLD_FLAG=15","SETTLE_DT",Company_desc!$A$2))</f>
        <v/>
      </c>
      <c r="N656" s="79">
        <f>IF($A656="","",_xll.BDP($A656&amp;" Corp","YAS_OAS_SPRD"))</f>
        <v/>
      </c>
      <c r="O656" s="67">
        <f>IF($A656="","",_xll.BDP($A656&amp;" Corp","YAS_MOD_DUR"))</f>
        <v/>
      </c>
      <c r="P656" s="80">
        <f>IF($A656="","",IFERROR(INDEX(Sheet1!$P:$P,MATCH($A656,Sheet1!$A:$A,0)),""))</f>
        <v/>
      </c>
      <c r="Q656" s="75">
        <f>IF($A656="","",IFERROR(INDEX(Company_desc!$C:$C,MATCH($A656,Company_desc!$A:$A,0)),IFERROR(INDEX(Sheet1!$Q:$Q,MATCH($A656,Sheet1!$A:$A,0)),"")))</f>
        <v/>
      </c>
      <c r="R656" s="75">
        <f>IF($A656="","",_xll.BDP($A656&amp;" Corp","CRNCY"))</f>
        <v/>
      </c>
      <c r="S656" s="75">
        <f>IF($A656="","",IFERROR(INDEX(Sheet1!$S:$S,MATCH($A656,Sheet1!$A:$A,0)),""))</f>
        <v/>
      </c>
      <c r="T656" s="75">
        <f>IF($A656="","",IFERROR(INDEX(Sheet1!$T:$T,MATCH($A656,Sheet1!$A:$A,0)),_xll.BDP($A656&amp;" Corp","RTG_SP")))</f>
        <v/>
      </c>
      <c r="U656" s="75">
        <f>IF($A656="","",IFERROR(INDEX(Sheet1!$U:$U,MATCH($A656,Sheet1!$A:$A,0)),""))</f>
        <v/>
      </c>
      <c r="W656" s="81">
        <f>IF($A656="","",N656-_xll.BDP($A656&amp;" Corp","YAS_OAS_SPRD","SETTLE_DT",Company_desc!$A$1))</f>
        <v/>
      </c>
      <c r="X656" s="81">
        <f>IF($A656="","",N656-_xll.BDP($A656&amp;" Corp","YAS_OAS_SPRD","SETTLE_DT",Company_desc!$A$2))</f>
        <v/>
      </c>
      <c r="Y656" s="80">
        <f>IF($A656="","",N656-_xll.BDP($A656&amp;" Corp","YAS_OAS_SPRD","SETTLE_DT",Company_desc!$D$1))</f>
        <v/>
      </c>
      <c r="Z656" s="82">
        <f>IF($A656="","",K656-_xll.BDP($A656&amp;" Corp","YAS_BOND_YLD","YAS_YLD_FLAG=15","SETTLE_DT",Company_desc!$D$1))</f>
        <v/>
      </c>
      <c r="AA656" s="80">
        <f>IF($A656="","",_xll.BDP($A656&amp;" Corp","YAS_OAS_SPRD","SETTLE_DT",Company_desc!$D$1))</f>
        <v/>
      </c>
    </row>
    <row r="657">
      <c r="B657" s="75">
        <f>IF($A657="","",IFERROR(INDEX(Sheet1!$B:$B,MATCH($A657,Sheet1!$A:$A,0)),""))</f>
        <v/>
      </c>
      <c r="C657" s="75">
        <f>IF($A657="","",PROPER(_xll.BDP($A657&amp;" Corp","NAME")))</f>
        <v/>
      </c>
      <c r="D657" s="76">
        <f>IF($A657="","",_xll.BDP($A657&amp;" Corp","CPN"))</f>
        <v/>
      </c>
      <c r="E657" s="75">
        <f>IF($A657="","",_xll.BDP($A657&amp;" Corp","PAYMENT_RANK"))</f>
        <v/>
      </c>
      <c r="F657" s="100">
        <f>IF($A657="","",_xll.BDP($A657&amp;" Corp","MATURITY"))</f>
        <v/>
      </c>
      <c r="G657" s="75">
        <f>IF($A657="","",PROPER(_xll.BDP($A657&amp;" Corp","COUNTRY_FULL_NAME")))</f>
        <v/>
      </c>
      <c r="H657" s="75">
        <f>IF($A657="","",_xll.BDP($A657&amp;" Corp","INDUSTRY_SECTOR"))</f>
        <v/>
      </c>
      <c r="I657" s="101">
        <f>IF($A657="","",IFERROR(_xll.BDP($A657&amp;" Corp","MIN_PIECE")/1000,""))</f>
        <v/>
      </c>
      <c r="J657" s="31">
        <f>IF($A657="","",_xll.BDP($A657&amp;" Corp","PX_LAST"))</f>
        <v/>
      </c>
      <c r="K657" s="31">
        <f>IF($A657="","",_xll.BDP($A657&amp;" Corp","YAS_BOND_YLD","YAS_YLD_FLAG=15"))</f>
        <v/>
      </c>
      <c r="L657" s="31">
        <f>IF($A657="","",K657-_xll.BDP($A657&amp;" Corp","YAS_BOND_YLD","YAS_YLD_FLAG=15","SETTLE_DT",Company_desc!$A$1))</f>
        <v/>
      </c>
      <c r="M657" s="31">
        <f>IF($A657="","",K657-_xll.BDP($A657&amp;" Corp","YAS_BOND_YLD","YAS_YLD_FLAG=15","SETTLE_DT",Company_desc!$A$2))</f>
        <v/>
      </c>
      <c r="N657" s="79">
        <f>IF($A657="","",_xll.BDP($A657&amp;" Corp","YAS_OAS_SPRD"))</f>
        <v/>
      </c>
      <c r="O657" s="82">
        <f>IF($A657="","",_xll.BDP($A657&amp;" Corp","YAS_MOD_DUR"))</f>
        <v/>
      </c>
      <c r="P657" s="80">
        <f>IF($A657="","",IFERROR(INDEX(Sheet1!$P:$P,MATCH($A657,Sheet1!$A:$A,0)),""))</f>
        <v/>
      </c>
      <c r="Q657" s="75">
        <f>IF($A657="","",IFERROR(INDEX(Company_desc!$C:$C,MATCH($A657,Company_desc!$A:$A,0)),IFERROR(INDEX(Sheet1!$Q:$Q,MATCH($A657,Sheet1!$A:$A,0)),"")))</f>
        <v/>
      </c>
      <c r="R657" s="75">
        <f>IF($A657="","",_xll.BDP($A657&amp;" Corp","CRNCY"))</f>
        <v/>
      </c>
      <c r="S657" s="75">
        <f>IF($A657="","",IFERROR(INDEX(Sheet1!$S:$S,MATCH($A657,Sheet1!$A:$A,0)),""))</f>
        <v/>
      </c>
      <c r="T657" s="75">
        <f>IF($A657="","",IFERROR(INDEX(Sheet1!$T:$T,MATCH($A657,Sheet1!$A:$A,0)),_xll.BDP($A657&amp;" Corp","RTG_SP")))</f>
        <v/>
      </c>
      <c r="U657" s="75">
        <f>IF($A657="","",IFERROR(INDEX(Sheet1!$U:$U,MATCH($A657,Sheet1!$A:$A,0)),""))</f>
        <v/>
      </c>
      <c r="W657" s="81">
        <f>IF($A657="","",N657-_xll.BDP($A657&amp;" Corp","YAS_OAS_SPRD","SETTLE_DT",Company_desc!$A$1))</f>
        <v/>
      </c>
      <c r="X657" s="81">
        <f>IF($A657="","",N657-_xll.BDP($A657&amp;" Corp","YAS_OAS_SPRD","SETTLE_DT",Company_desc!$A$2))</f>
        <v/>
      </c>
      <c r="Y657" s="80">
        <f>IF($A657="","",N657-_xll.BDP($A657&amp;" Corp","YAS_OAS_SPRD","SETTLE_DT",Company_desc!$D$1))</f>
        <v/>
      </c>
      <c r="Z657" s="82">
        <f>IF($A657="","",K657-_xll.BDP($A657&amp;" Corp","YAS_BOND_YLD","YAS_YLD_FLAG=15","SETTLE_DT",Company_desc!$D$1))</f>
        <v/>
      </c>
      <c r="AA657" s="80">
        <f>IF($A657="","",_xll.BDP($A657&amp;" Corp","YAS_OAS_SPRD","SETTLE_DT",Company_desc!$D$1))</f>
        <v/>
      </c>
    </row>
    <row r="658">
      <c r="B658" s="75">
        <f>IF($A658="","",IFERROR(INDEX(Sheet1!$B:$B,MATCH($A658,Sheet1!$A:$A,0)),""))</f>
        <v/>
      </c>
      <c r="C658" s="75">
        <f>IF($A658="","",PROPER(_xll.BDP($A658&amp;" Corp","NAME")))</f>
        <v/>
      </c>
      <c r="D658" s="76">
        <f>IF($A658="","",_xll.BDP($A658&amp;" Corp","CPN"))</f>
        <v/>
      </c>
      <c r="E658" s="75">
        <f>IF($A658="","",_xll.BDP($A658&amp;" Corp","PAYMENT_RANK"))</f>
        <v/>
      </c>
      <c r="F658" s="100">
        <f>IF($A658="","",_xll.BDP($A658&amp;" Corp","MATURITY"))</f>
        <v/>
      </c>
      <c r="G658" s="75">
        <f>IF($A658="","",PROPER(_xll.BDP($A658&amp;" Corp","COUNTRY_FULL_NAME")))</f>
        <v/>
      </c>
      <c r="H658" s="75">
        <f>IF($A658="","",_xll.BDP($A658&amp;" Corp","INDUSTRY_SECTOR"))</f>
        <v/>
      </c>
      <c r="I658" s="101">
        <f>IF($A658="","",IFERROR(_xll.BDP($A658&amp;" Corp","MIN_PIECE")/1000,""))</f>
        <v/>
      </c>
      <c r="J658" s="31">
        <f>IF($A658="","",_xll.BDP($A658&amp;" Corp","PX_LAST"))</f>
        <v/>
      </c>
      <c r="K658" s="31">
        <f>IF($A658="","",_xll.BDP($A658&amp;" Corp","YAS_BOND_YLD","YAS_YLD_FLAG=15"))</f>
        <v/>
      </c>
      <c r="L658" s="31">
        <f>IF($A658="","",K658-_xll.BDP($A658&amp;" Corp","YAS_BOND_YLD","YAS_YLD_FLAG=15","SETTLE_DT",Company_desc!$A$1))</f>
        <v/>
      </c>
      <c r="M658" s="31">
        <f>IF($A658="","",K658-_xll.BDP($A658&amp;" Corp","YAS_BOND_YLD","YAS_YLD_FLAG=15","SETTLE_DT",Company_desc!$A$2))</f>
        <v/>
      </c>
      <c r="N658" s="79">
        <f>IF($A658="","",_xll.BDP($A658&amp;" Corp","YAS_OAS_SPRD"))</f>
        <v/>
      </c>
      <c r="O658" s="82">
        <f>IF($A658="","",_xll.BDP($A658&amp;" Corp","YAS_MOD_DUR"))</f>
        <v/>
      </c>
      <c r="P658" s="80">
        <f>IF($A658="","",IFERROR(INDEX(Sheet1!$P:$P,MATCH($A658,Sheet1!$A:$A,0)),""))</f>
        <v/>
      </c>
      <c r="Q658" s="75">
        <f>IF($A658="","",IFERROR(INDEX(Company_desc!$C:$C,MATCH($A658,Company_desc!$A:$A,0)),IFERROR(INDEX(Sheet1!$Q:$Q,MATCH($A658,Sheet1!$A:$A,0)),"")))</f>
        <v/>
      </c>
      <c r="R658" s="75">
        <f>IF($A658="","",_xll.BDP($A658&amp;" Corp","CRNCY"))</f>
        <v/>
      </c>
      <c r="S658" s="75">
        <f>IF($A658="","",IFERROR(INDEX(Sheet1!$S:$S,MATCH($A658,Sheet1!$A:$A,0)),""))</f>
        <v/>
      </c>
      <c r="T658" s="75">
        <f>IF($A658="","",IFERROR(INDEX(Sheet1!$T:$T,MATCH($A658,Sheet1!$A:$A,0)),_xll.BDP($A658&amp;" Corp","RTG_SP")))</f>
        <v/>
      </c>
      <c r="U658" s="75">
        <f>IF($A658="","",IFERROR(INDEX(Sheet1!$U:$U,MATCH($A658,Sheet1!$A:$A,0)),""))</f>
        <v/>
      </c>
      <c r="W658" s="81">
        <f>IF($A658="","",N658-_xll.BDP($A658&amp;" Corp","YAS_OAS_SPRD","SETTLE_DT",Company_desc!$A$1))</f>
        <v/>
      </c>
      <c r="X658" s="81">
        <f>IF($A658="","",N658-_xll.BDP($A658&amp;" Corp","YAS_OAS_SPRD","SETTLE_DT",Company_desc!$A$2))</f>
        <v/>
      </c>
      <c r="Y658" s="80">
        <f>IF($A658="","",N658-_xll.BDP($A658&amp;" Corp","YAS_OAS_SPRD","SETTLE_DT",Company_desc!$D$1))</f>
        <v/>
      </c>
      <c r="Z658" s="82">
        <f>IF($A658="","",K658-_xll.BDP($A658&amp;" Corp","YAS_BOND_YLD","YAS_YLD_FLAG=15","SETTLE_DT",Company_desc!$D$1))</f>
        <v/>
      </c>
      <c r="AA658" s="80">
        <f>IF($A658="","",_xll.BDP($A658&amp;" Corp","YAS_OAS_SPRD","SETTLE_DT",Company_desc!$D$1))</f>
        <v/>
      </c>
    </row>
    <row r="659">
      <c r="B659" s="75">
        <f>IF($A659="","",IFERROR(INDEX(Sheet1!$B:$B,MATCH($A659,Sheet1!$A:$A,0)),""))</f>
        <v/>
      </c>
      <c r="C659" s="75">
        <f>IF($A659="","",PROPER(_xll.BDP($A659&amp;" Corp","NAME")))</f>
        <v/>
      </c>
      <c r="D659" s="76">
        <f>IF($A659="","",_xll.BDP($A659&amp;" Corp","CPN"))</f>
        <v/>
      </c>
      <c r="E659" s="75">
        <f>IF($A659="","",_xll.BDP($A659&amp;" Corp","PAYMENT_RANK"))</f>
        <v/>
      </c>
      <c r="F659" s="100">
        <f>IF($A659="","",_xll.BDP($A659&amp;" Corp","MATURITY"))</f>
        <v/>
      </c>
      <c r="G659" s="75">
        <f>IF($A659="","",PROPER(_xll.BDP($A659&amp;" Corp","COUNTRY_FULL_NAME")))</f>
        <v/>
      </c>
      <c r="H659" s="75">
        <f>IF($A659="","",_xll.BDP($A659&amp;" Corp","INDUSTRY_SECTOR"))</f>
        <v/>
      </c>
      <c r="I659" s="101">
        <f>IF($A659="","",IFERROR(_xll.BDP($A659&amp;" Corp","MIN_PIECE")/1000,""))</f>
        <v/>
      </c>
      <c r="J659" s="31">
        <f>IF($A659="","",_xll.BDP($A659&amp;" Corp","PX_LAST"))</f>
        <v/>
      </c>
      <c r="K659" s="31">
        <f>IF($A659="","",_xll.BDP($A659&amp;" Corp","YAS_BOND_YLD","YAS_YLD_FLAG=15"))</f>
        <v/>
      </c>
      <c r="L659" s="31">
        <f>IF($A659="","",K659-_xll.BDP($A659&amp;" Corp","YAS_BOND_YLD","YAS_YLD_FLAG=15","SETTLE_DT",Company_desc!$A$1))</f>
        <v/>
      </c>
      <c r="M659" s="31">
        <f>IF($A659="","",K659-_xll.BDP($A659&amp;" Corp","YAS_BOND_YLD","YAS_YLD_FLAG=15","SETTLE_DT",Company_desc!$A$2))</f>
        <v/>
      </c>
      <c r="N659" s="79">
        <f>IF($A659="","",_xll.BDP($A659&amp;" Corp","YAS_OAS_SPRD"))</f>
        <v/>
      </c>
      <c r="O659" s="67">
        <f>IF($A659="","",_xll.BDP($A659&amp;" Corp","YAS_MOD_DUR"))</f>
        <v/>
      </c>
      <c r="P659" s="80">
        <f>IF($A659="","",IFERROR(INDEX(Sheet1!$P:$P,MATCH($A659,Sheet1!$A:$A,0)),""))</f>
        <v/>
      </c>
      <c r="Q659" s="75">
        <f>IF($A659="","",IFERROR(INDEX(Company_desc!$C:$C,MATCH($A659,Company_desc!$A:$A,0)),IFERROR(INDEX(Sheet1!$Q:$Q,MATCH($A659,Sheet1!$A:$A,0)),"")))</f>
        <v/>
      </c>
      <c r="R659" s="75">
        <f>IF($A659="","",_xll.BDP($A659&amp;" Corp","CRNCY"))</f>
        <v/>
      </c>
      <c r="S659" s="75">
        <f>IF($A659="","",IFERROR(INDEX(Sheet1!$S:$S,MATCH($A659,Sheet1!$A:$A,0)),""))</f>
        <v/>
      </c>
      <c r="T659" s="75">
        <f>IF($A659="","",IFERROR(INDEX(Sheet1!$T:$T,MATCH($A659,Sheet1!$A:$A,0)),_xll.BDP($A659&amp;" Corp","RTG_SP")))</f>
        <v/>
      </c>
      <c r="U659" s="75">
        <f>IF($A659="","",IFERROR(INDEX(Sheet1!$U:$U,MATCH($A659,Sheet1!$A:$A,0)),""))</f>
        <v/>
      </c>
      <c r="W659" s="81">
        <f>IF($A659="","",N659-_xll.BDP($A659&amp;" Corp","YAS_OAS_SPRD","SETTLE_DT",Company_desc!$A$1))</f>
        <v/>
      </c>
      <c r="X659" s="81">
        <f>IF($A659="","",N659-_xll.BDP($A659&amp;" Corp","YAS_OAS_SPRD","SETTLE_DT",Company_desc!$A$2))</f>
        <v/>
      </c>
      <c r="Y659" s="80">
        <f>IF($A659="","",N659-_xll.BDP($A659&amp;" Corp","YAS_OAS_SPRD","SETTLE_DT",Company_desc!$D$1))</f>
        <v/>
      </c>
      <c r="Z659" s="82">
        <f>IF($A659="","",K659-_xll.BDP($A659&amp;" Corp","YAS_BOND_YLD","YAS_YLD_FLAG=15","SETTLE_DT",Company_desc!$D$1))</f>
        <v/>
      </c>
      <c r="AA659" s="80">
        <f>IF($A659="","",_xll.BDP($A659&amp;" Corp","YAS_OAS_SPRD","SETTLE_DT",Company_desc!$D$1))</f>
        <v/>
      </c>
    </row>
    <row r="660">
      <c r="B660" s="75">
        <f>IF($A660="","",IFERROR(INDEX(Sheet1!$B:$B,MATCH($A660,Sheet1!$A:$A,0)),""))</f>
        <v/>
      </c>
      <c r="C660" s="75">
        <f>IF($A660="","",PROPER(_xll.BDP($A660&amp;" Corp","NAME")))</f>
        <v/>
      </c>
      <c r="D660" s="76">
        <f>IF($A660="","",_xll.BDP($A660&amp;" Corp","CPN"))</f>
        <v/>
      </c>
      <c r="E660" s="75">
        <f>IF($A660="","",_xll.BDP($A660&amp;" Corp","PAYMENT_RANK"))</f>
        <v/>
      </c>
      <c r="F660" s="100">
        <f>IF($A660="","",_xll.BDP($A660&amp;" Corp","MATURITY"))</f>
        <v/>
      </c>
      <c r="G660" s="75">
        <f>IF($A660="","",PROPER(_xll.BDP($A660&amp;" Corp","COUNTRY_FULL_NAME")))</f>
        <v/>
      </c>
      <c r="H660" s="75">
        <f>IF($A660="","",_xll.BDP($A660&amp;" Corp","INDUSTRY_SECTOR"))</f>
        <v/>
      </c>
      <c r="I660" s="101">
        <f>IF($A660="","",IFERROR(_xll.BDP($A660&amp;" Corp","MIN_PIECE")/1000,""))</f>
        <v/>
      </c>
      <c r="J660" s="31">
        <f>IF($A660="","",_xll.BDP($A660&amp;" Corp","PX_LAST"))</f>
        <v/>
      </c>
      <c r="K660" s="31">
        <f>IF($A660="","",_xll.BDP($A660&amp;" Corp","YAS_BOND_YLD","YAS_YLD_FLAG=15"))</f>
        <v/>
      </c>
      <c r="L660" s="31">
        <f>IF($A660="","",K660-_xll.BDP($A660&amp;" Corp","YAS_BOND_YLD","YAS_YLD_FLAG=15","SETTLE_DT",Company_desc!$A$1))</f>
        <v/>
      </c>
      <c r="M660" s="31">
        <f>IF($A660="","",K660-_xll.BDP($A660&amp;" Corp","YAS_BOND_YLD","YAS_YLD_FLAG=15","SETTLE_DT",Company_desc!$A$2))</f>
        <v/>
      </c>
      <c r="N660" s="79">
        <f>IF($A660="","",_xll.BDP($A660&amp;" Corp","YAS_OAS_SPRD"))</f>
        <v/>
      </c>
      <c r="O660" s="67">
        <f>IF($A660="","",_xll.BDP($A660&amp;" Corp","YAS_MOD_DUR"))</f>
        <v/>
      </c>
      <c r="P660" s="80">
        <f>IF($A660="","",IFERROR(INDEX(Sheet1!$P:$P,MATCH($A660,Sheet1!$A:$A,0)),""))</f>
        <v/>
      </c>
      <c r="Q660" s="75">
        <f>IF($A660="","",IFERROR(INDEX(Company_desc!$C:$C,MATCH($A660,Company_desc!$A:$A,0)),IFERROR(INDEX(Sheet1!$Q:$Q,MATCH($A660,Sheet1!$A:$A,0)),"")))</f>
        <v/>
      </c>
      <c r="R660" s="75">
        <f>IF($A660="","",_xll.BDP($A660&amp;" Corp","CRNCY"))</f>
        <v/>
      </c>
      <c r="S660" s="75">
        <f>IF($A660="","",IFERROR(INDEX(Sheet1!$S:$S,MATCH($A660,Sheet1!$A:$A,0)),""))</f>
        <v/>
      </c>
      <c r="T660" s="75">
        <f>IF($A660="","",IFERROR(INDEX(Sheet1!$T:$T,MATCH($A660,Sheet1!$A:$A,0)),_xll.BDP($A660&amp;" Corp","RTG_SP")))</f>
        <v/>
      </c>
      <c r="U660" s="75">
        <f>IF($A660="","",IFERROR(INDEX(Sheet1!$U:$U,MATCH($A660,Sheet1!$A:$A,0)),""))</f>
        <v/>
      </c>
      <c r="W660" s="81">
        <f>IF($A660="","",N660-_xll.BDP($A660&amp;" Corp","YAS_OAS_SPRD","SETTLE_DT",Company_desc!$A$1))</f>
        <v/>
      </c>
      <c r="X660" s="81">
        <f>IF($A660="","",N660-_xll.BDP($A660&amp;" Corp","YAS_OAS_SPRD","SETTLE_DT",Company_desc!$A$2))</f>
        <v/>
      </c>
      <c r="Y660" s="80">
        <f>IF($A660="","",N660-_xll.BDP($A660&amp;" Corp","YAS_OAS_SPRD","SETTLE_DT",Company_desc!$D$1))</f>
        <v/>
      </c>
      <c r="Z660" s="82">
        <f>IF($A660="","",K660-_xll.BDP($A660&amp;" Corp","YAS_BOND_YLD","YAS_YLD_FLAG=15","SETTLE_DT",Company_desc!$D$1))</f>
        <v/>
      </c>
      <c r="AA660" s="80">
        <f>IF($A660="","",_xll.BDP($A660&amp;" Corp","YAS_OAS_SPRD","SETTLE_DT",Company_desc!$D$1))</f>
        <v/>
      </c>
    </row>
    <row r="661">
      <c r="B661" s="75">
        <f>IF($A661="","",IFERROR(INDEX(Sheet1!$B:$B,MATCH($A661,Sheet1!$A:$A,0)),""))</f>
        <v/>
      </c>
      <c r="C661" s="75">
        <f>IF($A661="","",PROPER(_xll.BDP($A661&amp;" Corp","NAME")))</f>
        <v/>
      </c>
      <c r="D661" s="76">
        <f>IF($A661="","",_xll.BDP($A661&amp;" Corp","CPN"))</f>
        <v/>
      </c>
      <c r="E661" s="75">
        <f>IF($A661="","",_xll.BDP($A661&amp;" Corp","PAYMENT_RANK"))</f>
        <v/>
      </c>
      <c r="F661" s="100">
        <f>IF($A661="","",_xll.BDP($A661&amp;" Corp","MATURITY"))</f>
        <v/>
      </c>
      <c r="G661" s="75">
        <f>IF($A661="","",PROPER(_xll.BDP($A661&amp;" Corp","COUNTRY_FULL_NAME")))</f>
        <v/>
      </c>
      <c r="H661" s="75">
        <f>IF($A661="","",_xll.BDP($A661&amp;" Corp","INDUSTRY_SECTOR"))</f>
        <v/>
      </c>
      <c r="I661" s="101">
        <f>IF($A661="","",IFERROR(_xll.BDP($A661&amp;" Corp","MIN_PIECE")/1000,""))</f>
        <v/>
      </c>
      <c r="J661" s="31">
        <f>IF($A661="","",_xll.BDP($A661&amp;" Corp","PX_LAST"))</f>
        <v/>
      </c>
      <c r="K661" s="31">
        <f>IF($A661="","",_xll.BDP($A661&amp;" Corp","YAS_BOND_YLD","YAS_YLD_FLAG=15"))</f>
        <v/>
      </c>
      <c r="L661" s="31">
        <f>IF($A661="","",K661-_xll.BDP($A661&amp;" Corp","YAS_BOND_YLD","YAS_YLD_FLAG=15","SETTLE_DT",Company_desc!$A$1))</f>
        <v/>
      </c>
      <c r="M661" s="31">
        <f>IF($A661="","",K661-_xll.BDP($A661&amp;" Corp","YAS_BOND_YLD","YAS_YLD_FLAG=15","SETTLE_DT",Company_desc!$A$2))</f>
        <v/>
      </c>
      <c r="N661" s="79">
        <f>IF($A661="","",_xll.BDP($A661&amp;" Corp","YAS_OAS_SPRD"))</f>
        <v/>
      </c>
      <c r="O661" s="67">
        <f>IF($A661="","",_xll.BDP($A661&amp;" Corp","YAS_MOD_DUR"))</f>
        <v/>
      </c>
      <c r="P661" s="80">
        <f>IF($A661="","",IFERROR(INDEX(Sheet1!$P:$P,MATCH($A661,Sheet1!$A:$A,0)),""))</f>
        <v/>
      </c>
      <c r="Q661" s="75">
        <f>IF($A661="","",IFERROR(INDEX(Company_desc!$C:$C,MATCH($A661,Company_desc!$A:$A,0)),IFERROR(INDEX(Sheet1!$Q:$Q,MATCH($A661,Sheet1!$A:$A,0)),"")))</f>
        <v/>
      </c>
      <c r="R661" s="75">
        <f>IF($A661="","",_xll.BDP($A661&amp;" Corp","CRNCY"))</f>
        <v/>
      </c>
      <c r="S661" s="75">
        <f>IF($A661="","",IFERROR(INDEX(Sheet1!$S:$S,MATCH($A661,Sheet1!$A:$A,0)),""))</f>
        <v/>
      </c>
      <c r="T661" s="75">
        <f>IF($A661="","",IFERROR(INDEX(Sheet1!$T:$T,MATCH($A661,Sheet1!$A:$A,0)),_xll.BDP($A661&amp;" Corp","RTG_SP")))</f>
        <v/>
      </c>
      <c r="U661" s="75">
        <f>IF($A661="","",IFERROR(INDEX(Sheet1!$U:$U,MATCH($A661,Sheet1!$A:$A,0)),""))</f>
        <v/>
      </c>
      <c r="W661" s="81">
        <f>IF($A661="","",N661-_xll.BDP($A661&amp;" Corp","YAS_OAS_SPRD","SETTLE_DT",Company_desc!$A$1))</f>
        <v/>
      </c>
      <c r="X661" s="81">
        <f>IF($A661="","",N661-_xll.BDP($A661&amp;" Corp","YAS_OAS_SPRD","SETTLE_DT",Company_desc!$A$2))</f>
        <v/>
      </c>
      <c r="Y661" s="80">
        <f>IF($A661="","",N661-_xll.BDP($A661&amp;" Corp","YAS_OAS_SPRD","SETTLE_DT",Company_desc!$D$1))</f>
        <v/>
      </c>
      <c r="Z661" s="82">
        <f>IF($A661="","",K661-_xll.BDP($A661&amp;" Corp","YAS_BOND_YLD","YAS_YLD_FLAG=15","SETTLE_DT",Company_desc!$D$1))</f>
        <v/>
      </c>
      <c r="AA661" s="80">
        <f>IF($A661="","",_xll.BDP($A661&amp;" Corp","YAS_OAS_SPRD","SETTLE_DT",Company_desc!$D$1))</f>
        <v/>
      </c>
    </row>
    <row r="662">
      <c r="B662" s="75">
        <f>IF($A662="","",IFERROR(INDEX(Sheet1!$B:$B,MATCH($A662,Sheet1!$A:$A,0)),""))</f>
        <v/>
      </c>
      <c r="C662" s="75">
        <f>IF($A662="","",PROPER(_xll.BDP($A662&amp;" Corp","NAME")))</f>
        <v/>
      </c>
      <c r="D662" s="76">
        <f>IF($A662="","",_xll.BDP($A662&amp;" Corp","CPN"))</f>
        <v/>
      </c>
      <c r="E662" s="75">
        <f>IF($A662="","",_xll.BDP($A662&amp;" Corp","PAYMENT_RANK"))</f>
        <v/>
      </c>
      <c r="F662" s="100">
        <f>IF($A662="","",_xll.BDP($A662&amp;" Corp","MATURITY"))</f>
        <v/>
      </c>
      <c r="G662" s="75">
        <f>IF($A662="","",PROPER(_xll.BDP($A662&amp;" Corp","COUNTRY_FULL_NAME")))</f>
        <v/>
      </c>
      <c r="H662" s="75">
        <f>IF($A662="","",_xll.BDP($A662&amp;" Corp","INDUSTRY_SECTOR"))</f>
        <v/>
      </c>
      <c r="I662" s="101">
        <f>IF($A662="","",IFERROR(_xll.BDP($A662&amp;" Corp","MIN_PIECE")/1000,""))</f>
        <v/>
      </c>
      <c r="J662" s="31">
        <f>IF($A662="","",_xll.BDP($A662&amp;" Corp","PX_LAST"))</f>
        <v/>
      </c>
      <c r="K662" s="31">
        <f>IF($A662="","",_xll.BDP($A662&amp;" Corp","YAS_BOND_YLD","YAS_YLD_FLAG=15"))</f>
        <v/>
      </c>
      <c r="L662" s="31">
        <f>IF($A662="","",K662-_xll.BDP($A662&amp;" Corp","YAS_BOND_YLD","YAS_YLD_FLAG=15","SETTLE_DT",Company_desc!$A$1))</f>
        <v/>
      </c>
      <c r="M662" s="31">
        <f>IF($A662="","",K662-_xll.BDP($A662&amp;" Corp","YAS_BOND_YLD","YAS_YLD_FLAG=15","SETTLE_DT",Company_desc!$A$2))</f>
        <v/>
      </c>
      <c r="N662" s="79">
        <f>IF($A662="","",_xll.BDP($A662&amp;" Corp","YAS_OAS_SPRD"))</f>
        <v/>
      </c>
      <c r="O662" s="82">
        <f>IF($A662="","",_xll.BDP($A662&amp;" Corp","YAS_MOD_DUR"))</f>
        <v/>
      </c>
      <c r="P662" s="80">
        <f>IF($A662="","",IFERROR(INDEX(Sheet1!$P:$P,MATCH($A662,Sheet1!$A:$A,0)),""))</f>
        <v/>
      </c>
      <c r="Q662" s="75">
        <f>IF($A662="","",IFERROR(INDEX(Company_desc!$C:$C,MATCH($A662,Company_desc!$A:$A,0)),IFERROR(INDEX(Sheet1!$Q:$Q,MATCH($A662,Sheet1!$A:$A,0)),"")))</f>
        <v/>
      </c>
      <c r="R662" s="75">
        <f>IF($A662="","",_xll.BDP($A662&amp;" Corp","CRNCY"))</f>
        <v/>
      </c>
      <c r="S662" s="75">
        <f>IF($A662="","",IFERROR(INDEX(Sheet1!$S:$S,MATCH($A662,Sheet1!$A:$A,0)),""))</f>
        <v/>
      </c>
      <c r="T662" s="75">
        <f>IF($A662="","",IFERROR(INDEX(Sheet1!$T:$T,MATCH($A662,Sheet1!$A:$A,0)),_xll.BDP($A662&amp;" Corp","RTG_SP")))</f>
        <v/>
      </c>
      <c r="U662" s="75">
        <f>IF($A662="","",IFERROR(INDEX(Sheet1!$U:$U,MATCH($A662,Sheet1!$A:$A,0)),""))</f>
        <v/>
      </c>
      <c r="W662" s="81">
        <f>IF($A662="","",N662-_xll.BDP($A662&amp;" Corp","YAS_OAS_SPRD","SETTLE_DT",Company_desc!$A$1))</f>
        <v/>
      </c>
      <c r="X662" s="81">
        <f>IF($A662="","",N662-_xll.BDP($A662&amp;" Corp","YAS_OAS_SPRD","SETTLE_DT",Company_desc!$A$2))</f>
        <v/>
      </c>
      <c r="Y662" s="80">
        <f>IF($A662="","",N662-_xll.BDP($A662&amp;" Corp","YAS_OAS_SPRD","SETTLE_DT",Company_desc!$D$1))</f>
        <v/>
      </c>
      <c r="Z662" s="82">
        <f>IF($A662="","",K662-_xll.BDP($A662&amp;" Corp","YAS_BOND_YLD","YAS_YLD_FLAG=15","SETTLE_DT",Company_desc!$D$1))</f>
        <v/>
      </c>
      <c r="AA662" s="80">
        <f>IF($A662="","",_xll.BDP($A662&amp;" Corp","YAS_OAS_SPRD","SETTLE_DT",Company_desc!$D$1))</f>
        <v/>
      </c>
    </row>
    <row r="663">
      <c r="B663" s="75">
        <f>IF($A663="","",IFERROR(INDEX(Sheet1!$B:$B,MATCH($A663,Sheet1!$A:$A,0)),""))</f>
        <v/>
      </c>
      <c r="C663" s="75">
        <f>IF($A663="","",PROPER(_xll.BDP($A663&amp;" Corp","NAME")))</f>
        <v/>
      </c>
      <c r="D663" s="76">
        <f>IF($A663="","",_xll.BDP($A663&amp;" Corp","CPN"))</f>
        <v/>
      </c>
      <c r="E663" s="75">
        <f>IF($A663="","",_xll.BDP($A663&amp;" Corp","PAYMENT_RANK"))</f>
        <v/>
      </c>
      <c r="F663" s="100">
        <f>IF($A663="","",_xll.BDP($A663&amp;" Corp","MATURITY"))</f>
        <v/>
      </c>
      <c r="G663" s="75">
        <f>IF($A663="","",PROPER(_xll.BDP($A663&amp;" Corp","COUNTRY_FULL_NAME")))</f>
        <v/>
      </c>
      <c r="H663" s="75">
        <f>IF($A663="","",_xll.BDP($A663&amp;" Corp","INDUSTRY_SECTOR"))</f>
        <v/>
      </c>
      <c r="I663" s="101">
        <f>IF($A663="","",IFERROR(_xll.BDP($A663&amp;" Corp","MIN_PIECE")/1000,""))</f>
        <v/>
      </c>
      <c r="J663" s="31">
        <f>IF($A663="","",_xll.BDP($A663&amp;" Corp","PX_LAST"))</f>
        <v/>
      </c>
      <c r="K663" s="31">
        <f>IF($A663="","",_xll.BDP($A663&amp;" Corp","YAS_BOND_YLD","YAS_YLD_FLAG=15"))</f>
        <v/>
      </c>
      <c r="L663" s="31">
        <f>IF($A663="","",K663-_xll.BDP($A663&amp;" Corp","YAS_BOND_YLD","YAS_YLD_FLAG=15","SETTLE_DT",Company_desc!$A$1))</f>
        <v/>
      </c>
      <c r="M663" s="31">
        <f>IF($A663="","",K663-_xll.BDP($A663&amp;" Corp","YAS_BOND_YLD","YAS_YLD_FLAG=15","SETTLE_DT",Company_desc!$A$2))</f>
        <v/>
      </c>
      <c r="N663" s="79">
        <f>IF($A663="","",_xll.BDP($A663&amp;" Corp","YAS_OAS_SPRD"))</f>
        <v/>
      </c>
      <c r="O663" s="67">
        <f>IF($A663="","",_xll.BDP($A663&amp;" Corp","YAS_MOD_DUR"))</f>
        <v/>
      </c>
      <c r="P663" s="80">
        <f>IF($A663="","",IFERROR(INDEX(Sheet1!$P:$P,MATCH($A663,Sheet1!$A:$A,0)),""))</f>
        <v/>
      </c>
      <c r="Q663" s="75">
        <f>IF($A663="","",IFERROR(INDEX(Company_desc!$C:$C,MATCH($A663,Company_desc!$A:$A,0)),IFERROR(INDEX(Sheet1!$Q:$Q,MATCH($A663,Sheet1!$A:$A,0)),"")))</f>
        <v/>
      </c>
      <c r="R663" s="75">
        <f>IF($A663="","",_xll.BDP($A663&amp;" Corp","CRNCY"))</f>
        <v/>
      </c>
      <c r="S663" s="75">
        <f>IF($A663="","",IFERROR(INDEX(Sheet1!$S:$S,MATCH($A663,Sheet1!$A:$A,0)),""))</f>
        <v/>
      </c>
      <c r="T663" s="75">
        <f>IF($A663="","",IFERROR(INDEX(Sheet1!$T:$T,MATCH($A663,Sheet1!$A:$A,0)),_xll.BDP($A663&amp;" Corp","RTG_SP")))</f>
        <v/>
      </c>
      <c r="U663" s="75">
        <f>IF($A663="","",IFERROR(INDEX(Sheet1!$U:$U,MATCH($A663,Sheet1!$A:$A,0)),""))</f>
        <v/>
      </c>
      <c r="W663" s="81">
        <f>IF($A663="","",N663-_xll.BDP($A663&amp;" Corp","YAS_OAS_SPRD","SETTLE_DT",Company_desc!$A$1))</f>
        <v/>
      </c>
      <c r="X663" s="81">
        <f>IF($A663="","",N663-_xll.BDP($A663&amp;" Corp","YAS_OAS_SPRD","SETTLE_DT",Company_desc!$A$2))</f>
        <v/>
      </c>
      <c r="Y663" s="80">
        <f>IF($A663="","",N663-_xll.BDP($A663&amp;" Corp","YAS_OAS_SPRD","SETTLE_DT",Company_desc!$D$1))</f>
        <v/>
      </c>
      <c r="Z663" s="82">
        <f>IF($A663="","",K663-_xll.BDP($A663&amp;" Corp","YAS_BOND_YLD","YAS_YLD_FLAG=15","SETTLE_DT",Company_desc!$D$1))</f>
        <v/>
      </c>
      <c r="AA663" s="80">
        <f>IF($A663="","",_xll.BDP($A663&amp;" Corp","YAS_OAS_SPRD","SETTLE_DT",Company_desc!$D$1))</f>
        <v/>
      </c>
    </row>
    <row r="664">
      <c r="B664" s="75">
        <f>IF($A664="","",IFERROR(INDEX(Sheet1!$B:$B,MATCH($A664,Sheet1!$A:$A,0)),""))</f>
        <v/>
      </c>
      <c r="C664" s="75">
        <f>IF($A664="","",PROPER(_xll.BDP($A664&amp;" Corp","NAME")))</f>
        <v/>
      </c>
      <c r="D664" s="76">
        <f>IF($A664="","",_xll.BDP($A664&amp;" Corp","CPN"))</f>
        <v/>
      </c>
      <c r="E664" s="75">
        <f>IF($A664="","",_xll.BDP($A664&amp;" Corp","PAYMENT_RANK"))</f>
        <v/>
      </c>
      <c r="F664" s="100">
        <f>IF($A664="","",_xll.BDP($A664&amp;" Corp","MATURITY"))</f>
        <v/>
      </c>
      <c r="G664" s="75">
        <f>IF($A664="","",PROPER(_xll.BDP($A664&amp;" Corp","COUNTRY_FULL_NAME")))</f>
        <v/>
      </c>
      <c r="H664" s="75">
        <f>IF($A664="","",_xll.BDP($A664&amp;" Corp","INDUSTRY_SECTOR"))</f>
        <v/>
      </c>
      <c r="I664" s="101">
        <f>IF($A664="","",IFERROR(_xll.BDP($A664&amp;" Corp","MIN_PIECE")/1000,""))</f>
        <v/>
      </c>
      <c r="J664" s="31">
        <f>IF($A664="","",_xll.BDP($A664&amp;" Corp","PX_LAST"))</f>
        <v/>
      </c>
      <c r="K664" s="31">
        <f>IF($A664="","",_xll.BDP($A664&amp;" Corp","YAS_BOND_YLD","YAS_YLD_FLAG=15"))</f>
        <v/>
      </c>
      <c r="L664" s="31">
        <f>IF($A664="","",K664-_xll.BDP($A664&amp;" Corp","YAS_BOND_YLD","YAS_YLD_FLAG=15","SETTLE_DT",Company_desc!$A$1))</f>
        <v/>
      </c>
      <c r="M664" s="31">
        <f>IF($A664="","",K664-_xll.BDP($A664&amp;" Corp","YAS_BOND_YLD","YAS_YLD_FLAG=15","SETTLE_DT",Company_desc!$A$2))</f>
        <v/>
      </c>
      <c r="N664" s="79">
        <f>IF($A664="","",_xll.BDP($A664&amp;" Corp","YAS_OAS_SPRD"))</f>
        <v/>
      </c>
      <c r="O664" s="67">
        <f>IF($A664="","",_xll.BDP($A664&amp;" Corp","YAS_MOD_DUR"))</f>
        <v/>
      </c>
      <c r="P664" s="80">
        <f>IF($A664="","",IFERROR(INDEX(Sheet1!$P:$P,MATCH($A664,Sheet1!$A:$A,0)),""))</f>
        <v/>
      </c>
      <c r="Q664" s="75">
        <f>IF($A664="","",IFERROR(INDEX(Company_desc!$C:$C,MATCH($A664,Company_desc!$A:$A,0)),IFERROR(INDEX(Sheet1!$Q:$Q,MATCH($A664,Sheet1!$A:$A,0)),"")))</f>
        <v/>
      </c>
      <c r="R664" s="75">
        <f>IF($A664="","",_xll.BDP($A664&amp;" Corp","CRNCY"))</f>
        <v/>
      </c>
      <c r="S664" s="75">
        <f>IF($A664="","",IFERROR(INDEX(Sheet1!$S:$S,MATCH($A664,Sheet1!$A:$A,0)),""))</f>
        <v/>
      </c>
      <c r="T664" s="75">
        <f>IF($A664="","",IFERROR(INDEX(Sheet1!$T:$T,MATCH($A664,Sheet1!$A:$A,0)),_xll.BDP($A664&amp;" Corp","RTG_SP")))</f>
        <v/>
      </c>
      <c r="U664" s="75">
        <f>IF($A664="","",IFERROR(INDEX(Sheet1!$U:$U,MATCH($A664,Sheet1!$A:$A,0)),""))</f>
        <v/>
      </c>
      <c r="W664" s="81">
        <f>IF($A664="","",N664-_xll.BDP($A664&amp;" Corp","YAS_OAS_SPRD","SETTLE_DT",Company_desc!$A$1))</f>
        <v/>
      </c>
      <c r="X664" s="81">
        <f>IF($A664="","",N664-_xll.BDP($A664&amp;" Corp","YAS_OAS_SPRD","SETTLE_DT",Company_desc!$A$2))</f>
        <v/>
      </c>
      <c r="Y664" s="80">
        <f>IF($A664="","",N664-_xll.BDP($A664&amp;" Corp","YAS_OAS_SPRD","SETTLE_DT",Company_desc!$D$1))</f>
        <v/>
      </c>
      <c r="Z664" s="82">
        <f>IF($A664="","",K664-_xll.BDP($A664&amp;" Corp","YAS_BOND_YLD","YAS_YLD_FLAG=15","SETTLE_DT",Company_desc!$D$1))</f>
        <v/>
      </c>
      <c r="AA664" s="80">
        <f>IF($A664="","",_xll.BDP($A664&amp;" Corp","YAS_OAS_SPRD","SETTLE_DT",Company_desc!$D$1))</f>
        <v/>
      </c>
    </row>
    <row r="665">
      <c r="B665" s="75">
        <f>IF($A665="","",IFERROR(INDEX(Sheet1!$B:$B,MATCH($A665,Sheet1!$A:$A,0)),""))</f>
        <v/>
      </c>
      <c r="C665" s="75">
        <f>IF($A665="","",PROPER(_xll.BDP($A665&amp;" Corp","NAME")))</f>
        <v/>
      </c>
      <c r="D665" s="76">
        <f>IF($A665="","",_xll.BDP($A665&amp;" Corp","CPN"))</f>
        <v/>
      </c>
      <c r="E665" s="75">
        <f>IF($A665="","",_xll.BDP($A665&amp;" Corp","PAYMENT_RANK"))</f>
        <v/>
      </c>
      <c r="F665" s="100">
        <f>IF($A665="","",_xll.BDP($A665&amp;" Corp","MATURITY"))</f>
        <v/>
      </c>
      <c r="G665" s="75">
        <f>IF($A665="","",PROPER(_xll.BDP($A665&amp;" Corp","COUNTRY_FULL_NAME")))</f>
        <v/>
      </c>
      <c r="H665" s="75">
        <f>IF($A665="","",_xll.BDP($A665&amp;" Corp","INDUSTRY_SECTOR"))</f>
        <v/>
      </c>
      <c r="I665" s="101">
        <f>IF($A665="","",IFERROR(_xll.BDP($A665&amp;" Corp","MIN_PIECE")/1000,""))</f>
        <v/>
      </c>
      <c r="J665" s="31">
        <f>IF($A665="","",_xll.BDP($A665&amp;" Corp","PX_LAST"))</f>
        <v/>
      </c>
      <c r="K665" s="31">
        <f>IF($A665="","",_xll.BDP($A665&amp;" Corp","YAS_BOND_YLD","YAS_YLD_FLAG=15"))</f>
        <v/>
      </c>
      <c r="L665" s="31">
        <f>IF($A665="","",K665-_xll.BDP($A665&amp;" Corp","YAS_BOND_YLD","YAS_YLD_FLAG=15","SETTLE_DT",Company_desc!$A$1))</f>
        <v/>
      </c>
      <c r="M665" s="31">
        <f>IF($A665="","",K665-_xll.BDP($A665&amp;" Corp","YAS_BOND_YLD","YAS_YLD_FLAG=15","SETTLE_DT",Company_desc!$A$2))</f>
        <v/>
      </c>
      <c r="N665" s="79">
        <f>IF($A665="","",_xll.BDP($A665&amp;" Corp","YAS_OAS_SPRD"))</f>
        <v/>
      </c>
      <c r="O665" s="67">
        <f>IF($A665="","",_xll.BDP($A665&amp;" Corp","YAS_MOD_DUR"))</f>
        <v/>
      </c>
      <c r="P665" s="80">
        <f>IF($A665="","",IFERROR(INDEX(Sheet1!$P:$P,MATCH($A665,Sheet1!$A:$A,0)),""))</f>
        <v/>
      </c>
      <c r="Q665" s="75">
        <f>IF($A665="","",IFERROR(INDEX(Company_desc!$C:$C,MATCH($A665,Company_desc!$A:$A,0)),IFERROR(INDEX(Sheet1!$Q:$Q,MATCH($A665,Sheet1!$A:$A,0)),"")))</f>
        <v/>
      </c>
      <c r="R665" s="75">
        <f>IF($A665="","",_xll.BDP($A665&amp;" Corp","CRNCY"))</f>
        <v/>
      </c>
      <c r="S665" s="75">
        <f>IF($A665="","",IFERROR(INDEX(Sheet1!$S:$S,MATCH($A665,Sheet1!$A:$A,0)),""))</f>
        <v/>
      </c>
      <c r="T665" s="75">
        <f>IF($A665="","",IFERROR(INDEX(Sheet1!$T:$T,MATCH($A665,Sheet1!$A:$A,0)),_xll.BDP($A665&amp;" Corp","RTG_SP")))</f>
        <v/>
      </c>
      <c r="U665" s="75">
        <f>IF($A665="","",IFERROR(INDEX(Sheet1!$U:$U,MATCH($A665,Sheet1!$A:$A,0)),""))</f>
        <v/>
      </c>
      <c r="W665" s="81">
        <f>IF($A665="","",N665-_xll.BDP($A665&amp;" Corp","YAS_OAS_SPRD","SETTLE_DT",Company_desc!$A$1))</f>
        <v/>
      </c>
      <c r="X665" s="81">
        <f>IF($A665="","",N665-_xll.BDP($A665&amp;" Corp","YAS_OAS_SPRD","SETTLE_DT",Company_desc!$A$2))</f>
        <v/>
      </c>
      <c r="Y665" s="80">
        <f>IF($A665="","",N665-_xll.BDP($A665&amp;" Corp","YAS_OAS_SPRD","SETTLE_DT",Company_desc!$D$1))</f>
        <v/>
      </c>
      <c r="Z665" s="82">
        <f>IF($A665="","",K665-_xll.BDP($A665&amp;" Corp","YAS_BOND_YLD","YAS_YLD_FLAG=15","SETTLE_DT",Company_desc!$D$1))</f>
        <v/>
      </c>
      <c r="AA665" s="80">
        <f>IF($A665="","",_xll.BDP($A665&amp;" Corp","YAS_OAS_SPRD","SETTLE_DT",Company_desc!$D$1))</f>
        <v/>
      </c>
    </row>
    <row r="666">
      <c r="B666" s="75">
        <f>IF($A666="","",IFERROR(INDEX(Sheet1!$B:$B,MATCH($A666,Sheet1!$A:$A,0)),""))</f>
        <v/>
      </c>
      <c r="C666" s="75">
        <f>IF($A666="","",PROPER(_xll.BDP($A666&amp;" Corp","NAME")))</f>
        <v/>
      </c>
      <c r="D666" s="76">
        <f>IF($A666="","",_xll.BDP($A666&amp;" Corp","CPN"))</f>
        <v/>
      </c>
      <c r="E666" s="75">
        <f>IF($A666="","",_xll.BDP($A666&amp;" Corp","PAYMENT_RANK"))</f>
        <v/>
      </c>
      <c r="F666" s="100">
        <f>IF($A666="","",_xll.BDP($A666&amp;" Corp","MATURITY"))</f>
        <v/>
      </c>
      <c r="G666" s="75">
        <f>IF($A666="","",PROPER(_xll.BDP($A666&amp;" Corp","COUNTRY_FULL_NAME")))</f>
        <v/>
      </c>
      <c r="H666" s="75">
        <f>IF($A666="","",_xll.BDP($A666&amp;" Corp","INDUSTRY_SECTOR"))</f>
        <v/>
      </c>
      <c r="I666" s="101">
        <f>IF($A666="","",IFERROR(_xll.BDP($A666&amp;" Corp","MIN_PIECE")/1000,""))</f>
        <v/>
      </c>
      <c r="J666" s="31">
        <f>IF($A666="","",_xll.BDP($A666&amp;" Corp","PX_LAST"))</f>
        <v/>
      </c>
      <c r="K666" s="31">
        <f>IF($A666="","",_xll.BDP($A666&amp;" Corp","YAS_BOND_YLD","YAS_YLD_FLAG=15"))</f>
        <v/>
      </c>
      <c r="L666" s="31">
        <f>IF($A666="","",K666-_xll.BDP($A666&amp;" Corp","YAS_BOND_YLD","YAS_YLD_FLAG=15","SETTLE_DT",Company_desc!$A$1))</f>
        <v/>
      </c>
      <c r="M666" s="31">
        <f>IF($A666="","",K666-_xll.BDP($A666&amp;" Corp","YAS_BOND_YLD","YAS_YLD_FLAG=15","SETTLE_DT",Company_desc!$A$2))</f>
        <v/>
      </c>
      <c r="N666" s="79">
        <f>IF($A666="","",_xll.BDP($A666&amp;" Corp","YAS_OAS_SPRD"))</f>
        <v/>
      </c>
      <c r="O666" s="67">
        <f>IF($A666="","",_xll.BDP($A666&amp;" Corp","YAS_MOD_DUR"))</f>
        <v/>
      </c>
      <c r="P666" s="80">
        <f>IF($A666="","",IFERROR(INDEX(Sheet1!$P:$P,MATCH($A666,Sheet1!$A:$A,0)),""))</f>
        <v/>
      </c>
      <c r="Q666" s="75">
        <f>IF($A666="","",IFERROR(INDEX(Company_desc!$C:$C,MATCH($A666,Company_desc!$A:$A,0)),IFERROR(INDEX(Sheet1!$Q:$Q,MATCH($A666,Sheet1!$A:$A,0)),"")))</f>
        <v/>
      </c>
      <c r="R666" s="75">
        <f>IF($A666="","",_xll.BDP($A666&amp;" Corp","CRNCY"))</f>
        <v/>
      </c>
      <c r="S666" s="75">
        <f>IF($A666="","",IFERROR(INDEX(Sheet1!$S:$S,MATCH($A666,Sheet1!$A:$A,0)),""))</f>
        <v/>
      </c>
      <c r="T666" s="75">
        <f>IF($A666="","",IFERROR(INDEX(Sheet1!$T:$T,MATCH($A666,Sheet1!$A:$A,0)),_xll.BDP($A666&amp;" Corp","RTG_SP")))</f>
        <v/>
      </c>
      <c r="U666" s="75">
        <f>IF($A666="","",IFERROR(INDEX(Sheet1!$U:$U,MATCH($A666,Sheet1!$A:$A,0)),""))</f>
        <v/>
      </c>
      <c r="W666" s="81">
        <f>IF($A666="","",N666-_xll.BDP($A666&amp;" Corp","YAS_OAS_SPRD","SETTLE_DT",Company_desc!$A$1))</f>
        <v/>
      </c>
      <c r="X666" s="81">
        <f>IF($A666="","",N666-_xll.BDP($A666&amp;" Corp","YAS_OAS_SPRD","SETTLE_DT",Company_desc!$A$2))</f>
        <v/>
      </c>
      <c r="Y666" s="80">
        <f>IF($A666="","",N666-_xll.BDP($A666&amp;" Corp","YAS_OAS_SPRD","SETTLE_DT",Company_desc!$D$1))</f>
        <v/>
      </c>
      <c r="Z666" s="82">
        <f>IF($A666="","",K666-_xll.BDP($A666&amp;" Corp","YAS_BOND_YLD","YAS_YLD_FLAG=15","SETTLE_DT",Company_desc!$D$1))</f>
        <v/>
      </c>
      <c r="AA666" s="80">
        <f>IF($A666="","",_xll.BDP($A666&amp;" Corp","YAS_OAS_SPRD","SETTLE_DT",Company_desc!$D$1))</f>
        <v/>
      </c>
    </row>
    <row r="667">
      <c r="B667" s="75">
        <f>IF($A667="","",IFERROR(INDEX(Sheet1!$B:$B,MATCH($A667,Sheet1!$A:$A,0)),""))</f>
        <v/>
      </c>
      <c r="C667" s="75">
        <f>IF($A667="","",PROPER(_xll.BDP($A667&amp;" Corp","NAME")))</f>
        <v/>
      </c>
      <c r="D667" s="76">
        <f>IF($A667="","",_xll.BDP($A667&amp;" Corp","CPN"))</f>
        <v/>
      </c>
      <c r="E667" s="75">
        <f>IF($A667="","",_xll.BDP($A667&amp;" Corp","PAYMENT_RANK"))</f>
        <v/>
      </c>
      <c r="F667" s="100">
        <f>IF($A667="","",_xll.BDP($A667&amp;" Corp","MATURITY"))</f>
        <v/>
      </c>
      <c r="G667" s="75">
        <f>IF($A667="","",PROPER(_xll.BDP($A667&amp;" Corp","COUNTRY_FULL_NAME")))</f>
        <v/>
      </c>
      <c r="H667" s="75">
        <f>IF($A667="","",_xll.BDP($A667&amp;" Corp","INDUSTRY_SECTOR"))</f>
        <v/>
      </c>
      <c r="I667" s="101">
        <f>IF($A667="","",IFERROR(_xll.BDP($A667&amp;" Corp","MIN_PIECE")/1000,""))</f>
        <v/>
      </c>
      <c r="J667" s="31">
        <f>IF($A667="","",_xll.BDP($A667&amp;" Corp","PX_LAST"))</f>
        <v/>
      </c>
      <c r="K667" s="31">
        <f>IF($A667="","",_xll.BDP($A667&amp;" Corp","YAS_BOND_YLD","YAS_YLD_FLAG=15"))</f>
        <v/>
      </c>
      <c r="L667" s="31">
        <f>IF($A667="","",K667-_xll.BDP($A667&amp;" Corp","YAS_BOND_YLD","YAS_YLD_FLAG=15","SETTLE_DT",Company_desc!$A$1))</f>
        <v/>
      </c>
      <c r="M667" s="31">
        <f>IF($A667="","",K667-_xll.BDP($A667&amp;" Corp","YAS_BOND_YLD","YAS_YLD_FLAG=15","SETTLE_DT",Company_desc!$A$2))</f>
        <v/>
      </c>
      <c r="N667" s="79">
        <f>IF($A667="","",_xll.BDP($A667&amp;" Corp","YAS_OAS_SPRD"))</f>
        <v/>
      </c>
      <c r="O667" s="67">
        <f>IF($A667="","",_xll.BDP($A667&amp;" Corp","YAS_MOD_DUR"))</f>
        <v/>
      </c>
      <c r="P667" s="80">
        <f>IF($A667="","",IFERROR(INDEX(Sheet1!$P:$P,MATCH($A667,Sheet1!$A:$A,0)),""))</f>
        <v/>
      </c>
      <c r="Q667" s="75">
        <f>IF($A667="","",IFERROR(INDEX(Company_desc!$C:$C,MATCH($A667,Company_desc!$A:$A,0)),IFERROR(INDEX(Sheet1!$Q:$Q,MATCH($A667,Sheet1!$A:$A,0)),"")))</f>
        <v/>
      </c>
      <c r="R667" s="75">
        <f>IF($A667="","",_xll.BDP($A667&amp;" Corp","CRNCY"))</f>
        <v/>
      </c>
      <c r="S667" s="75">
        <f>IF($A667="","",IFERROR(INDEX(Sheet1!$S:$S,MATCH($A667,Sheet1!$A:$A,0)),""))</f>
        <v/>
      </c>
      <c r="T667" s="75">
        <f>IF($A667="","",IFERROR(INDEX(Sheet1!$T:$T,MATCH($A667,Sheet1!$A:$A,0)),_xll.BDP($A667&amp;" Corp","RTG_SP")))</f>
        <v/>
      </c>
      <c r="U667" s="75">
        <f>IF($A667="","",IFERROR(INDEX(Sheet1!$U:$U,MATCH($A667,Sheet1!$A:$A,0)),""))</f>
        <v/>
      </c>
      <c r="W667" s="81">
        <f>IF($A667="","",N667-_xll.BDP($A667&amp;" Corp","YAS_OAS_SPRD","SETTLE_DT",Company_desc!$A$1))</f>
        <v/>
      </c>
      <c r="X667" s="81">
        <f>IF($A667="","",N667-_xll.BDP($A667&amp;" Corp","YAS_OAS_SPRD","SETTLE_DT",Company_desc!$A$2))</f>
        <v/>
      </c>
      <c r="Y667" s="80">
        <f>IF($A667="","",N667-_xll.BDP($A667&amp;" Corp","YAS_OAS_SPRD","SETTLE_DT",Company_desc!$D$1))</f>
        <v/>
      </c>
      <c r="Z667" s="82">
        <f>IF($A667="","",K667-_xll.BDP($A667&amp;" Corp","YAS_BOND_YLD","YAS_YLD_FLAG=15","SETTLE_DT",Company_desc!$D$1))</f>
        <v/>
      </c>
      <c r="AA667" s="80">
        <f>IF($A667="","",_xll.BDP($A667&amp;" Corp","YAS_OAS_SPRD","SETTLE_DT",Company_desc!$D$1))</f>
        <v/>
      </c>
    </row>
    <row r="668">
      <c r="B668" s="75">
        <f>IF($A668="","",IFERROR(INDEX(Sheet1!$B:$B,MATCH($A668,Sheet1!$A:$A,0)),""))</f>
        <v/>
      </c>
      <c r="C668" s="75">
        <f>IF($A668="","",PROPER(_xll.BDP($A668&amp;" Corp","NAME")))</f>
        <v/>
      </c>
      <c r="D668" s="76">
        <f>IF($A668="","",_xll.BDP($A668&amp;" Corp","CPN"))</f>
        <v/>
      </c>
      <c r="E668" s="75">
        <f>IF($A668="","",_xll.BDP($A668&amp;" Corp","PAYMENT_RANK"))</f>
        <v/>
      </c>
      <c r="F668" s="100">
        <f>IF($A668="","",_xll.BDP($A668&amp;" Corp","MATURITY"))</f>
        <v/>
      </c>
      <c r="G668" s="75">
        <f>IF($A668="","",PROPER(_xll.BDP($A668&amp;" Corp","COUNTRY_FULL_NAME")))</f>
        <v/>
      </c>
      <c r="H668" s="75">
        <f>IF($A668="","",_xll.BDP($A668&amp;" Corp","INDUSTRY_SECTOR"))</f>
        <v/>
      </c>
      <c r="I668" s="101">
        <f>IF($A668="","",IFERROR(_xll.BDP($A668&amp;" Corp","MIN_PIECE")/1000,""))</f>
        <v/>
      </c>
      <c r="J668" s="31">
        <f>IF($A668="","",_xll.BDP($A668&amp;" Corp","PX_LAST"))</f>
        <v/>
      </c>
      <c r="K668" s="31">
        <f>IF($A668="","",_xll.BDP($A668&amp;" Corp","YAS_BOND_YLD","YAS_YLD_FLAG=15"))</f>
        <v/>
      </c>
      <c r="L668" s="31">
        <f>IF($A668="","",K668-_xll.BDP($A668&amp;" Corp","YAS_BOND_YLD","YAS_YLD_FLAG=15","SETTLE_DT",Company_desc!$A$1))</f>
        <v/>
      </c>
      <c r="M668" s="31">
        <f>IF($A668="","",K668-_xll.BDP($A668&amp;" Corp","YAS_BOND_YLD","YAS_YLD_FLAG=15","SETTLE_DT",Company_desc!$A$2))</f>
        <v/>
      </c>
      <c r="N668" s="79">
        <f>IF($A668="","",_xll.BDP($A668&amp;" Corp","YAS_OAS_SPRD"))</f>
        <v/>
      </c>
      <c r="O668" s="67">
        <f>IF($A668="","",_xll.BDP($A668&amp;" Corp","YAS_MOD_DUR"))</f>
        <v/>
      </c>
      <c r="P668" s="80">
        <f>IF($A668="","",IFERROR(INDEX(Sheet1!$P:$P,MATCH($A668,Sheet1!$A:$A,0)),""))</f>
        <v/>
      </c>
      <c r="Q668" s="75">
        <f>IF($A668="","",IFERROR(INDEX(Company_desc!$C:$C,MATCH($A668,Company_desc!$A:$A,0)),IFERROR(INDEX(Sheet1!$Q:$Q,MATCH($A668,Sheet1!$A:$A,0)),"")))</f>
        <v/>
      </c>
      <c r="R668" s="75">
        <f>IF($A668="","",_xll.BDP($A668&amp;" Corp","CRNCY"))</f>
        <v/>
      </c>
      <c r="S668" s="75">
        <f>IF($A668="","",IFERROR(INDEX(Sheet1!$S:$S,MATCH($A668,Sheet1!$A:$A,0)),""))</f>
        <v/>
      </c>
      <c r="T668" s="75">
        <f>IF($A668="","",IFERROR(INDEX(Sheet1!$T:$T,MATCH($A668,Sheet1!$A:$A,0)),_xll.BDP($A668&amp;" Corp","RTG_SP")))</f>
        <v/>
      </c>
      <c r="U668" s="75">
        <f>IF($A668="","",IFERROR(INDEX(Sheet1!$U:$U,MATCH($A668,Sheet1!$A:$A,0)),""))</f>
        <v/>
      </c>
      <c r="W668" s="81">
        <f>IF($A668="","",N668-_xll.BDP($A668&amp;" Corp","YAS_OAS_SPRD","SETTLE_DT",Company_desc!$A$1))</f>
        <v/>
      </c>
      <c r="X668" s="81">
        <f>IF($A668="","",N668-_xll.BDP($A668&amp;" Corp","YAS_OAS_SPRD","SETTLE_DT",Company_desc!$A$2))</f>
        <v/>
      </c>
      <c r="Y668" s="80">
        <f>IF($A668="","",N668-_xll.BDP($A668&amp;" Corp","YAS_OAS_SPRD","SETTLE_DT",Company_desc!$D$1))</f>
        <v/>
      </c>
      <c r="Z668" s="82">
        <f>IF($A668="","",K668-_xll.BDP($A668&amp;" Corp","YAS_BOND_YLD","YAS_YLD_FLAG=15","SETTLE_DT",Company_desc!$D$1))</f>
        <v/>
      </c>
      <c r="AA668" s="80">
        <f>IF($A668="","",_xll.BDP($A668&amp;" Corp","YAS_OAS_SPRD","SETTLE_DT",Company_desc!$D$1))</f>
        <v/>
      </c>
    </row>
    <row r="669">
      <c r="B669" s="75">
        <f>IF($A669="","",IFERROR(INDEX(Sheet1!$B:$B,MATCH($A669,Sheet1!$A:$A,0)),""))</f>
        <v/>
      </c>
      <c r="C669" s="75">
        <f>IF($A669="","",PROPER(_xll.BDP($A669&amp;" Corp","NAME")))</f>
        <v/>
      </c>
      <c r="D669" s="76">
        <f>IF($A669="","",_xll.BDP($A669&amp;" Corp","CPN"))</f>
        <v/>
      </c>
      <c r="E669" s="75">
        <f>IF($A669="","",_xll.BDP($A669&amp;" Corp","PAYMENT_RANK"))</f>
        <v/>
      </c>
      <c r="F669" s="100">
        <f>IF($A669="","",_xll.BDP($A669&amp;" Corp","MATURITY"))</f>
        <v/>
      </c>
      <c r="G669" s="75">
        <f>IF($A669="","",PROPER(_xll.BDP($A669&amp;" Corp","COUNTRY_FULL_NAME")))</f>
        <v/>
      </c>
      <c r="H669" s="75">
        <f>IF($A669="","",_xll.BDP($A669&amp;" Corp","INDUSTRY_SECTOR"))</f>
        <v/>
      </c>
      <c r="I669" s="101">
        <f>IF($A669="","",IFERROR(_xll.BDP($A669&amp;" Corp","MIN_PIECE")/1000,""))</f>
        <v/>
      </c>
      <c r="J669" s="31">
        <f>IF($A669="","",_xll.BDP($A669&amp;" Corp","PX_LAST"))</f>
        <v/>
      </c>
      <c r="K669" s="31">
        <f>IF($A669="","",_xll.BDP($A669&amp;" Corp","YAS_BOND_YLD","YAS_YLD_FLAG=15"))</f>
        <v/>
      </c>
      <c r="L669" s="31">
        <f>IF($A669="","",K669-_xll.BDP($A669&amp;" Corp","YAS_BOND_YLD","YAS_YLD_FLAG=15","SETTLE_DT",Company_desc!$A$1))</f>
        <v/>
      </c>
      <c r="M669" s="31">
        <f>IF($A669="","",K669-_xll.BDP($A669&amp;" Corp","YAS_BOND_YLD","YAS_YLD_FLAG=15","SETTLE_DT",Company_desc!$A$2))</f>
        <v/>
      </c>
      <c r="N669" s="79">
        <f>IF($A669="","",_xll.BDP($A669&amp;" Corp","YAS_OAS_SPRD"))</f>
        <v/>
      </c>
      <c r="O669" s="67">
        <f>IF($A669="","",_xll.BDP($A669&amp;" Corp","YAS_MOD_DUR"))</f>
        <v/>
      </c>
      <c r="P669" s="80">
        <f>IF($A669="","",IFERROR(INDEX(Sheet1!$P:$P,MATCH($A669,Sheet1!$A:$A,0)),""))</f>
        <v/>
      </c>
      <c r="Q669" s="75">
        <f>IF($A669="","",IFERROR(INDEX(Company_desc!$C:$C,MATCH($A669,Company_desc!$A:$A,0)),IFERROR(INDEX(Sheet1!$Q:$Q,MATCH($A669,Sheet1!$A:$A,0)),"")))</f>
        <v/>
      </c>
      <c r="R669" s="75">
        <f>IF($A669="","",_xll.BDP($A669&amp;" Corp","CRNCY"))</f>
        <v/>
      </c>
      <c r="S669" s="75">
        <f>IF($A669="","",IFERROR(INDEX(Sheet1!$S:$S,MATCH($A669,Sheet1!$A:$A,0)),""))</f>
        <v/>
      </c>
      <c r="T669" s="75">
        <f>IF($A669="","",IFERROR(INDEX(Sheet1!$T:$T,MATCH($A669,Sheet1!$A:$A,0)),_xll.BDP($A669&amp;" Corp","RTG_SP")))</f>
        <v/>
      </c>
      <c r="U669" s="75">
        <f>IF($A669="","",IFERROR(INDEX(Sheet1!$U:$U,MATCH($A669,Sheet1!$A:$A,0)),""))</f>
        <v/>
      </c>
      <c r="W669" s="81">
        <f>IF($A669="","",N669-_xll.BDP($A669&amp;" Corp","YAS_OAS_SPRD","SETTLE_DT",Company_desc!$A$1))</f>
        <v/>
      </c>
      <c r="X669" s="81">
        <f>IF($A669="","",N669-_xll.BDP($A669&amp;" Corp","YAS_OAS_SPRD","SETTLE_DT",Company_desc!$A$2))</f>
        <v/>
      </c>
      <c r="Y669" s="80">
        <f>IF($A669="","",N669-_xll.BDP($A669&amp;" Corp","YAS_OAS_SPRD","SETTLE_DT",Company_desc!$D$1))</f>
        <v/>
      </c>
      <c r="Z669" s="82">
        <f>IF($A669="","",K669-_xll.BDP($A669&amp;" Corp","YAS_BOND_YLD","YAS_YLD_FLAG=15","SETTLE_DT",Company_desc!$D$1))</f>
        <v/>
      </c>
      <c r="AA669" s="80">
        <f>IF($A669="","",_xll.BDP($A669&amp;" Corp","YAS_OAS_SPRD","SETTLE_DT",Company_desc!$D$1))</f>
        <v/>
      </c>
    </row>
    <row r="670">
      <c r="B670" s="75">
        <f>IF($A670="","",IFERROR(INDEX(Sheet1!$B:$B,MATCH($A670,Sheet1!$A:$A,0)),""))</f>
        <v/>
      </c>
      <c r="C670" s="75">
        <f>IF($A670="","",PROPER(_xll.BDP($A670&amp;" Corp","NAME")))</f>
        <v/>
      </c>
      <c r="D670" s="76">
        <f>IF($A670="","",_xll.BDP($A670&amp;" Corp","CPN"))</f>
        <v/>
      </c>
      <c r="E670" s="75">
        <f>IF($A670="","",_xll.BDP($A670&amp;" Corp","PAYMENT_RANK"))</f>
        <v/>
      </c>
      <c r="F670" s="100">
        <f>IF($A670="","",_xll.BDP($A670&amp;" Corp","MATURITY"))</f>
        <v/>
      </c>
      <c r="G670" s="75">
        <f>IF($A670="","",PROPER(_xll.BDP($A670&amp;" Corp","COUNTRY_FULL_NAME")))</f>
        <v/>
      </c>
      <c r="H670" s="75">
        <f>IF($A670="","",_xll.BDP($A670&amp;" Corp","INDUSTRY_SECTOR"))</f>
        <v/>
      </c>
      <c r="I670" s="101">
        <f>IF($A670="","",IFERROR(_xll.BDP($A670&amp;" Corp","MIN_PIECE")/1000,""))</f>
        <v/>
      </c>
      <c r="J670" s="31">
        <f>IF($A670="","",_xll.BDP($A670&amp;" Corp","PX_LAST"))</f>
        <v/>
      </c>
      <c r="K670" s="31">
        <f>IF($A670="","",_xll.BDP($A670&amp;" Corp","YAS_BOND_YLD","YAS_YLD_FLAG=15"))</f>
        <v/>
      </c>
      <c r="L670" s="31">
        <f>IF($A670="","",K670-_xll.BDP($A670&amp;" Corp","YAS_BOND_YLD","YAS_YLD_FLAG=15","SETTLE_DT",Company_desc!$A$1))</f>
        <v/>
      </c>
      <c r="M670" s="31">
        <f>IF($A670="","",K670-_xll.BDP($A670&amp;" Corp","YAS_BOND_YLD","YAS_YLD_FLAG=15","SETTLE_DT",Company_desc!$A$2))</f>
        <v/>
      </c>
      <c r="N670" s="79">
        <f>IF($A670="","",_xll.BDP($A670&amp;" Corp","YAS_OAS_SPRD"))</f>
        <v/>
      </c>
      <c r="O670" s="67">
        <f>IF($A670="","",_xll.BDP($A670&amp;" Corp","YAS_MOD_DUR"))</f>
        <v/>
      </c>
      <c r="P670" s="80">
        <f>IF($A670="","",IFERROR(INDEX(Sheet1!$P:$P,MATCH($A670,Sheet1!$A:$A,0)),""))</f>
        <v/>
      </c>
      <c r="Q670" s="75">
        <f>IF($A670="","",IFERROR(INDEX(Company_desc!$C:$C,MATCH($A670,Company_desc!$A:$A,0)),IFERROR(INDEX(Sheet1!$Q:$Q,MATCH($A670,Sheet1!$A:$A,0)),"")))</f>
        <v/>
      </c>
      <c r="R670" s="75">
        <f>IF($A670="","",_xll.BDP($A670&amp;" Corp","CRNCY"))</f>
        <v/>
      </c>
      <c r="S670" s="75">
        <f>IF($A670="","",IFERROR(INDEX(Sheet1!$S:$S,MATCH($A670,Sheet1!$A:$A,0)),""))</f>
        <v/>
      </c>
      <c r="T670" s="75">
        <f>IF($A670="","",IFERROR(INDEX(Sheet1!$T:$T,MATCH($A670,Sheet1!$A:$A,0)),_xll.BDP($A670&amp;" Corp","RTG_SP")))</f>
        <v/>
      </c>
      <c r="U670" s="75">
        <f>IF($A670="","",IFERROR(INDEX(Sheet1!$U:$U,MATCH($A670,Sheet1!$A:$A,0)),""))</f>
        <v/>
      </c>
      <c r="W670" s="81">
        <f>IF($A670="","",N670-_xll.BDP($A670&amp;" Corp","YAS_OAS_SPRD","SETTLE_DT",Company_desc!$A$1))</f>
        <v/>
      </c>
      <c r="X670" s="81">
        <f>IF($A670="","",N670-_xll.BDP($A670&amp;" Corp","YAS_OAS_SPRD","SETTLE_DT",Company_desc!$A$2))</f>
        <v/>
      </c>
      <c r="Y670" s="80">
        <f>IF($A670="","",N670-_xll.BDP($A670&amp;" Corp","YAS_OAS_SPRD","SETTLE_DT",Company_desc!$D$1))</f>
        <v/>
      </c>
      <c r="Z670" s="82">
        <f>IF($A670="","",K670-_xll.BDP($A670&amp;" Corp","YAS_BOND_YLD","YAS_YLD_FLAG=15","SETTLE_DT",Company_desc!$D$1))</f>
        <v/>
      </c>
      <c r="AA670" s="80">
        <f>IF($A670="","",_xll.BDP($A670&amp;" Corp","YAS_OAS_SPRD","SETTLE_DT",Company_desc!$D$1))</f>
        <v/>
      </c>
    </row>
    <row r="671">
      <c r="B671" s="75">
        <f>IF($A671="","",IFERROR(INDEX(Sheet1!$B:$B,MATCH($A671,Sheet1!$A:$A,0)),""))</f>
        <v/>
      </c>
      <c r="C671" s="75">
        <f>IF($A671="","",PROPER(_xll.BDP($A671&amp;" Corp","NAME")))</f>
        <v/>
      </c>
      <c r="D671" s="76">
        <f>IF($A671="","",_xll.BDP($A671&amp;" Corp","CPN"))</f>
        <v/>
      </c>
      <c r="E671" s="75">
        <f>IF($A671="","",_xll.BDP($A671&amp;" Corp","PAYMENT_RANK"))</f>
        <v/>
      </c>
      <c r="F671" s="100">
        <f>IF($A671="","",_xll.BDP($A671&amp;" Corp","MATURITY"))</f>
        <v/>
      </c>
      <c r="G671" s="75">
        <f>IF($A671="","",PROPER(_xll.BDP($A671&amp;" Corp","COUNTRY_FULL_NAME")))</f>
        <v/>
      </c>
      <c r="H671" s="75">
        <f>IF($A671="","",_xll.BDP($A671&amp;" Corp","INDUSTRY_SECTOR"))</f>
        <v/>
      </c>
      <c r="I671" s="101">
        <f>IF($A671="","",IFERROR(_xll.BDP($A671&amp;" Corp","MIN_PIECE")/1000,""))</f>
        <v/>
      </c>
      <c r="J671" s="31">
        <f>IF($A671="","",_xll.BDP($A671&amp;" Corp","PX_LAST"))</f>
        <v/>
      </c>
      <c r="K671" s="31">
        <f>IF($A671="","",_xll.BDP($A671&amp;" Corp","YAS_BOND_YLD","YAS_YLD_FLAG=15"))</f>
        <v/>
      </c>
      <c r="L671" s="31">
        <f>IF($A671="","",K671-_xll.BDP($A671&amp;" Corp","YAS_BOND_YLD","YAS_YLD_FLAG=15","SETTLE_DT",Company_desc!$A$1))</f>
        <v/>
      </c>
      <c r="M671" s="31">
        <f>IF($A671="","",K671-_xll.BDP($A671&amp;" Corp","YAS_BOND_YLD","YAS_YLD_FLAG=15","SETTLE_DT",Company_desc!$A$2))</f>
        <v/>
      </c>
      <c r="N671" s="79">
        <f>IF($A671="","",_xll.BDP($A671&amp;" Corp","YAS_OAS_SPRD"))</f>
        <v/>
      </c>
      <c r="O671" s="67">
        <f>IF($A671="","",_xll.BDP($A671&amp;" Corp","YAS_MOD_DUR"))</f>
        <v/>
      </c>
      <c r="P671" s="80">
        <f>IF($A671="","",IFERROR(INDEX(Sheet1!$P:$P,MATCH($A671,Sheet1!$A:$A,0)),""))</f>
        <v/>
      </c>
      <c r="Q671" s="75">
        <f>IF($A671="","",IFERROR(INDEX(Company_desc!$C:$C,MATCH($A671,Company_desc!$A:$A,0)),IFERROR(INDEX(Sheet1!$Q:$Q,MATCH($A671,Sheet1!$A:$A,0)),"")))</f>
        <v/>
      </c>
      <c r="R671" s="75">
        <f>IF($A671="","",_xll.BDP($A671&amp;" Corp","CRNCY"))</f>
        <v/>
      </c>
      <c r="S671" s="75">
        <f>IF($A671="","",IFERROR(INDEX(Sheet1!$S:$S,MATCH($A671,Sheet1!$A:$A,0)),""))</f>
        <v/>
      </c>
      <c r="T671" s="75">
        <f>IF($A671="","",IFERROR(INDEX(Sheet1!$T:$T,MATCH($A671,Sheet1!$A:$A,0)),_xll.BDP($A671&amp;" Corp","RTG_SP")))</f>
        <v/>
      </c>
      <c r="U671" s="75">
        <f>IF($A671="","",IFERROR(INDEX(Sheet1!$U:$U,MATCH($A671,Sheet1!$A:$A,0)),""))</f>
        <v/>
      </c>
      <c r="W671" s="81">
        <f>IF($A671="","",N671-_xll.BDP($A671&amp;" Corp","YAS_OAS_SPRD","SETTLE_DT",Company_desc!$A$1))</f>
        <v/>
      </c>
      <c r="X671" s="81">
        <f>IF($A671="","",N671-_xll.BDP($A671&amp;" Corp","YAS_OAS_SPRD","SETTLE_DT",Company_desc!$A$2))</f>
        <v/>
      </c>
      <c r="Y671" s="80">
        <f>IF($A671="","",N671-_xll.BDP($A671&amp;" Corp","YAS_OAS_SPRD","SETTLE_DT",Company_desc!$D$1))</f>
        <v/>
      </c>
      <c r="Z671" s="82">
        <f>IF($A671="","",K671-_xll.BDP($A671&amp;" Corp","YAS_BOND_YLD","YAS_YLD_FLAG=15","SETTLE_DT",Company_desc!$D$1))</f>
        <v/>
      </c>
      <c r="AA671" s="80">
        <f>IF($A671="","",_xll.BDP($A671&amp;" Corp","YAS_OAS_SPRD","SETTLE_DT",Company_desc!$D$1))</f>
        <v/>
      </c>
    </row>
    <row r="672">
      <c r="B672" s="75">
        <f>IF($A672="","",IFERROR(INDEX(Sheet1!$B:$B,MATCH($A672,Sheet1!$A:$A,0)),""))</f>
        <v/>
      </c>
      <c r="C672" s="75">
        <f>IF($A672="","",PROPER(_xll.BDP($A672&amp;" Corp","NAME")))</f>
        <v/>
      </c>
      <c r="D672" s="76">
        <f>IF($A672="","",_xll.BDP($A672&amp;" Corp","CPN"))</f>
        <v/>
      </c>
      <c r="E672" s="75">
        <f>IF($A672="","",_xll.BDP($A672&amp;" Corp","PAYMENT_RANK"))</f>
        <v/>
      </c>
      <c r="F672" s="100">
        <f>IF($A672="","",_xll.BDP($A672&amp;" Corp","MATURITY"))</f>
        <v/>
      </c>
      <c r="G672" s="75">
        <f>IF($A672="","",PROPER(_xll.BDP($A672&amp;" Corp","COUNTRY_FULL_NAME")))</f>
        <v/>
      </c>
      <c r="H672" s="75">
        <f>IF($A672="","",_xll.BDP($A672&amp;" Corp","INDUSTRY_SECTOR"))</f>
        <v/>
      </c>
      <c r="I672" s="101">
        <f>IF($A672="","",IFERROR(_xll.BDP($A672&amp;" Corp","MIN_PIECE")/1000,""))</f>
        <v/>
      </c>
      <c r="J672" s="31">
        <f>IF($A672="","",_xll.BDP($A672&amp;" Corp","PX_LAST"))</f>
        <v/>
      </c>
      <c r="K672" s="31">
        <f>IF($A672="","",_xll.BDP($A672&amp;" Corp","YAS_BOND_YLD","YAS_YLD_FLAG=15"))</f>
        <v/>
      </c>
      <c r="L672" s="31">
        <f>IF($A672="","",K672-_xll.BDP($A672&amp;" Corp","YAS_BOND_YLD","YAS_YLD_FLAG=15","SETTLE_DT",Company_desc!$A$1))</f>
        <v/>
      </c>
      <c r="M672" s="31">
        <f>IF($A672="","",K672-_xll.BDP($A672&amp;" Corp","YAS_BOND_YLD","YAS_YLD_FLAG=15","SETTLE_DT",Company_desc!$A$2))</f>
        <v/>
      </c>
      <c r="N672" s="79">
        <f>IF($A672="","",_xll.BDP($A672&amp;" Corp","YAS_OAS_SPRD"))</f>
        <v/>
      </c>
      <c r="O672" s="67">
        <f>IF($A672="","",_xll.BDP($A672&amp;" Corp","YAS_MOD_DUR"))</f>
        <v/>
      </c>
      <c r="P672" s="80">
        <f>IF($A672="","",IFERROR(INDEX(Sheet1!$P:$P,MATCH($A672,Sheet1!$A:$A,0)),""))</f>
        <v/>
      </c>
      <c r="Q672" s="75">
        <f>IF($A672="","",IFERROR(INDEX(Company_desc!$C:$C,MATCH($A672,Company_desc!$A:$A,0)),IFERROR(INDEX(Sheet1!$Q:$Q,MATCH($A672,Sheet1!$A:$A,0)),"")))</f>
        <v/>
      </c>
      <c r="R672" s="75">
        <f>IF($A672="","",_xll.BDP($A672&amp;" Corp","CRNCY"))</f>
        <v/>
      </c>
      <c r="S672" s="75">
        <f>IF($A672="","",IFERROR(INDEX(Sheet1!$S:$S,MATCH($A672,Sheet1!$A:$A,0)),""))</f>
        <v/>
      </c>
      <c r="T672" s="75">
        <f>IF($A672="","",IFERROR(INDEX(Sheet1!$T:$T,MATCH($A672,Sheet1!$A:$A,0)),_xll.BDP($A672&amp;" Corp","RTG_SP")))</f>
        <v/>
      </c>
      <c r="U672" s="75">
        <f>IF($A672="","",IFERROR(INDEX(Sheet1!$U:$U,MATCH($A672,Sheet1!$A:$A,0)),""))</f>
        <v/>
      </c>
      <c r="W672" s="81">
        <f>IF($A672="","",N672-_xll.BDP($A672&amp;" Corp","YAS_OAS_SPRD","SETTLE_DT",Company_desc!$A$1))</f>
        <v/>
      </c>
      <c r="X672" s="81">
        <f>IF($A672="","",N672-_xll.BDP($A672&amp;" Corp","YAS_OAS_SPRD","SETTLE_DT",Company_desc!$A$2))</f>
        <v/>
      </c>
      <c r="Y672" s="80">
        <f>IF($A672="","",N672-_xll.BDP($A672&amp;" Corp","YAS_OAS_SPRD","SETTLE_DT",Company_desc!$D$1))</f>
        <v/>
      </c>
      <c r="Z672" s="82">
        <f>IF($A672="","",K672-_xll.BDP($A672&amp;" Corp","YAS_BOND_YLD","YAS_YLD_FLAG=15","SETTLE_DT",Company_desc!$D$1))</f>
        <v/>
      </c>
      <c r="AA672" s="80">
        <f>IF($A672="","",_xll.BDP($A672&amp;" Corp","YAS_OAS_SPRD","SETTLE_DT",Company_desc!$D$1))</f>
        <v/>
      </c>
    </row>
    <row r="673">
      <c r="B673" s="75">
        <f>IF($A673="","",IFERROR(INDEX(Sheet1!$B:$B,MATCH($A673,Sheet1!$A:$A,0)),""))</f>
        <v/>
      </c>
      <c r="C673" s="75">
        <f>IF($A673="","",PROPER(_xll.BDP($A673&amp;" Corp","NAME")))</f>
        <v/>
      </c>
      <c r="D673" s="76">
        <f>IF($A673="","",_xll.BDP($A673&amp;" Corp","CPN"))</f>
        <v/>
      </c>
      <c r="E673" s="75">
        <f>IF($A673="","",_xll.BDP($A673&amp;" Corp","PAYMENT_RANK"))</f>
        <v/>
      </c>
      <c r="F673" s="100">
        <f>IF($A673="","",_xll.BDP($A673&amp;" Corp","MATURITY"))</f>
        <v/>
      </c>
      <c r="G673" s="75">
        <f>IF($A673="","",PROPER(_xll.BDP($A673&amp;" Corp","COUNTRY_FULL_NAME")))</f>
        <v/>
      </c>
      <c r="H673" s="75">
        <f>IF($A673="","",_xll.BDP($A673&amp;" Corp","INDUSTRY_SECTOR"))</f>
        <v/>
      </c>
      <c r="I673" s="101">
        <f>IF($A673="","",IFERROR(_xll.BDP($A673&amp;" Corp","MIN_PIECE")/1000,""))</f>
        <v/>
      </c>
      <c r="J673" s="31">
        <f>IF($A673="","",_xll.BDP($A673&amp;" Corp","PX_LAST"))</f>
        <v/>
      </c>
      <c r="K673" s="31">
        <f>IF($A673="","",_xll.BDP($A673&amp;" Corp","YAS_BOND_YLD","YAS_YLD_FLAG=15"))</f>
        <v/>
      </c>
      <c r="L673" s="31">
        <f>IF($A673="","",K673-_xll.BDP($A673&amp;" Corp","YAS_BOND_YLD","YAS_YLD_FLAG=15","SETTLE_DT",Company_desc!$A$1))</f>
        <v/>
      </c>
      <c r="M673" s="31">
        <f>IF($A673="","",K673-_xll.BDP($A673&amp;" Corp","YAS_BOND_YLD","YAS_YLD_FLAG=15","SETTLE_DT",Company_desc!$A$2))</f>
        <v/>
      </c>
      <c r="N673" s="79">
        <f>IF($A673="","",_xll.BDP($A673&amp;" Corp","YAS_OAS_SPRD"))</f>
        <v/>
      </c>
      <c r="O673" s="67">
        <f>IF($A673="","",_xll.BDP($A673&amp;" Corp","YAS_MOD_DUR"))</f>
        <v/>
      </c>
      <c r="P673" s="80">
        <f>IF($A673="","",IFERROR(INDEX(Sheet1!$P:$P,MATCH($A673,Sheet1!$A:$A,0)),""))</f>
        <v/>
      </c>
      <c r="Q673" s="75">
        <f>IF($A673="","",IFERROR(INDEX(Company_desc!$C:$C,MATCH($A673,Company_desc!$A:$A,0)),IFERROR(INDEX(Sheet1!$Q:$Q,MATCH($A673,Sheet1!$A:$A,0)),"")))</f>
        <v/>
      </c>
      <c r="R673" s="75">
        <f>IF($A673="","",_xll.BDP($A673&amp;" Corp","CRNCY"))</f>
        <v/>
      </c>
      <c r="S673" s="75">
        <f>IF($A673="","",IFERROR(INDEX(Sheet1!$S:$S,MATCH($A673,Sheet1!$A:$A,0)),""))</f>
        <v/>
      </c>
      <c r="T673" s="75">
        <f>IF($A673="","",IFERROR(INDEX(Sheet1!$T:$T,MATCH($A673,Sheet1!$A:$A,0)),_xll.BDP($A673&amp;" Corp","RTG_SP")))</f>
        <v/>
      </c>
      <c r="U673" s="75">
        <f>IF($A673="","",IFERROR(INDEX(Sheet1!$U:$U,MATCH($A673,Sheet1!$A:$A,0)),""))</f>
        <v/>
      </c>
      <c r="W673" s="81">
        <f>IF($A673="","",N673-_xll.BDP($A673&amp;" Corp","YAS_OAS_SPRD","SETTLE_DT",Company_desc!$A$1))</f>
        <v/>
      </c>
      <c r="X673" s="81">
        <f>IF($A673="","",N673-_xll.BDP($A673&amp;" Corp","YAS_OAS_SPRD","SETTLE_DT",Company_desc!$A$2))</f>
        <v/>
      </c>
      <c r="Y673" s="80">
        <f>IF($A673="","",N673-_xll.BDP($A673&amp;" Corp","YAS_OAS_SPRD","SETTLE_DT",Company_desc!$D$1))</f>
        <v/>
      </c>
      <c r="Z673" s="82">
        <f>IF($A673="","",K673-_xll.BDP($A673&amp;" Corp","YAS_BOND_YLD","YAS_YLD_FLAG=15","SETTLE_DT",Company_desc!$D$1))</f>
        <v/>
      </c>
      <c r="AA673" s="80">
        <f>IF($A673="","",_xll.BDP($A673&amp;" Corp","YAS_OAS_SPRD","SETTLE_DT",Company_desc!$D$1))</f>
        <v/>
      </c>
    </row>
    <row r="674">
      <c r="B674" s="75">
        <f>IF($A674="","",IFERROR(INDEX(Sheet1!$B:$B,MATCH($A674,Sheet1!$A:$A,0)),""))</f>
        <v/>
      </c>
      <c r="C674" s="75">
        <f>IF($A674="","",PROPER(_xll.BDP($A674&amp;" Corp","NAME")))</f>
        <v/>
      </c>
      <c r="D674" s="76">
        <f>IF($A674="","",_xll.BDP($A674&amp;" Corp","CPN"))</f>
        <v/>
      </c>
      <c r="E674" s="75">
        <f>IF($A674="","",_xll.BDP($A674&amp;" Corp","PAYMENT_RANK"))</f>
        <v/>
      </c>
      <c r="F674" s="100">
        <f>IF($A674="","",_xll.BDP($A674&amp;" Corp","MATURITY"))</f>
        <v/>
      </c>
      <c r="G674" s="75">
        <f>IF($A674="","",PROPER(_xll.BDP($A674&amp;" Corp","COUNTRY_FULL_NAME")))</f>
        <v/>
      </c>
      <c r="H674" s="75">
        <f>IF($A674="","",_xll.BDP($A674&amp;" Corp","INDUSTRY_SECTOR"))</f>
        <v/>
      </c>
      <c r="I674" s="101">
        <f>IF($A674="","",IFERROR(_xll.BDP($A674&amp;" Corp","MIN_PIECE")/1000,""))</f>
        <v/>
      </c>
      <c r="J674" s="31">
        <f>IF($A674="","",_xll.BDP($A674&amp;" Corp","PX_LAST"))</f>
        <v/>
      </c>
      <c r="K674" s="31">
        <f>IF($A674="","",_xll.BDP($A674&amp;" Corp","YAS_BOND_YLD","YAS_YLD_FLAG=15"))</f>
        <v/>
      </c>
      <c r="L674" s="31">
        <f>IF($A674="","",K674-_xll.BDP($A674&amp;" Corp","YAS_BOND_YLD","YAS_YLD_FLAG=15","SETTLE_DT",Company_desc!$A$1))</f>
        <v/>
      </c>
      <c r="M674" s="31">
        <f>IF($A674="","",K674-_xll.BDP($A674&amp;" Corp","YAS_BOND_YLD","YAS_YLD_FLAG=15","SETTLE_DT",Company_desc!$A$2))</f>
        <v/>
      </c>
      <c r="N674" s="79">
        <f>IF($A674="","",_xll.BDP($A674&amp;" Corp","YAS_OAS_SPRD"))</f>
        <v/>
      </c>
      <c r="O674" s="67">
        <f>IF($A674="","",_xll.BDP($A674&amp;" Corp","YAS_MOD_DUR"))</f>
        <v/>
      </c>
      <c r="P674" s="80">
        <f>IF($A674="","",IFERROR(INDEX(Sheet1!$P:$P,MATCH($A674,Sheet1!$A:$A,0)),""))</f>
        <v/>
      </c>
      <c r="Q674" s="75">
        <f>IF($A674="","",IFERROR(INDEX(Company_desc!$C:$C,MATCH($A674,Company_desc!$A:$A,0)),IFERROR(INDEX(Sheet1!$Q:$Q,MATCH($A674,Sheet1!$A:$A,0)),"")))</f>
        <v/>
      </c>
      <c r="R674" s="75">
        <f>IF($A674="","",_xll.BDP($A674&amp;" Corp","CRNCY"))</f>
        <v/>
      </c>
      <c r="S674" s="75">
        <f>IF($A674="","",IFERROR(INDEX(Sheet1!$S:$S,MATCH($A674,Sheet1!$A:$A,0)),""))</f>
        <v/>
      </c>
      <c r="T674" s="75">
        <f>IF($A674="","",IFERROR(INDEX(Sheet1!$T:$T,MATCH($A674,Sheet1!$A:$A,0)),_xll.BDP($A674&amp;" Corp","RTG_SP")))</f>
        <v/>
      </c>
      <c r="U674" s="75">
        <f>IF($A674="","",IFERROR(INDEX(Sheet1!$U:$U,MATCH($A674,Sheet1!$A:$A,0)),""))</f>
        <v/>
      </c>
      <c r="W674" s="81">
        <f>IF($A674="","",N674-_xll.BDP($A674&amp;" Corp","YAS_OAS_SPRD","SETTLE_DT",Company_desc!$A$1))</f>
        <v/>
      </c>
      <c r="X674" s="81">
        <f>IF($A674="","",N674-_xll.BDP($A674&amp;" Corp","YAS_OAS_SPRD","SETTLE_DT",Company_desc!$A$2))</f>
        <v/>
      </c>
      <c r="Y674" s="80">
        <f>IF($A674="","",N674-_xll.BDP($A674&amp;" Corp","YAS_OAS_SPRD","SETTLE_DT",Company_desc!$D$1))</f>
        <v/>
      </c>
      <c r="Z674" s="82">
        <f>IF($A674="","",K674-_xll.BDP($A674&amp;" Corp","YAS_BOND_YLD","YAS_YLD_FLAG=15","SETTLE_DT",Company_desc!$D$1))</f>
        <v/>
      </c>
      <c r="AA674" s="80">
        <f>IF($A674="","",_xll.BDP($A674&amp;" Corp","YAS_OAS_SPRD","SETTLE_DT",Company_desc!$D$1))</f>
        <v/>
      </c>
    </row>
    <row r="675">
      <c r="B675" s="75">
        <f>IF($A675="","",IFERROR(INDEX(Sheet1!$B:$B,MATCH($A675,Sheet1!$A:$A,0)),""))</f>
        <v/>
      </c>
      <c r="C675" s="75">
        <f>IF($A675="","",PROPER(_xll.BDP($A675&amp;" Corp","NAME")))</f>
        <v/>
      </c>
      <c r="D675" s="76">
        <f>IF($A675="","",_xll.BDP($A675&amp;" Corp","CPN"))</f>
        <v/>
      </c>
      <c r="E675" s="75">
        <f>IF($A675="","",_xll.BDP($A675&amp;" Corp","PAYMENT_RANK"))</f>
        <v/>
      </c>
      <c r="F675" s="100">
        <f>IF($A675="","",_xll.BDP($A675&amp;" Corp","MATURITY"))</f>
        <v/>
      </c>
      <c r="G675" s="75">
        <f>IF($A675="","",PROPER(_xll.BDP($A675&amp;" Corp","COUNTRY_FULL_NAME")))</f>
        <v/>
      </c>
      <c r="H675" s="75">
        <f>IF($A675="","",_xll.BDP($A675&amp;" Corp","INDUSTRY_SECTOR"))</f>
        <v/>
      </c>
      <c r="I675" s="101">
        <f>IF($A675="","",IFERROR(_xll.BDP($A675&amp;" Corp","MIN_PIECE")/1000,""))</f>
        <v/>
      </c>
      <c r="J675" s="31">
        <f>IF($A675="","",_xll.BDP($A675&amp;" Corp","PX_LAST"))</f>
        <v/>
      </c>
      <c r="K675" s="31">
        <f>IF($A675="","",_xll.BDP($A675&amp;" Corp","YAS_BOND_YLD","YAS_YLD_FLAG=15"))</f>
        <v/>
      </c>
      <c r="L675" s="31">
        <f>IF($A675="","",K675-_xll.BDP($A675&amp;" Corp","YAS_BOND_YLD","YAS_YLD_FLAG=15","SETTLE_DT",Company_desc!$A$1))</f>
        <v/>
      </c>
      <c r="M675" s="31">
        <f>IF($A675="","",K675-_xll.BDP($A675&amp;" Corp","YAS_BOND_YLD","YAS_YLD_FLAG=15","SETTLE_DT",Company_desc!$A$2))</f>
        <v/>
      </c>
      <c r="N675" s="79">
        <f>IF($A675="","",_xll.BDP($A675&amp;" Corp","YAS_OAS_SPRD"))</f>
        <v/>
      </c>
      <c r="O675" s="82">
        <f>IF($A675="","",_xll.BDP($A675&amp;" Corp","YAS_MOD_DUR"))</f>
        <v/>
      </c>
      <c r="P675" s="80">
        <f>IF($A675="","",IFERROR(INDEX(Sheet1!$P:$P,MATCH($A675,Sheet1!$A:$A,0)),""))</f>
        <v/>
      </c>
      <c r="Q675" s="75">
        <f>IF($A675="","",IFERROR(INDEX(Company_desc!$C:$C,MATCH($A675,Company_desc!$A:$A,0)),IFERROR(INDEX(Sheet1!$Q:$Q,MATCH($A675,Sheet1!$A:$A,0)),"")))</f>
        <v/>
      </c>
      <c r="R675" s="75">
        <f>IF($A675="","",_xll.BDP($A675&amp;" Corp","CRNCY"))</f>
        <v/>
      </c>
      <c r="S675" s="75">
        <f>IF($A675="","",IFERROR(INDEX(Sheet1!$S:$S,MATCH($A675,Sheet1!$A:$A,0)),""))</f>
        <v/>
      </c>
      <c r="T675" s="75">
        <f>IF($A675="","",IFERROR(INDEX(Sheet1!$T:$T,MATCH($A675,Sheet1!$A:$A,0)),_xll.BDP($A675&amp;" Corp","RTG_SP")))</f>
        <v/>
      </c>
      <c r="U675" s="75">
        <f>IF($A675="","",IFERROR(INDEX(Sheet1!$U:$U,MATCH($A675,Sheet1!$A:$A,0)),""))</f>
        <v/>
      </c>
      <c r="W675" s="81">
        <f>IF($A675="","",N675-_xll.BDP($A675&amp;" Corp","YAS_OAS_SPRD","SETTLE_DT",Company_desc!$A$1))</f>
        <v/>
      </c>
      <c r="X675" s="81">
        <f>IF($A675="","",N675-_xll.BDP($A675&amp;" Corp","YAS_OAS_SPRD","SETTLE_DT",Company_desc!$A$2))</f>
        <v/>
      </c>
      <c r="Y675" s="80">
        <f>IF($A675="","",N675-_xll.BDP($A675&amp;" Corp","YAS_OAS_SPRD","SETTLE_DT",Company_desc!$D$1))</f>
        <v/>
      </c>
      <c r="Z675" s="82">
        <f>IF($A675="","",K675-_xll.BDP($A675&amp;" Corp","YAS_BOND_YLD","YAS_YLD_FLAG=15","SETTLE_DT",Company_desc!$D$1))</f>
        <v/>
      </c>
      <c r="AA675" s="80">
        <f>IF($A675="","",_xll.BDP($A675&amp;" Corp","YAS_OAS_SPRD","SETTLE_DT",Company_desc!$D$1))</f>
        <v/>
      </c>
    </row>
    <row r="676">
      <c r="B676" s="75">
        <f>IF($A676="","",IFERROR(INDEX(Sheet1!$B:$B,MATCH($A676,Sheet1!$A:$A,0)),""))</f>
        <v/>
      </c>
      <c r="C676" s="75">
        <f>IF($A676="","",PROPER(_xll.BDP($A676&amp;" Corp","NAME")))</f>
        <v/>
      </c>
      <c r="D676" s="76">
        <f>IF($A676="","",_xll.BDP($A676&amp;" Corp","CPN"))</f>
        <v/>
      </c>
      <c r="E676" s="75">
        <f>IF($A676="","",_xll.BDP($A676&amp;" Corp","PAYMENT_RANK"))</f>
        <v/>
      </c>
      <c r="F676" s="100">
        <f>IF($A676="","",_xll.BDP($A676&amp;" Corp","MATURITY"))</f>
        <v/>
      </c>
      <c r="G676" s="75">
        <f>IF($A676="","",PROPER(_xll.BDP($A676&amp;" Corp","COUNTRY_FULL_NAME")))</f>
        <v/>
      </c>
      <c r="H676" s="75">
        <f>IF($A676="","",_xll.BDP($A676&amp;" Corp","INDUSTRY_SECTOR"))</f>
        <v/>
      </c>
      <c r="I676" s="101">
        <f>IF($A676="","",IFERROR(_xll.BDP($A676&amp;" Corp","MIN_PIECE")/1000,""))</f>
        <v/>
      </c>
      <c r="J676" s="31">
        <f>IF($A676="","",_xll.BDP($A676&amp;" Corp","PX_LAST"))</f>
        <v/>
      </c>
      <c r="K676" s="31">
        <f>IF($A676="","",_xll.BDP($A676&amp;" Corp","YAS_BOND_YLD","YAS_YLD_FLAG=15"))</f>
        <v/>
      </c>
      <c r="L676" s="31">
        <f>IF($A676="","",K676-_xll.BDP($A676&amp;" Corp","YAS_BOND_YLD","YAS_YLD_FLAG=15","SETTLE_DT",Company_desc!$A$1))</f>
        <v/>
      </c>
      <c r="M676" s="31">
        <f>IF($A676="","",K676-_xll.BDP($A676&amp;" Corp","YAS_BOND_YLD","YAS_YLD_FLAG=15","SETTLE_DT",Company_desc!$A$2))</f>
        <v/>
      </c>
      <c r="N676" s="79">
        <f>IF($A676="","",_xll.BDP($A676&amp;" Corp","YAS_OAS_SPRD"))</f>
        <v/>
      </c>
      <c r="O676" s="67">
        <f>IF($A676="","",_xll.BDP($A676&amp;" Corp","YAS_MOD_DUR"))</f>
        <v/>
      </c>
      <c r="P676" s="80">
        <f>IF($A676="","",IFERROR(INDEX(Sheet1!$P:$P,MATCH($A676,Sheet1!$A:$A,0)),""))</f>
        <v/>
      </c>
      <c r="Q676" s="75">
        <f>IF($A676="","",IFERROR(INDEX(Company_desc!$C:$C,MATCH($A676,Company_desc!$A:$A,0)),IFERROR(INDEX(Sheet1!$Q:$Q,MATCH($A676,Sheet1!$A:$A,0)),"")))</f>
        <v/>
      </c>
      <c r="R676" s="75">
        <f>IF($A676="","",_xll.BDP($A676&amp;" Corp","CRNCY"))</f>
        <v/>
      </c>
      <c r="S676" s="75">
        <f>IF($A676="","",IFERROR(INDEX(Sheet1!$S:$S,MATCH($A676,Sheet1!$A:$A,0)),""))</f>
        <v/>
      </c>
      <c r="T676" s="75">
        <f>IF($A676="","",IFERROR(INDEX(Sheet1!$T:$T,MATCH($A676,Sheet1!$A:$A,0)),_xll.BDP($A676&amp;" Corp","RTG_SP")))</f>
        <v/>
      </c>
      <c r="U676" s="75">
        <f>IF($A676="","",IFERROR(INDEX(Sheet1!$U:$U,MATCH($A676,Sheet1!$A:$A,0)),""))</f>
        <v/>
      </c>
      <c r="W676" s="81">
        <f>IF($A676="","",N676-_xll.BDP($A676&amp;" Corp","YAS_OAS_SPRD","SETTLE_DT",Company_desc!$A$1))</f>
        <v/>
      </c>
      <c r="X676" s="81">
        <f>IF($A676="","",N676-_xll.BDP($A676&amp;" Corp","YAS_OAS_SPRD","SETTLE_DT",Company_desc!$A$2))</f>
        <v/>
      </c>
      <c r="Y676" s="80">
        <f>IF($A676="","",N676-_xll.BDP($A676&amp;" Corp","YAS_OAS_SPRD","SETTLE_DT",Company_desc!$D$1))</f>
        <v/>
      </c>
      <c r="Z676" s="82">
        <f>IF($A676="","",K676-_xll.BDP($A676&amp;" Corp","YAS_BOND_YLD","YAS_YLD_FLAG=15","SETTLE_DT",Company_desc!$D$1))</f>
        <v/>
      </c>
      <c r="AA676" s="80">
        <f>IF($A676="","",_xll.BDP($A676&amp;" Corp","YAS_OAS_SPRD","SETTLE_DT",Company_desc!$D$1))</f>
        <v/>
      </c>
    </row>
    <row r="677">
      <c r="B677" s="75">
        <f>IF($A677="","",IFERROR(INDEX(Sheet1!$B:$B,MATCH($A677,Sheet1!$A:$A,0)),""))</f>
        <v/>
      </c>
      <c r="C677" s="75">
        <f>IF($A677="","",PROPER(_xll.BDP($A677&amp;" Corp","NAME")))</f>
        <v/>
      </c>
      <c r="D677" s="76">
        <f>IF($A677="","",_xll.BDP($A677&amp;" Corp","CPN"))</f>
        <v/>
      </c>
      <c r="E677" s="75">
        <f>IF($A677="","",_xll.BDP($A677&amp;" Corp","PAYMENT_RANK"))</f>
        <v/>
      </c>
      <c r="F677" s="100">
        <f>IF($A677="","",_xll.BDP($A677&amp;" Corp","MATURITY"))</f>
        <v/>
      </c>
      <c r="G677" s="75">
        <f>IF($A677="","",PROPER(_xll.BDP($A677&amp;" Corp","COUNTRY_FULL_NAME")))</f>
        <v/>
      </c>
      <c r="H677" s="75">
        <f>IF($A677="","",_xll.BDP($A677&amp;" Corp","INDUSTRY_SECTOR"))</f>
        <v/>
      </c>
      <c r="I677" s="101">
        <f>IF($A677="","",IFERROR(_xll.BDP($A677&amp;" Corp","MIN_PIECE")/1000,""))</f>
        <v/>
      </c>
      <c r="J677" s="31">
        <f>IF($A677="","",_xll.BDP($A677&amp;" Corp","PX_LAST"))</f>
        <v/>
      </c>
      <c r="K677" s="31">
        <f>IF($A677="","",_xll.BDP($A677&amp;" Corp","YAS_BOND_YLD","YAS_YLD_FLAG=15"))</f>
        <v/>
      </c>
      <c r="L677" s="31">
        <f>IF($A677="","",K677-_xll.BDP($A677&amp;" Corp","YAS_BOND_YLD","YAS_YLD_FLAG=15","SETTLE_DT",Company_desc!$A$1))</f>
        <v/>
      </c>
      <c r="M677" s="31">
        <f>IF($A677="","",K677-_xll.BDP($A677&amp;" Corp","YAS_BOND_YLD","YAS_YLD_FLAG=15","SETTLE_DT",Company_desc!$A$2))</f>
        <v/>
      </c>
      <c r="N677" s="79">
        <f>IF($A677="","",_xll.BDP($A677&amp;" Corp","YAS_OAS_SPRD"))</f>
        <v/>
      </c>
      <c r="O677" s="67">
        <f>IF($A677="","",_xll.BDP($A677&amp;" Corp","YAS_MOD_DUR"))</f>
        <v/>
      </c>
      <c r="P677" s="80">
        <f>IF($A677="","",IFERROR(INDEX(Sheet1!$P:$P,MATCH($A677,Sheet1!$A:$A,0)),""))</f>
        <v/>
      </c>
      <c r="Q677" s="75">
        <f>IF($A677="","",IFERROR(INDEX(Company_desc!$C:$C,MATCH($A677,Company_desc!$A:$A,0)),IFERROR(INDEX(Sheet1!$Q:$Q,MATCH($A677,Sheet1!$A:$A,0)),"")))</f>
        <v/>
      </c>
      <c r="R677" s="75">
        <f>IF($A677="","",_xll.BDP($A677&amp;" Corp","CRNCY"))</f>
        <v/>
      </c>
      <c r="S677" s="75">
        <f>IF($A677="","",IFERROR(INDEX(Sheet1!$S:$S,MATCH($A677,Sheet1!$A:$A,0)),""))</f>
        <v/>
      </c>
      <c r="T677" s="75">
        <f>IF($A677="","",IFERROR(INDEX(Sheet1!$T:$T,MATCH($A677,Sheet1!$A:$A,0)),_xll.BDP($A677&amp;" Corp","RTG_SP")))</f>
        <v/>
      </c>
      <c r="U677" s="75">
        <f>IF($A677="","",IFERROR(INDEX(Sheet1!$U:$U,MATCH($A677,Sheet1!$A:$A,0)),""))</f>
        <v/>
      </c>
      <c r="W677" s="81">
        <f>IF($A677="","",N677-_xll.BDP($A677&amp;" Corp","YAS_OAS_SPRD","SETTLE_DT",Company_desc!$A$1))</f>
        <v/>
      </c>
      <c r="X677" s="81">
        <f>IF($A677="","",N677-_xll.BDP($A677&amp;" Corp","YAS_OAS_SPRD","SETTLE_DT",Company_desc!$A$2))</f>
        <v/>
      </c>
      <c r="Y677" s="80">
        <f>IF($A677="","",N677-_xll.BDP($A677&amp;" Corp","YAS_OAS_SPRD","SETTLE_DT",Company_desc!$D$1))</f>
        <v/>
      </c>
      <c r="Z677" s="82">
        <f>IF($A677="","",K677-_xll.BDP($A677&amp;" Corp","YAS_BOND_YLD","YAS_YLD_FLAG=15","SETTLE_DT",Company_desc!$D$1))</f>
        <v/>
      </c>
      <c r="AA677" s="80">
        <f>IF($A677="","",_xll.BDP($A677&amp;" Corp","YAS_OAS_SPRD","SETTLE_DT",Company_desc!$D$1))</f>
        <v/>
      </c>
    </row>
    <row r="678">
      <c r="B678" s="75">
        <f>IF($A678="","",IFERROR(INDEX(Sheet1!$B:$B,MATCH($A678,Sheet1!$A:$A,0)),""))</f>
        <v/>
      </c>
      <c r="C678" s="75">
        <f>IF($A678="","",PROPER(_xll.BDP($A678&amp;" Corp","NAME")))</f>
        <v/>
      </c>
      <c r="D678" s="76">
        <f>IF($A678="","",_xll.BDP($A678&amp;" Corp","CPN"))</f>
        <v/>
      </c>
      <c r="E678" s="75">
        <f>IF($A678="","",_xll.BDP($A678&amp;" Corp","PAYMENT_RANK"))</f>
        <v/>
      </c>
      <c r="F678" s="100">
        <f>IF($A678="","",_xll.BDP($A678&amp;" Corp","MATURITY"))</f>
        <v/>
      </c>
      <c r="G678" s="75">
        <f>IF($A678="","",PROPER(_xll.BDP($A678&amp;" Corp","COUNTRY_FULL_NAME")))</f>
        <v/>
      </c>
      <c r="H678" s="75">
        <f>IF($A678="","",_xll.BDP($A678&amp;" Corp","INDUSTRY_SECTOR"))</f>
        <v/>
      </c>
      <c r="I678" s="101">
        <f>IF($A678="","",IFERROR(_xll.BDP($A678&amp;" Corp","MIN_PIECE")/1000,""))</f>
        <v/>
      </c>
      <c r="J678" s="31">
        <f>IF($A678="","",_xll.BDP($A678&amp;" Corp","PX_LAST"))</f>
        <v/>
      </c>
      <c r="K678" s="31">
        <f>IF($A678="","",_xll.BDP($A678&amp;" Corp","YAS_BOND_YLD","YAS_YLD_FLAG=15"))</f>
        <v/>
      </c>
      <c r="L678" s="31">
        <f>IF($A678="","",K678-_xll.BDP($A678&amp;" Corp","YAS_BOND_YLD","YAS_YLD_FLAG=15","SETTLE_DT",Company_desc!$A$1))</f>
        <v/>
      </c>
      <c r="M678" s="31">
        <f>IF($A678="","",K678-_xll.BDP($A678&amp;" Corp","YAS_BOND_YLD","YAS_YLD_FLAG=15","SETTLE_DT",Company_desc!$A$2))</f>
        <v/>
      </c>
      <c r="N678" s="79">
        <f>IF($A678="","",_xll.BDP($A678&amp;" Corp","YAS_OAS_SPRD"))</f>
        <v/>
      </c>
      <c r="O678" s="67">
        <f>IF($A678="","",_xll.BDP($A678&amp;" Corp","YAS_MOD_DUR"))</f>
        <v/>
      </c>
      <c r="P678" s="80">
        <f>IF($A678="","",IFERROR(INDEX(Sheet1!$P:$P,MATCH($A678,Sheet1!$A:$A,0)),""))</f>
        <v/>
      </c>
      <c r="Q678" s="75">
        <f>IF($A678="","",IFERROR(INDEX(Company_desc!$C:$C,MATCH($A678,Company_desc!$A:$A,0)),IFERROR(INDEX(Sheet1!$Q:$Q,MATCH($A678,Sheet1!$A:$A,0)),"")))</f>
        <v/>
      </c>
      <c r="R678" s="75">
        <f>IF($A678="","",_xll.BDP($A678&amp;" Corp","CRNCY"))</f>
        <v/>
      </c>
      <c r="S678" s="75">
        <f>IF($A678="","",IFERROR(INDEX(Sheet1!$S:$S,MATCH($A678,Sheet1!$A:$A,0)),""))</f>
        <v/>
      </c>
      <c r="T678" s="75">
        <f>IF($A678="","",IFERROR(INDEX(Sheet1!$T:$T,MATCH($A678,Sheet1!$A:$A,0)),_xll.BDP($A678&amp;" Corp","RTG_SP")))</f>
        <v/>
      </c>
      <c r="U678" s="75">
        <f>IF($A678="","",IFERROR(INDEX(Sheet1!$U:$U,MATCH($A678,Sheet1!$A:$A,0)),""))</f>
        <v/>
      </c>
      <c r="W678" s="81">
        <f>IF($A678="","",N678-_xll.BDP($A678&amp;" Corp","YAS_OAS_SPRD","SETTLE_DT",Company_desc!$A$1))</f>
        <v/>
      </c>
      <c r="X678" s="81">
        <f>IF($A678="","",N678-_xll.BDP($A678&amp;" Corp","YAS_OAS_SPRD","SETTLE_DT",Company_desc!$A$2))</f>
        <v/>
      </c>
      <c r="Y678" s="80">
        <f>IF($A678="","",N678-_xll.BDP($A678&amp;" Corp","YAS_OAS_SPRD","SETTLE_DT",Company_desc!$D$1))</f>
        <v/>
      </c>
      <c r="Z678" s="82">
        <f>IF($A678="","",K678-_xll.BDP($A678&amp;" Corp","YAS_BOND_YLD","YAS_YLD_FLAG=15","SETTLE_DT",Company_desc!$D$1))</f>
        <v/>
      </c>
      <c r="AA678" s="80">
        <f>IF($A678="","",_xll.BDP($A678&amp;" Corp","YAS_OAS_SPRD","SETTLE_DT",Company_desc!$D$1))</f>
        <v/>
      </c>
    </row>
    <row r="679">
      <c r="B679" s="28">
        <f>IF($A679="","",IFERROR(INDEX(Sheet1!$B:$B,MATCH($A679,Sheet1!$A:$A,0)),""))</f>
        <v/>
      </c>
      <c r="C679" s="29">
        <f>IF($A679="","",PROPER(_xll.BDP($A679&amp;" Corp","NAME")))</f>
        <v/>
      </c>
      <c r="D679" s="84">
        <f>IF($A679="","",_xll.BDP($A679&amp;" Corp","CPN"))</f>
        <v/>
      </c>
      <c r="E679" s="84">
        <f>IF($A679="","",_xll.BDP($A679&amp;" Corp","PAYMENT_RANK"))</f>
        <v/>
      </c>
      <c r="F679" s="102">
        <f>IF($A679="","",_xll.BDP($A679&amp;" Corp","MATURITY"))</f>
        <v/>
      </c>
      <c r="G679" s="43">
        <f>IF($A679="","",PROPER(_xll.BDP($A679&amp;" Corp","COUNTRY_FULL_NAME")))</f>
        <v/>
      </c>
      <c r="H679" s="44">
        <f>IF($A679="","",_xll.BDP($A679&amp;" Corp","INDUSTRY_SECTOR"))</f>
        <v/>
      </c>
      <c r="I679" s="104">
        <f>IF($A679="","",IFERROR(_xll.BDP($A679&amp;" Corp","MIN_PIECE")/1000,""))</f>
        <v/>
      </c>
      <c r="J679" s="31">
        <f>IF($A679="","",_xll.BDP($A679&amp;" Corp","PX_LAST"))</f>
        <v/>
      </c>
      <c r="K679" s="31">
        <f>IF($A679="","",_xll.BDP($A679&amp;" Corp","YAS_BOND_YLD","YAS_YLD_FLAG=15"))</f>
        <v/>
      </c>
      <c r="L679" s="31">
        <f>IF($A679="","",K679-_xll.BDP($A679&amp;" Corp","YAS_BOND_YLD","YAS_YLD_FLAG=15","SETTLE_DT",Company_desc!$A$1))</f>
        <v/>
      </c>
      <c r="M679" s="31">
        <f>IF($A679="","",K679-_xll.BDP($A679&amp;" Corp","YAS_BOND_YLD","YAS_YLD_FLAG=15","SETTLE_DT",Company_desc!$A$2))</f>
        <v/>
      </c>
      <c r="N679" s="79">
        <f>IF($A679="","",_xll.BDP($A679&amp;" Corp","YAS_OAS_SPRD"))</f>
        <v/>
      </c>
      <c r="O679" s="67">
        <f>IF($A679="","",_xll.BDP($A679&amp;" Corp","YAS_MOD_DUR"))</f>
        <v/>
      </c>
      <c r="P679" s="79">
        <f>IF($A679="","",IFERROR(INDEX(Sheet1!$P:$P,MATCH($A679,Sheet1!$A:$A,0)),""))</f>
        <v/>
      </c>
      <c r="Q679" s="27">
        <f>IF($A679="","",IFERROR(INDEX(Company_desc!$C:$C,MATCH($A679,Company_desc!$A:$A,0)),IFERROR(INDEX(Sheet1!$Q:$Q,MATCH($A679,Sheet1!$A:$A,0)),"")))</f>
        <v/>
      </c>
      <c r="R679" s="27">
        <f>IF($A679="","",_xll.BDP($A679&amp;" Corp","CRNCY"))</f>
        <v/>
      </c>
      <c r="S679" s="27">
        <f>IF($A679="","",IFERROR(INDEX(Sheet1!$S:$S,MATCH($A679,Sheet1!$A:$A,0)),""))</f>
        <v/>
      </c>
      <c r="T679" s="47">
        <f>IF($A679="","",IFERROR(INDEX(Sheet1!$T:$T,MATCH($A679,Sheet1!$A:$A,0)),_xll.BDP($A679&amp;" Corp","RTG_SP")))</f>
        <v/>
      </c>
      <c r="U679" s="75">
        <f>IF($A679="","",IFERROR(INDEX(Sheet1!$U:$U,MATCH($A679,Sheet1!$A:$A,0)),""))</f>
        <v/>
      </c>
      <c r="W679" s="81">
        <f>IF($A679="","",N679-_xll.BDP($A679&amp;" Corp","YAS_OAS_SPRD","SETTLE_DT",Company_desc!$A$1))</f>
        <v/>
      </c>
      <c r="X679" s="81">
        <f>IF($A679="","",N679-_xll.BDP($A679&amp;" Corp","YAS_OAS_SPRD","SETTLE_DT",Company_desc!$A$2))</f>
        <v/>
      </c>
      <c r="Y679" s="80">
        <f>IF($A679="","",N679-_xll.BDP($A679&amp;" Corp","YAS_OAS_SPRD","SETTLE_DT",Company_desc!$D$1))</f>
        <v/>
      </c>
      <c r="Z679" s="82">
        <f>IF($A679="","",K679-_xll.BDP($A679&amp;" Corp","YAS_BOND_YLD","YAS_YLD_FLAG=15","SETTLE_DT",Company_desc!$D$1))</f>
        <v/>
      </c>
      <c r="AA679" s="80">
        <f>IF($A679="","",_xll.BDP($A679&amp;" Corp","YAS_OAS_SPRD","SETTLE_DT",Company_desc!$D$1))</f>
        <v/>
      </c>
    </row>
    <row r="680" ht="23.25" customHeight="1">
      <c r="B680" s="75">
        <f>IF($A680="","",IFERROR(INDEX(Sheet1!$B:$B,MATCH($A680,Sheet1!$A:$A,0)),""))</f>
        <v/>
      </c>
      <c r="C680" s="75">
        <f>IF($A680="","",PROPER(_xll.BDP($A680&amp;" Corp","NAME")))</f>
        <v/>
      </c>
      <c r="D680" s="76">
        <f>IF($A680="","",_xll.BDP($A680&amp;" Corp","CPN"))</f>
        <v/>
      </c>
      <c r="E680" s="75">
        <f>IF($A680="","",_xll.BDP($A680&amp;" Corp","PAYMENT_RANK"))</f>
        <v/>
      </c>
      <c r="F680" s="100">
        <f>IF($A680="","",_xll.BDP($A680&amp;" Corp","MATURITY"))</f>
        <v/>
      </c>
      <c r="G680" s="75">
        <f>IF($A680="","",PROPER(_xll.BDP($A680&amp;" Corp","COUNTRY_FULL_NAME")))</f>
        <v/>
      </c>
      <c r="H680" s="75">
        <f>IF($A680="","",_xll.BDP($A680&amp;" Corp","INDUSTRY_SECTOR"))</f>
        <v/>
      </c>
      <c r="I680" s="101">
        <f>IF($A680="","",IFERROR(_xll.BDP($A680&amp;" Corp","MIN_PIECE")/1000,""))</f>
        <v/>
      </c>
      <c r="J680" s="31">
        <f>IF($A680="","",_xll.BDP($A680&amp;" Corp","PX_LAST"))</f>
        <v/>
      </c>
      <c r="K680" s="31">
        <f>IF($A680="","",_xll.BDP($A680&amp;" Corp","YAS_BOND_YLD","YAS_YLD_FLAG=15"))</f>
        <v/>
      </c>
      <c r="L680" s="31">
        <f>IF($A680="","",K680-_xll.BDP($A680&amp;" Corp","YAS_BOND_YLD","YAS_YLD_FLAG=15","SETTLE_DT",Company_desc!$A$1))</f>
        <v/>
      </c>
      <c r="M680" s="31">
        <f>IF($A680="","",K680-_xll.BDP($A680&amp;" Corp","YAS_BOND_YLD","YAS_YLD_FLAG=15","SETTLE_DT",Company_desc!$A$2))</f>
        <v/>
      </c>
      <c r="N680" s="79">
        <f>IF($A680="","",_xll.BDP($A680&amp;" Corp","YAS_OAS_SPRD"))</f>
        <v/>
      </c>
      <c r="O680" s="67">
        <f>IF($A680="","",_xll.BDP($A680&amp;" Corp","YAS_MOD_DUR"))</f>
        <v/>
      </c>
      <c r="P680" s="80">
        <f>IF($A680="","",IFERROR(INDEX(Sheet1!$P:$P,MATCH($A680,Sheet1!$A:$A,0)),""))</f>
        <v/>
      </c>
      <c r="Q680" s="75">
        <f>IF($A680="","",IFERROR(INDEX(Company_desc!$C:$C,MATCH($A680,Company_desc!$A:$A,0)),IFERROR(INDEX(Sheet1!$Q:$Q,MATCH($A680,Sheet1!$A:$A,0)),"")))</f>
        <v/>
      </c>
      <c r="R680" s="75">
        <f>IF($A680="","",_xll.BDP($A680&amp;" Corp","CRNCY"))</f>
        <v/>
      </c>
      <c r="S680" s="75">
        <f>IF($A680="","",IFERROR(INDEX(Sheet1!$S:$S,MATCH($A680,Sheet1!$A:$A,0)),""))</f>
        <v/>
      </c>
      <c r="T680" s="75">
        <f>IF($A680="","",IFERROR(INDEX(Sheet1!$T:$T,MATCH($A680,Sheet1!$A:$A,0)),_xll.BDP($A680&amp;" Corp","RTG_SP")))</f>
        <v/>
      </c>
      <c r="U680" s="75">
        <f>IF($A680="","",IFERROR(INDEX(Sheet1!$U:$U,MATCH($A680,Sheet1!$A:$A,0)),""))</f>
        <v/>
      </c>
      <c r="W680" s="81">
        <f>IF($A680="","",N680-_xll.BDP($A680&amp;" Corp","YAS_OAS_SPRD","SETTLE_DT",Company_desc!$A$1))</f>
        <v/>
      </c>
      <c r="X680" s="81">
        <f>IF($A680="","",N680-_xll.BDP($A680&amp;" Corp","YAS_OAS_SPRD","SETTLE_DT",Company_desc!$A$2))</f>
        <v/>
      </c>
      <c r="Y680" s="80">
        <f>IF($A680="","",N680-_xll.BDP($A680&amp;" Corp","YAS_OAS_SPRD","SETTLE_DT",Company_desc!$D$1))</f>
        <v/>
      </c>
      <c r="Z680" s="82">
        <f>IF($A680="","",K680-_xll.BDP($A680&amp;" Corp","YAS_BOND_YLD","YAS_YLD_FLAG=15","SETTLE_DT",Company_desc!$D$1))</f>
        <v/>
      </c>
      <c r="AA680" s="80">
        <f>IF($A680="","",_xll.BDP($A680&amp;" Corp","YAS_OAS_SPRD","SETTLE_DT",Company_desc!$D$1))</f>
        <v/>
      </c>
    </row>
    <row r="681">
      <c r="B681" s="75">
        <f>IF($A681="","",IFERROR(INDEX(Sheet1!$B:$B,MATCH($A681,Sheet1!$A:$A,0)),""))</f>
        <v/>
      </c>
      <c r="C681" s="75">
        <f>IF($A681="","",PROPER(_xll.BDP($A681&amp;" Corp","NAME")))</f>
        <v/>
      </c>
      <c r="D681" s="76">
        <f>IF($A681="","",_xll.BDP($A681&amp;" Corp","CPN"))</f>
        <v/>
      </c>
      <c r="E681" s="75">
        <f>IF($A681="","",_xll.BDP($A681&amp;" Corp","PAYMENT_RANK"))</f>
        <v/>
      </c>
      <c r="F681" s="100">
        <f>IF($A681="","",_xll.BDP($A681&amp;" Corp","MATURITY"))</f>
        <v/>
      </c>
      <c r="G681" s="75">
        <f>IF($A681="","",PROPER(_xll.BDP($A681&amp;" Corp","COUNTRY_FULL_NAME")))</f>
        <v/>
      </c>
      <c r="H681" s="75">
        <f>IF($A681="","",_xll.BDP($A681&amp;" Corp","INDUSTRY_SECTOR"))</f>
        <v/>
      </c>
      <c r="I681" s="101">
        <f>IF($A681="","",IFERROR(_xll.BDP($A681&amp;" Corp","MIN_PIECE")/1000,""))</f>
        <v/>
      </c>
      <c r="J681" s="31">
        <f>IF($A681="","",_xll.BDP($A681&amp;" Corp","PX_LAST"))</f>
        <v/>
      </c>
      <c r="K681" s="31">
        <f>IF($A681="","",_xll.BDP($A681&amp;" Corp","YAS_BOND_YLD","YAS_YLD_FLAG=15"))</f>
        <v/>
      </c>
      <c r="L681" s="31">
        <f>IF($A681="","",K681-_xll.BDP($A681&amp;" Corp","YAS_BOND_YLD","YAS_YLD_FLAG=15","SETTLE_DT",Company_desc!$A$1))</f>
        <v/>
      </c>
      <c r="M681" s="31">
        <f>IF($A681="","",K681-_xll.BDP($A681&amp;" Corp","YAS_BOND_YLD","YAS_YLD_FLAG=15","SETTLE_DT",Company_desc!$A$2))</f>
        <v/>
      </c>
      <c r="N681" s="79">
        <f>IF($A681="","",_xll.BDP($A681&amp;" Corp","YAS_OAS_SPRD"))</f>
        <v/>
      </c>
      <c r="O681" s="67">
        <f>IF($A681="","",_xll.BDP($A681&amp;" Corp","YAS_MOD_DUR"))</f>
        <v/>
      </c>
      <c r="P681" s="80">
        <f>IF($A681="","",IFERROR(INDEX(Sheet1!$P:$P,MATCH($A681,Sheet1!$A:$A,0)),""))</f>
        <v/>
      </c>
      <c r="Q681" s="75">
        <f>IF($A681="","",IFERROR(INDEX(Company_desc!$C:$C,MATCH($A681,Company_desc!$A:$A,0)),IFERROR(INDEX(Sheet1!$Q:$Q,MATCH($A681,Sheet1!$A:$A,0)),"")))</f>
        <v/>
      </c>
      <c r="R681" s="75">
        <f>IF($A681="","",_xll.BDP($A681&amp;" Corp","CRNCY"))</f>
        <v/>
      </c>
      <c r="S681" s="75">
        <f>IF($A681="","",IFERROR(INDEX(Sheet1!$S:$S,MATCH($A681,Sheet1!$A:$A,0)),""))</f>
        <v/>
      </c>
      <c r="T681" s="75">
        <f>IF($A681="","",IFERROR(INDEX(Sheet1!$T:$T,MATCH($A681,Sheet1!$A:$A,0)),_xll.BDP($A681&amp;" Corp","RTG_SP")))</f>
        <v/>
      </c>
      <c r="U681" s="75">
        <f>IF($A681="","",IFERROR(INDEX(Sheet1!$U:$U,MATCH($A681,Sheet1!$A:$A,0)),""))</f>
        <v/>
      </c>
      <c r="W681" s="81">
        <f>IF($A681="","",N681-_xll.BDP($A681&amp;" Corp","YAS_OAS_SPRD","SETTLE_DT",Company_desc!$A$1))</f>
        <v/>
      </c>
      <c r="X681" s="81">
        <f>IF($A681="","",N681-_xll.BDP($A681&amp;" Corp","YAS_OAS_SPRD","SETTLE_DT",Company_desc!$A$2))</f>
        <v/>
      </c>
      <c r="Y681" s="80">
        <f>IF($A681="","",N681-_xll.BDP($A681&amp;" Corp","YAS_OAS_SPRD","SETTLE_DT",Company_desc!$D$1))</f>
        <v/>
      </c>
      <c r="Z681" s="82">
        <f>IF($A681="","",K681-_xll.BDP($A681&amp;" Corp","YAS_BOND_YLD","YAS_YLD_FLAG=15","SETTLE_DT",Company_desc!$D$1))</f>
        <v/>
      </c>
      <c r="AA681" s="80">
        <f>IF($A681="","",_xll.BDP($A681&amp;" Corp","YAS_OAS_SPRD","SETTLE_DT",Company_desc!$D$1))</f>
        <v/>
      </c>
    </row>
    <row r="682">
      <c r="B682" s="75">
        <f>IF($A682="","",IFERROR(INDEX(Sheet1!$B:$B,MATCH($A682,Sheet1!$A:$A,0)),""))</f>
        <v/>
      </c>
      <c r="C682" s="75">
        <f>IF($A682="","",PROPER(_xll.BDP($A682&amp;" Corp","NAME")))</f>
        <v/>
      </c>
      <c r="D682" s="76">
        <f>IF($A682="","",_xll.BDP($A682&amp;" Corp","CPN"))</f>
        <v/>
      </c>
      <c r="E682" s="75">
        <f>IF($A682="","",_xll.BDP($A682&amp;" Corp","PAYMENT_RANK"))</f>
        <v/>
      </c>
      <c r="F682" s="100">
        <f>IF($A682="","",_xll.BDP($A682&amp;" Corp","MATURITY"))</f>
        <v/>
      </c>
      <c r="G682" s="75">
        <f>IF($A682="","",PROPER(_xll.BDP($A682&amp;" Corp","COUNTRY_FULL_NAME")))</f>
        <v/>
      </c>
      <c r="H682" s="75">
        <f>IF($A682="","",_xll.BDP($A682&amp;" Corp","INDUSTRY_SECTOR"))</f>
        <v/>
      </c>
      <c r="I682" s="101">
        <f>IF($A682="","",IFERROR(_xll.BDP($A682&amp;" Corp","MIN_PIECE")/1000,""))</f>
        <v/>
      </c>
      <c r="J682" s="31">
        <f>IF($A682="","",_xll.BDP($A682&amp;" Corp","PX_LAST"))</f>
        <v/>
      </c>
      <c r="K682" s="31">
        <f>IF($A682="","",_xll.BDP($A682&amp;" Corp","YAS_BOND_YLD","YAS_YLD_FLAG=15"))</f>
        <v/>
      </c>
      <c r="L682" s="31">
        <f>IF($A682="","",K682-_xll.BDP($A682&amp;" Corp","YAS_BOND_YLD","YAS_YLD_FLAG=15","SETTLE_DT",Company_desc!$A$1))</f>
        <v/>
      </c>
      <c r="M682" s="31">
        <f>IF($A682="","",K682-_xll.BDP($A682&amp;" Corp","YAS_BOND_YLD","YAS_YLD_FLAG=15","SETTLE_DT",Company_desc!$A$2))</f>
        <v/>
      </c>
      <c r="N682" s="79">
        <f>IF($A682="","",_xll.BDP($A682&amp;" Corp","YAS_OAS_SPRD"))</f>
        <v/>
      </c>
      <c r="O682" s="67">
        <f>IF($A682="","",_xll.BDP($A682&amp;" Corp","YAS_MOD_DUR"))</f>
        <v/>
      </c>
      <c r="P682" s="80">
        <f>IF($A682="","",IFERROR(INDEX(Sheet1!$P:$P,MATCH($A682,Sheet1!$A:$A,0)),""))</f>
        <v/>
      </c>
      <c r="Q682" s="75">
        <f>IF($A682="","",IFERROR(INDEX(Company_desc!$C:$C,MATCH($A682,Company_desc!$A:$A,0)),IFERROR(INDEX(Sheet1!$Q:$Q,MATCH($A682,Sheet1!$A:$A,0)),"")))</f>
        <v/>
      </c>
      <c r="R682" s="75">
        <f>IF($A682="","",_xll.BDP($A682&amp;" Corp","CRNCY"))</f>
        <v/>
      </c>
      <c r="S682" s="75">
        <f>IF($A682="","",IFERROR(INDEX(Sheet1!$S:$S,MATCH($A682,Sheet1!$A:$A,0)),""))</f>
        <v/>
      </c>
      <c r="T682" s="75">
        <f>IF($A682="","",IFERROR(INDEX(Sheet1!$T:$T,MATCH($A682,Sheet1!$A:$A,0)),_xll.BDP($A682&amp;" Corp","RTG_SP")))</f>
        <v/>
      </c>
      <c r="U682" s="75">
        <f>IF($A682="","",IFERROR(INDEX(Sheet1!$U:$U,MATCH($A682,Sheet1!$A:$A,0)),""))</f>
        <v/>
      </c>
      <c r="W682" s="81">
        <f>IF($A682="","",N682-_xll.BDP($A682&amp;" Corp","YAS_OAS_SPRD","SETTLE_DT",Company_desc!$A$1))</f>
        <v/>
      </c>
      <c r="X682" s="81">
        <f>IF($A682="","",N682-_xll.BDP($A682&amp;" Corp","YAS_OAS_SPRD","SETTLE_DT",Company_desc!$A$2))</f>
        <v/>
      </c>
      <c r="Y682" s="80">
        <f>IF($A682="","",N682-_xll.BDP($A682&amp;" Corp","YAS_OAS_SPRD","SETTLE_DT",Company_desc!$D$1))</f>
        <v/>
      </c>
      <c r="Z682" s="82">
        <f>IF($A682="","",K682-_xll.BDP($A682&amp;" Corp","YAS_BOND_YLD","YAS_YLD_FLAG=15","SETTLE_DT",Company_desc!$D$1))</f>
        <v/>
      </c>
      <c r="AA682" s="80">
        <f>IF($A682="","",_xll.BDP($A682&amp;" Corp","YAS_OAS_SPRD","SETTLE_DT",Company_desc!$D$1))</f>
        <v/>
      </c>
    </row>
    <row r="683">
      <c r="B683" s="75">
        <f>IF($A683="","",IFERROR(INDEX(Sheet1!$B:$B,MATCH($A683,Sheet1!$A:$A,0)),""))</f>
        <v/>
      </c>
      <c r="C683" s="75">
        <f>IF($A683="","",PROPER(_xll.BDP($A683&amp;" Corp","NAME")))</f>
        <v/>
      </c>
      <c r="D683" s="76">
        <f>IF($A683="","",_xll.BDP($A683&amp;" Corp","CPN"))</f>
        <v/>
      </c>
      <c r="E683" s="75">
        <f>IF($A683="","",_xll.BDP($A683&amp;" Corp","PAYMENT_RANK"))</f>
        <v/>
      </c>
      <c r="F683" s="100">
        <f>IF($A683="","",_xll.BDP($A683&amp;" Corp","MATURITY"))</f>
        <v/>
      </c>
      <c r="G683" s="75">
        <f>IF($A683="","",PROPER(_xll.BDP($A683&amp;" Corp","COUNTRY_FULL_NAME")))</f>
        <v/>
      </c>
      <c r="H683" s="75">
        <f>IF($A683="","",_xll.BDP($A683&amp;" Corp","INDUSTRY_SECTOR"))</f>
        <v/>
      </c>
      <c r="I683" s="101">
        <f>IF($A683="","",IFERROR(_xll.BDP($A683&amp;" Corp","MIN_PIECE")/1000,""))</f>
        <v/>
      </c>
      <c r="J683" s="31">
        <f>IF($A683="","",_xll.BDP($A683&amp;" Corp","PX_LAST"))</f>
        <v/>
      </c>
      <c r="K683" s="31">
        <f>IF($A683="","",_xll.BDP($A683&amp;" Corp","YAS_BOND_YLD","YAS_YLD_FLAG=15"))</f>
        <v/>
      </c>
      <c r="L683" s="31">
        <f>IF($A683="","",K683-_xll.BDP($A683&amp;" Corp","YAS_BOND_YLD","YAS_YLD_FLAG=15","SETTLE_DT",Company_desc!$A$1))</f>
        <v/>
      </c>
      <c r="M683" s="31">
        <f>IF($A683="","",K683-_xll.BDP($A683&amp;" Corp","YAS_BOND_YLD","YAS_YLD_FLAG=15","SETTLE_DT",Company_desc!$A$2))</f>
        <v/>
      </c>
      <c r="N683" s="79">
        <f>IF($A683="","",_xll.BDP($A683&amp;" Corp","YAS_OAS_SPRD"))</f>
        <v/>
      </c>
      <c r="O683" s="67">
        <f>IF($A683="","",_xll.BDP($A683&amp;" Corp","YAS_MOD_DUR"))</f>
        <v/>
      </c>
      <c r="P683" s="80">
        <f>IF($A683="","",IFERROR(INDEX(Sheet1!$P:$P,MATCH($A683,Sheet1!$A:$A,0)),""))</f>
        <v/>
      </c>
      <c r="Q683" s="75">
        <f>IF($A683="","",IFERROR(INDEX(Company_desc!$C:$C,MATCH($A683,Company_desc!$A:$A,0)),IFERROR(INDEX(Sheet1!$Q:$Q,MATCH($A683,Sheet1!$A:$A,0)),"")))</f>
        <v/>
      </c>
      <c r="R683" s="75">
        <f>IF($A683="","",_xll.BDP($A683&amp;" Corp","CRNCY"))</f>
        <v/>
      </c>
      <c r="S683" s="75">
        <f>IF($A683="","",IFERROR(INDEX(Sheet1!$S:$S,MATCH($A683,Sheet1!$A:$A,0)),""))</f>
        <v/>
      </c>
      <c r="T683" s="75">
        <f>IF($A683="","",IFERROR(INDEX(Sheet1!$T:$T,MATCH($A683,Sheet1!$A:$A,0)),_xll.BDP($A683&amp;" Corp","RTG_SP")))</f>
        <v/>
      </c>
      <c r="U683" s="75">
        <f>IF($A683="","",IFERROR(INDEX(Sheet1!$U:$U,MATCH($A683,Sheet1!$A:$A,0)),""))</f>
        <v/>
      </c>
      <c r="W683" s="81">
        <f>IF($A683="","",N683-_xll.BDP($A683&amp;" Corp","YAS_OAS_SPRD","SETTLE_DT",Company_desc!$A$1))</f>
        <v/>
      </c>
      <c r="X683" s="81">
        <f>IF($A683="","",N683-_xll.BDP($A683&amp;" Corp","YAS_OAS_SPRD","SETTLE_DT",Company_desc!$A$2))</f>
        <v/>
      </c>
      <c r="Y683" s="80">
        <f>IF($A683="","",N683-_xll.BDP($A683&amp;" Corp","YAS_OAS_SPRD","SETTLE_DT",Company_desc!$D$1))</f>
        <v/>
      </c>
      <c r="Z683" s="82">
        <f>IF($A683="","",K683-_xll.BDP($A683&amp;" Corp","YAS_BOND_YLD","YAS_YLD_FLAG=15","SETTLE_DT",Company_desc!$D$1))</f>
        <v/>
      </c>
      <c r="AA683" s="80">
        <f>IF($A683="","",_xll.BDP($A683&amp;" Corp","YAS_OAS_SPRD","SETTLE_DT",Company_desc!$D$1))</f>
        <v/>
      </c>
    </row>
    <row r="684">
      <c r="B684" s="75">
        <f>IF($A684="","",IFERROR(INDEX(Sheet1!$B:$B,MATCH($A684,Sheet1!$A:$A,0)),""))</f>
        <v/>
      </c>
      <c r="C684" s="75">
        <f>IF($A684="","",PROPER(_xll.BDP($A684&amp;" Corp","NAME")))</f>
        <v/>
      </c>
      <c r="D684" s="76">
        <f>IF($A684="","",_xll.BDP($A684&amp;" Corp","CPN"))</f>
        <v/>
      </c>
      <c r="E684" s="75">
        <f>IF($A684="","",_xll.BDP($A684&amp;" Corp","PAYMENT_RANK"))</f>
        <v/>
      </c>
      <c r="F684" s="100">
        <f>IF($A684="","",_xll.BDP($A684&amp;" Corp","MATURITY"))</f>
        <v/>
      </c>
      <c r="G684" s="75">
        <f>IF($A684="","",PROPER(_xll.BDP($A684&amp;" Corp","COUNTRY_FULL_NAME")))</f>
        <v/>
      </c>
      <c r="H684" s="75">
        <f>IF($A684="","",_xll.BDP($A684&amp;" Corp","INDUSTRY_SECTOR"))</f>
        <v/>
      </c>
      <c r="I684" s="101">
        <f>IF($A684="","",IFERROR(_xll.BDP($A684&amp;" Corp","MIN_PIECE")/1000,""))</f>
        <v/>
      </c>
      <c r="J684" s="31">
        <f>IF($A684="","",_xll.BDP($A684&amp;" Corp","PX_LAST"))</f>
        <v/>
      </c>
      <c r="K684" s="31">
        <f>IF($A684="","",_xll.BDP($A684&amp;" Corp","YAS_BOND_YLD","YAS_YLD_FLAG=15"))</f>
        <v/>
      </c>
      <c r="L684" s="31">
        <f>IF($A684="","",K684-_xll.BDP($A684&amp;" Corp","YAS_BOND_YLD","YAS_YLD_FLAG=15","SETTLE_DT",Company_desc!$A$1))</f>
        <v/>
      </c>
      <c r="M684" s="31">
        <f>IF($A684="","",K684-_xll.BDP($A684&amp;" Corp","YAS_BOND_YLD","YAS_YLD_FLAG=15","SETTLE_DT",Company_desc!$A$2))</f>
        <v/>
      </c>
      <c r="N684" s="79">
        <f>IF($A684="","",_xll.BDP($A684&amp;" Corp","YAS_OAS_SPRD"))</f>
        <v/>
      </c>
      <c r="O684" s="67">
        <f>IF($A684="","",_xll.BDP($A684&amp;" Corp","YAS_MOD_DUR"))</f>
        <v/>
      </c>
      <c r="P684" s="80">
        <f>IF($A684="","",IFERROR(INDEX(Sheet1!$P:$P,MATCH($A684,Sheet1!$A:$A,0)),""))</f>
        <v/>
      </c>
      <c r="Q684" s="75">
        <f>IF($A684="","",IFERROR(INDEX(Company_desc!$C:$C,MATCH($A684,Company_desc!$A:$A,0)),IFERROR(INDEX(Sheet1!$Q:$Q,MATCH($A684,Sheet1!$A:$A,0)),"")))</f>
        <v/>
      </c>
      <c r="R684" s="75">
        <f>IF($A684="","",_xll.BDP($A684&amp;" Corp","CRNCY"))</f>
        <v/>
      </c>
      <c r="S684" s="75">
        <f>IF($A684="","",IFERROR(INDEX(Sheet1!$S:$S,MATCH($A684,Sheet1!$A:$A,0)),""))</f>
        <v/>
      </c>
      <c r="T684" s="75">
        <f>IF($A684="","",IFERROR(INDEX(Sheet1!$T:$T,MATCH($A684,Sheet1!$A:$A,0)),_xll.BDP($A684&amp;" Corp","RTG_SP")))</f>
        <v/>
      </c>
      <c r="U684" s="75">
        <f>IF($A684="","",IFERROR(INDEX(Sheet1!$U:$U,MATCH($A684,Sheet1!$A:$A,0)),""))</f>
        <v/>
      </c>
      <c r="W684" s="81">
        <f>IF($A684="","",N684-_xll.BDP($A684&amp;" Corp","YAS_OAS_SPRD","SETTLE_DT",Company_desc!$A$1))</f>
        <v/>
      </c>
      <c r="X684" s="81">
        <f>IF($A684="","",N684-_xll.BDP($A684&amp;" Corp","YAS_OAS_SPRD","SETTLE_DT",Company_desc!$A$2))</f>
        <v/>
      </c>
      <c r="Y684" s="80">
        <f>IF($A684="","",N684-_xll.BDP($A684&amp;" Corp","YAS_OAS_SPRD","SETTLE_DT",Company_desc!$D$1))</f>
        <v/>
      </c>
      <c r="Z684" s="82">
        <f>IF($A684="","",K684-_xll.BDP($A684&amp;" Corp","YAS_BOND_YLD","YAS_YLD_FLAG=15","SETTLE_DT",Company_desc!$D$1))</f>
        <v/>
      </c>
      <c r="AA684" s="80">
        <f>IF($A684="","",_xll.BDP($A684&amp;" Corp","YAS_OAS_SPRD","SETTLE_DT",Company_desc!$D$1))</f>
        <v/>
      </c>
    </row>
    <row r="685">
      <c r="B685" s="75">
        <f>IF($A685="","",IFERROR(INDEX(Sheet1!$B:$B,MATCH($A685,Sheet1!$A:$A,0)),""))</f>
        <v/>
      </c>
      <c r="C685" s="75">
        <f>IF($A685="","",PROPER(_xll.BDP($A685&amp;" Corp","NAME")))</f>
        <v/>
      </c>
      <c r="D685" s="76">
        <f>IF($A685="","",_xll.BDP($A685&amp;" Corp","CPN"))</f>
        <v/>
      </c>
      <c r="E685" s="75">
        <f>IF($A685="","",_xll.BDP($A685&amp;" Corp","PAYMENT_RANK"))</f>
        <v/>
      </c>
      <c r="F685" s="100">
        <f>IF($A685="","",_xll.BDP($A685&amp;" Corp","MATURITY"))</f>
        <v/>
      </c>
      <c r="G685" s="75">
        <f>IF($A685="","",PROPER(_xll.BDP($A685&amp;" Corp","COUNTRY_FULL_NAME")))</f>
        <v/>
      </c>
      <c r="H685" s="75">
        <f>IF($A685="","",_xll.BDP($A685&amp;" Corp","INDUSTRY_SECTOR"))</f>
        <v/>
      </c>
      <c r="I685" s="101">
        <f>IF($A685="","",IFERROR(_xll.BDP($A685&amp;" Corp","MIN_PIECE")/1000,""))</f>
        <v/>
      </c>
      <c r="J685" s="31">
        <f>IF($A685="","",_xll.BDP($A685&amp;" Corp","PX_LAST"))</f>
        <v/>
      </c>
      <c r="K685" s="31">
        <f>IF($A685="","",_xll.BDP($A685&amp;" Corp","YAS_BOND_YLD","YAS_YLD_FLAG=15"))</f>
        <v/>
      </c>
      <c r="L685" s="31">
        <f>IF($A685="","",K685-_xll.BDP($A685&amp;" Corp","YAS_BOND_YLD","YAS_YLD_FLAG=15","SETTLE_DT",Company_desc!$A$1))</f>
        <v/>
      </c>
      <c r="M685" s="31">
        <f>IF($A685="","",K685-_xll.BDP($A685&amp;" Corp","YAS_BOND_YLD","YAS_YLD_FLAG=15","SETTLE_DT",Company_desc!$A$2))</f>
        <v/>
      </c>
      <c r="N685" s="79">
        <f>IF($A685="","",_xll.BDP($A685&amp;" Corp","YAS_OAS_SPRD"))</f>
        <v/>
      </c>
      <c r="O685" s="67">
        <f>IF($A685="","",_xll.BDP($A685&amp;" Corp","YAS_MOD_DUR"))</f>
        <v/>
      </c>
      <c r="P685" s="80">
        <f>IF($A685="","",IFERROR(INDEX(Sheet1!$P:$P,MATCH($A685,Sheet1!$A:$A,0)),""))</f>
        <v/>
      </c>
      <c r="Q685" s="75">
        <f>IF($A685="","",IFERROR(INDEX(Company_desc!$C:$C,MATCH($A685,Company_desc!$A:$A,0)),IFERROR(INDEX(Sheet1!$Q:$Q,MATCH($A685,Sheet1!$A:$A,0)),"")))</f>
        <v/>
      </c>
      <c r="R685" s="75">
        <f>IF($A685="","",_xll.BDP($A685&amp;" Corp","CRNCY"))</f>
        <v/>
      </c>
      <c r="S685" s="75">
        <f>IF($A685="","",IFERROR(INDEX(Sheet1!$S:$S,MATCH($A685,Sheet1!$A:$A,0)),""))</f>
        <v/>
      </c>
      <c r="T685" s="75">
        <f>IF($A685="","",IFERROR(INDEX(Sheet1!$T:$T,MATCH($A685,Sheet1!$A:$A,0)),_xll.BDP($A685&amp;" Corp","RTG_SP")))</f>
        <v/>
      </c>
      <c r="U685" s="75">
        <f>IF($A685="","",IFERROR(INDEX(Sheet1!$U:$U,MATCH($A685,Sheet1!$A:$A,0)),""))</f>
        <v/>
      </c>
      <c r="W685" s="81">
        <f>IF($A685="","",N685-_xll.BDP($A685&amp;" Corp","YAS_OAS_SPRD","SETTLE_DT",Company_desc!$A$1))</f>
        <v/>
      </c>
      <c r="X685" s="81">
        <f>IF($A685="","",N685-_xll.BDP($A685&amp;" Corp","YAS_OAS_SPRD","SETTLE_DT",Company_desc!$A$2))</f>
        <v/>
      </c>
      <c r="Y685" s="80">
        <f>IF($A685="","",N685-_xll.BDP($A685&amp;" Corp","YAS_OAS_SPRD","SETTLE_DT",Company_desc!$D$1))</f>
        <v/>
      </c>
      <c r="Z685" s="82">
        <f>IF($A685="","",K685-_xll.BDP($A685&amp;" Corp","YAS_BOND_YLD","YAS_YLD_FLAG=15","SETTLE_DT",Company_desc!$D$1))</f>
        <v/>
      </c>
      <c r="AA685" s="80">
        <f>IF($A685="","",_xll.BDP($A685&amp;" Corp","YAS_OAS_SPRD","SETTLE_DT",Company_desc!$D$1))</f>
        <v/>
      </c>
    </row>
    <row r="686">
      <c r="B686" s="75">
        <f>IF($A686="","",IFERROR(INDEX(Sheet1!$B:$B,MATCH($A686,Sheet1!$A:$A,0)),""))</f>
        <v/>
      </c>
      <c r="C686" s="75">
        <f>IF($A686="","",PROPER(_xll.BDP($A686&amp;" Corp","NAME")))</f>
        <v/>
      </c>
      <c r="D686" s="76">
        <f>IF($A686="","",_xll.BDP($A686&amp;" Corp","CPN"))</f>
        <v/>
      </c>
      <c r="E686" s="75">
        <f>IF($A686="","",_xll.BDP($A686&amp;" Corp","PAYMENT_RANK"))</f>
        <v/>
      </c>
      <c r="F686" s="100">
        <f>IF($A686="","",_xll.BDP($A686&amp;" Corp","MATURITY"))</f>
        <v/>
      </c>
      <c r="G686" s="75">
        <f>IF($A686="","",PROPER(_xll.BDP($A686&amp;" Corp","COUNTRY_FULL_NAME")))</f>
        <v/>
      </c>
      <c r="H686" s="75">
        <f>IF($A686="","",_xll.BDP($A686&amp;" Corp","INDUSTRY_SECTOR"))</f>
        <v/>
      </c>
      <c r="I686" s="101">
        <f>IF($A686="","",IFERROR(_xll.BDP($A686&amp;" Corp","MIN_PIECE")/1000,""))</f>
        <v/>
      </c>
      <c r="J686" s="31">
        <f>IF($A686="","",_xll.BDP($A686&amp;" Corp","PX_LAST"))</f>
        <v/>
      </c>
      <c r="K686" s="31">
        <f>IF($A686="","",_xll.BDP($A686&amp;" Corp","YAS_BOND_YLD","YAS_YLD_FLAG=15"))</f>
        <v/>
      </c>
      <c r="L686" s="31">
        <f>IF($A686="","",K686-_xll.BDP($A686&amp;" Corp","YAS_BOND_YLD","YAS_YLD_FLAG=15","SETTLE_DT",Company_desc!$A$1))</f>
        <v/>
      </c>
      <c r="M686" s="31">
        <f>IF($A686="","",K686-_xll.BDP($A686&amp;" Corp","YAS_BOND_YLD","YAS_YLD_FLAG=15","SETTLE_DT",Company_desc!$A$2))</f>
        <v/>
      </c>
      <c r="N686" s="79">
        <f>IF($A686="","",_xll.BDP($A686&amp;" Corp","YAS_OAS_SPRD"))</f>
        <v/>
      </c>
      <c r="O686" s="67">
        <f>IF($A686="","",_xll.BDP($A686&amp;" Corp","YAS_MOD_DUR"))</f>
        <v/>
      </c>
      <c r="P686" s="80">
        <f>IF($A686="","",IFERROR(INDEX(Sheet1!$P:$P,MATCH($A686,Sheet1!$A:$A,0)),""))</f>
        <v/>
      </c>
      <c r="Q686" s="75">
        <f>IF($A686="","",IFERROR(INDEX(Company_desc!$C:$C,MATCH($A686,Company_desc!$A:$A,0)),IFERROR(INDEX(Sheet1!$Q:$Q,MATCH($A686,Sheet1!$A:$A,0)),"")))</f>
        <v/>
      </c>
      <c r="R686" s="75">
        <f>IF($A686="","",_xll.BDP($A686&amp;" Corp","CRNCY"))</f>
        <v/>
      </c>
      <c r="S686" s="75">
        <f>IF($A686="","",IFERROR(INDEX(Sheet1!$S:$S,MATCH($A686,Sheet1!$A:$A,0)),""))</f>
        <v/>
      </c>
      <c r="T686" s="75">
        <f>IF($A686="","",IFERROR(INDEX(Sheet1!$T:$T,MATCH($A686,Sheet1!$A:$A,0)),_xll.BDP($A686&amp;" Corp","RTG_SP")))</f>
        <v/>
      </c>
      <c r="U686" s="75">
        <f>IF($A686="","",IFERROR(INDEX(Sheet1!$U:$U,MATCH($A686,Sheet1!$A:$A,0)),""))</f>
        <v/>
      </c>
      <c r="W686" s="81">
        <f>IF($A686="","",N686-_xll.BDP($A686&amp;" Corp","YAS_OAS_SPRD","SETTLE_DT",Company_desc!$A$1))</f>
        <v/>
      </c>
      <c r="X686" s="81">
        <f>IF($A686="","",N686-_xll.BDP($A686&amp;" Corp","YAS_OAS_SPRD","SETTLE_DT",Company_desc!$A$2))</f>
        <v/>
      </c>
      <c r="Y686" s="80">
        <f>IF($A686="","",N686-_xll.BDP($A686&amp;" Corp","YAS_OAS_SPRD","SETTLE_DT",Company_desc!$D$1))</f>
        <v/>
      </c>
      <c r="Z686" s="82">
        <f>IF($A686="","",K686-_xll.BDP($A686&amp;" Corp","YAS_BOND_YLD","YAS_YLD_FLAG=15","SETTLE_DT",Company_desc!$D$1))</f>
        <v/>
      </c>
      <c r="AA686" s="80">
        <f>IF($A686="","",_xll.BDP($A686&amp;" Corp","YAS_OAS_SPRD","SETTLE_DT",Company_desc!$D$1))</f>
        <v/>
      </c>
    </row>
    <row r="687">
      <c r="B687" s="75">
        <f>IF($A687="","",IFERROR(INDEX(Sheet1!$B:$B,MATCH($A687,Sheet1!$A:$A,0)),""))</f>
        <v/>
      </c>
      <c r="C687" s="75">
        <f>IF($A687="","",PROPER(_xll.BDP($A687&amp;" Corp","NAME")))</f>
        <v/>
      </c>
      <c r="D687" s="76">
        <f>IF($A687="","",_xll.BDP($A687&amp;" Corp","CPN"))</f>
        <v/>
      </c>
      <c r="E687" s="75">
        <f>IF($A687="","",_xll.BDP($A687&amp;" Corp","PAYMENT_RANK"))</f>
        <v/>
      </c>
      <c r="F687" s="100">
        <f>IF($A687="","",_xll.BDP($A687&amp;" Corp","MATURITY"))</f>
        <v/>
      </c>
      <c r="G687" s="75">
        <f>IF($A687="","",PROPER(_xll.BDP($A687&amp;" Corp","COUNTRY_FULL_NAME")))</f>
        <v/>
      </c>
      <c r="H687" s="75">
        <f>IF($A687="","",_xll.BDP($A687&amp;" Corp","INDUSTRY_SECTOR"))</f>
        <v/>
      </c>
      <c r="I687" s="101">
        <f>IF($A687="","",IFERROR(_xll.BDP($A687&amp;" Corp","MIN_PIECE")/1000,""))</f>
        <v/>
      </c>
      <c r="J687" s="31">
        <f>IF($A687="","",_xll.BDP($A687&amp;" Corp","PX_LAST"))</f>
        <v/>
      </c>
      <c r="K687" s="31">
        <f>IF($A687="","",_xll.BDP($A687&amp;" Corp","YAS_BOND_YLD","YAS_YLD_FLAG=15"))</f>
        <v/>
      </c>
      <c r="L687" s="31">
        <f>IF($A687="","",K687-_xll.BDP($A687&amp;" Corp","YAS_BOND_YLD","YAS_YLD_FLAG=15","SETTLE_DT",Company_desc!$A$1))</f>
        <v/>
      </c>
      <c r="M687" s="31">
        <f>IF($A687="","",K687-_xll.BDP($A687&amp;" Corp","YAS_BOND_YLD","YAS_YLD_FLAG=15","SETTLE_DT",Company_desc!$A$2))</f>
        <v/>
      </c>
      <c r="N687" s="79">
        <f>IF($A687="","",_xll.BDP($A687&amp;" Corp","YAS_OAS_SPRD"))</f>
        <v/>
      </c>
      <c r="O687" s="67">
        <f>IF($A687="","",_xll.BDP($A687&amp;" Corp","YAS_MOD_DUR"))</f>
        <v/>
      </c>
      <c r="P687" s="80">
        <f>IF($A687="","",IFERROR(INDEX(Sheet1!$P:$P,MATCH($A687,Sheet1!$A:$A,0)),""))</f>
        <v/>
      </c>
      <c r="Q687" s="75">
        <f>IF($A687="","",IFERROR(INDEX(Company_desc!$C:$C,MATCH($A687,Company_desc!$A:$A,0)),IFERROR(INDEX(Sheet1!$Q:$Q,MATCH($A687,Sheet1!$A:$A,0)),"")))</f>
        <v/>
      </c>
      <c r="R687" s="75">
        <f>IF($A687="","",_xll.BDP($A687&amp;" Corp","CRNCY"))</f>
        <v/>
      </c>
      <c r="S687" s="75">
        <f>IF($A687="","",IFERROR(INDEX(Sheet1!$S:$S,MATCH($A687,Sheet1!$A:$A,0)),""))</f>
        <v/>
      </c>
      <c r="T687" s="75">
        <f>IF($A687="","",IFERROR(INDEX(Sheet1!$T:$T,MATCH($A687,Sheet1!$A:$A,0)),_xll.BDP($A687&amp;" Corp","RTG_SP")))</f>
        <v/>
      </c>
      <c r="U687" s="75">
        <f>IF($A687="","",IFERROR(INDEX(Sheet1!$U:$U,MATCH($A687,Sheet1!$A:$A,0)),""))</f>
        <v/>
      </c>
      <c r="W687" s="81">
        <f>IF($A687="","",N687-_xll.BDP($A687&amp;" Corp","YAS_OAS_SPRD","SETTLE_DT",Company_desc!$A$1))</f>
        <v/>
      </c>
      <c r="X687" s="81">
        <f>IF($A687="","",N687-_xll.BDP($A687&amp;" Corp","YAS_OAS_SPRD","SETTLE_DT",Company_desc!$A$2))</f>
        <v/>
      </c>
      <c r="Y687" s="80">
        <f>IF($A687="","",N687-_xll.BDP($A687&amp;" Corp","YAS_OAS_SPRD","SETTLE_DT",Company_desc!$D$1))</f>
        <v/>
      </c>
      <c r="Z687" s="82">
        <f>IF($A687="","",K687-_xll.BDP($A687&amp;" Corp","YAS_BOND_YLD","YAS_YLD_FLAG=15","SETTLE_DT",Company_desc!$D$1))</f>
        <v/>
      </c>
      <c r="AA687" s="80">
        <f>IF($A687="","",_xll.BDP($A687&amp;" Corp","YAS_OAS_SPRD","SETTLE_DT",Company_desc!$D$1))</f>
        <v/>
      </c>
    </row>
    <row r="688">
      <c r="B688" s="75">
        <f>IF($A688="","",IFERROR(INDEX(Sheet1!$B:$B,MATCH($A688,Sheet1!$A:$A,0)),""))</f>
        <v/>
      </c>
      <c r="C688" s="75">
        <f>IF($A688="","",PROPER(_xll.BDP($A688&amp;" Corp","NAME")))</f>
        <v/>
      </c>
      <c r="D688" s="76">
        <f>IF($A688="","",_xll.BDP($A688&amp;" Corp","CPN"))</f>
        <v/>
      </c>
      <c r="E688" s="75">
        <f>IF($A688="","",_xll.BDP($A688&amp;" Corp","PAYMENT_RANK"))</f>
        <v/>
      </c>
      <c r="F688" s="100">
        <f>IF($A688="","",_xll.BDP($A688&amp;" Corp","MATURITY"))</f>
        <v/>
      </c>
      <c r="G688" s="75">
        <f>IF($A688="","",PROPER(_xll.BDP($A688&amp;" Corp","COUNTRY_FULL_NAME")))</f>
        <v/>
      </c>
      <c r="H688" s="75">
        <f>IF($A688="","",_xll.BDP($A688&amp;" Corp","INDUSTRY_SECTOR"))</f>
        <v/>
      </c>
      <c r="I688" s="101">
        <f>IF($A688="","",IFERROR(_xll.BDP($A688&amp;" Corp","MIN_PIECE")/1000,""))</f>
        <v/>
      </c>
      <c r="J688" s="31">
        <f>IF($A688="","",_xll.BDP($A688&amp;" Corp","PX_LAST"))</f>
        <v/>
      </c>
      <c r="K688" s="31">
        <f>IF($A688="","",_xll.BDP($A688&amp;" Corp","YAS_BOND_YLD","YAS_YLD_FLAG=15"))</f>
        <v/>
      </c>
      <c r="L688" s="31">
        <f>IF($A688="","",K688-_xll.BDP($A688&amp;" Corp","YAS_BOND_YLD","YAS_YLD_FLAG=15","SETTLE_DT",Company_desc!$A$1))</f>
        <v/>
      </c>
      <c r="M688" s="31">
        <f>IF($A688="","",K688-_xll.BDP($A688&amp;" Corp","YAS_BOND_YLD","YAS_YLD_FLAG=15","SETTLE_DT",Company_desc!$A$2))</f>
        <v/>
      </c>
      <c r="N688" s="79">
        <f>IF($A688="","",_xll.BDP($A688&amp;" Corp","YAS_OAS_SPRD"))</f>
        <v/>
      </c>
      <c r="O688" s="67">
        <f>IF($A688="","",_xll.BDP($A688&amp;" Corp","YAS_MOD_DUR"))</f>
        <v/>
      </c>
      <c r="P688" s="80">
        <f>IF($A688="","",IFERROR(INDEX(Sheet1!$P:$P,MATCH($A688,Sheet1!$A:$A,0)),""))</f>
        <v/>
      </c>
      <c r="Q688" s="75">
        <f>IF($A688="","",IFERROR(INDEX(Company_desc!$C:$C,MATCH($A688,Company_desc!$A:$A,0)),IFERROR(INDEX(Sheet1!$Q:$Q,MATCH($A688,Sheet1!$A:$A,0)),"")))</f>
        <v/>
      </c>
      <c r="R688" s="75">
        <f>IF($A688="","",_xll.BDP($A688&amp;" Corp","CRNCY"))</f>
        <v/>
      </c>
      <c r="S688" s="75">
        <f>IF($A688="","",IFERROR(INDEX(Sheet1!$S:$S,MATCH($A688,Sheet1!$A:$A,0)),""))</f>
        <v/>
      </c>
      <c r="T688" s="75">
        <f>IF($A688="","",IFERROR(INDEX(Sheet1!$T:$T,MATCH($A688,Sheet1!$A:$A,0)),_xll.BDP($A688&amp;" Corp","RTG_SP")))</f>
        <v/>
      </c>
      <c r="U688" s="75">
        <f>IF($A688="","",IFERROR(INDEX(Sheet1!$U:$U,MATCH($A688,Sheet1!$A:$A,0)),""))</f>
        <v/>
      </c>
      <c r="W688" s="81">
        <f>IF($A688="","",N688-_xll.BDP($A688&amp;" Corp","YAS_OAS_SPRD","SETTLE_DT",Company_desc!$A$1))</f>
        <v/>
      </c>
      <c r="X688" s="81">
        <f>IF($A688="","",N688-_xll.BDP($A688&amp;" Corp","YAS_OAS_SPRD","SETTLE_DT",Company_desc!$A$2))</f>
        <v/>
      </c>
      <c r="Y688" s="80">
        <f>IF($A688="","",N688-_xll.BDP($A688&amp;" Corp","YAS_OAS_SPRD","SETTLE_DT",Company_desc!$D$1))</f>
        <v/>
      </c>
      <c r="Z688" s="82">
        <f>IF($A688="","",K688-_xll.BDP($A688&amp;" Corp","YAS_BOND_YLD","YAS_YLD_FLAG=15","SETTLE_DT",Company_desc!$D$1))</f>
        <v/>
      </c>
      <c r="AA688" s="80">
        <f>IF($A688="","",_xll.BDP($A688&amp;" Corp","YAS_OAS_SPRD","SETTLE_DT",Company_desc!$D$1))</f>
        <v/>
      </c>
    </row>
    <row r="689">
      <c r="A689" s="42" t="n"/>
      <c r="B689" s="28">
        <f>IF($A689="","",IFERROR(INDEX(Sheet1!$B:$B,MATCH($A689,Sheet1!$A:$A,0)),""))</f>
        <v/>
      </c>
      <c r="C689" s="29">
        <f>IF($A689="","",PROPER(_xll.BDP($A689&amp;" Corp","NAME")))</f>
        <v/>
      </c>
      <c r="D689" s="84">
        <f>IF($A689="","",_xll.BDP($A689&amp;" Corp","CPN"))</f>
        <v/>
      </c>
      <c r="E689" s="84">
        <f>IF($A689="","",_xll.BDP($A689&amp;" Corp","PAYMENT_RANK"))</f>
        <v/>
      </c>
      <c r="F689" s="102">
        <f>IF($A689="","",_xll.BDP($A689&amp;" Corp","MATURITY"))</f>
        <v/>
      </c>
      <c r="G689" s="43">
        <f>IF($A689="","",PROPER(_xll.BDP($A689&amp;" Corp","COUNTRY_FULL_NAME")))</f>
        <v/>
      </c>
      <c r="H689" s="29">
        <f>IF($A689="","",_xll.BDP($A689&amp;" Corp","INDUSTRY_SECTOR"))</f>
        <v/>
      </c>
      <c r="I689" s="103">
        <f>IF($A689="","",IFERROR(_xll.BDP($A689&amp;" Corp","MIN_PIECE")/1000,""))</f>
        <v/>
      </c>
      <c r="J689" s="31">
        <f>IF($A689="","",_xll.BDP($A689&amp;" Corp","PX_LAST"))</f>
        <v/>
      </c>
      <c r="K689" s="31">
        <f>IF($A689="","",_xll.BDP($A689&amp;" Corp","YAS_BOND_YLD","YAS_YLD_FLAG=15"))</f>
        <v/>
      </c>
      <c r="L689" s="31">
        <f>IF($A689="","",K689-_xll.BDP($A689&amp;" Corp","YAS_BOND_YLD","YAS_YLD_FLAG=15","SETTLE_DT",Company_desc!$A$1))</f>
        <v/>
      </c>
      <c r="M689" s="31">
        <f>IF($A689="","",K689-_xll.BDP($A689&amp;" Corp","YAS_BOND_YLD","YAS_YLD_FLAG=15","SETTLE_DT",Company_desc!$A$2))</f>
        <v/>
      </c>
      <c r="N689" s="79">
        <f>IF($A689="","",_xll.BDP($A689&amp;" Corp","YAS_OAS_SPRD"))</f>
        <v/>
      </c>
      <c r="O689" s="67">
        <f>IF($A689="","",_xll.BDP($A689&amp;" Corp","YAS_MOD_DUR"))</f>
        <v/>
      </c>
      <c r="P689" s="79">
        <f>IF($A689="","",IFERROR(INDEX(Sheet1!$P:$P,MATCH($A689,Sheet1!$A:$A,0)),""))</f>
        <v/>
      </c>
      <c r="Q689" s="27">
        <f>IF($A689="","",IFERROR(INDEX(Company_desc!$C:$C,MATCH($A689,Company_desc!$A:$A,0)),IFERROR(INDEX(Sheet1!$Q:$Q,MATCH($A689,Sheet1!$A:$A,0)),"")))</f>
        <v/>
      </c>
      <c r="R689" s="27">
        <f>IF($A689="","",_xll.BDP($A689&amp;" Corp","CRNCY"))</f>
        <v/>
      </c>
      <c r="S689" s="27">
        <f>IF($A689="","",IFERROR(INDEX(Sheet1!$S:$S,MATCH($A689,Sheet1!$A:$A,0)),""))</f>
        <v/>
      </c>
      <c r="T689" s="47">
        <f>IF($A689="","",IFERROR(INDEX(Sheet1!$T:$T,MATCH($A689,Sheet1!$A:$A,0)),_xll.BDP($A689&amp;" Corp","RTG_SP")))</f>
        <v/>
      </c>
      <c r="U689" s="75">
        <f>IF($A689="","",IFERROR(INDEX(Sheet1!$U:$U,MATCH($A689,Sheet1!$A:$A,0)),""))</f>
        <v/>
      </c>
      <c r="W689" s="81">
        <f>IF($A689="","",N689-_xll.BDP($A689&amp;" Corp","YAS_OAS_SPRD","SETTLE_DT",Company_desc!$A$1))</f>
        <v/>
      </c>
      <c r="X689" s="81">
        <f>IF($A689="","",N689-_xll.BDP($A689&amp;" Corp","YAS_OAS_SPRD","SETTLE_DT",Company_desc!$A$2))</f>
        <v/>
      </c>
      <c r="Y689" s="80">
        <f>IF($A689="","",N689-_xll.BDP($A689&amp;" Corp","YAS_OAS_SPRD","SETTLE_DT",Company_desc!$D$1))</f>
        <v/>
      </c>
      <c r="Z689" s="82">
        <f>IF($A689="","",K689-_xll.BDP($A689&amp;" Corp","YAS_BOND_YLD","YAS_YLD_FLAG=15","SETTLE_DT",Company_desc!$D$1))</f>
        <v/>
      </c>
      <c r="AA689" s="80">
        <f>IF($A689="","",_xll.BDP($A689&amp;" Corp","YAS_OAS_SPRD","SETTLE_DT",Company_desc!$D$1))</f>
        <v/>
      </c>
    </row>
    <row r="690">
      <c r="B690" s="75">
        <f>IF($A690="","",IFERROR(INDEX(Sheet1!$B:$B,MATCH($A690,Sheet1!$A:$A,0)),""))</f>
        <v/>
      </c>
      <c r="C690" s="75">
        <f>IF($A690="","",PROPER(_xll.BDP($A690&amp;" Corp","NAME")))</f>
        <v/>
      </c>
      <c r="D690" s="76">
        <f>IF($A690="","",_xll.BDP($A690&amp;" Corp","CPN"))</f>
        <v/>
      </c>
      <c r="E690" s="75">
        <f>IF($A690="","",_xll.BDP($A690&amp;" Corp","PAYMENT_RANK"))</f>
        <v/>
      </c>
      <c r="F690" s="100">
        <f>IF($A690="","",_xll.BDP($A690&amp;" Corp","MATURITY"))</f>
        <v/>
      </c>
      <c r="G690" s="75">
        <f>IF($A690="","",PROPER(_xll.BDP($A690&amp;" Corp","COUNTRY_FULL_NAME")))</f>
        <v/>
      </c>
      <c r="H690" s="75">
        <f>IF($A690="","",_xll.BDP($A690&amp;" Corp","INDUSTRY_SECTOR"))</f>
        <v/>
      </c>
      <c r="I690" s="101">
        <f>IF($A690="","",IFERROR(_xll.BDP($A690&amp;" Corp","MIN_PIECE")/1000,""))</f>
        <v/>
      </c>
      <c r="J690" s="31">
        <f>IF($A690="","",_xll.BDP($A690&amp;" Corp","PX_LAST"))</f>
        <v/>
      </c>
      <c r="K690" s="31">
        <f>IF($A690="","",_xll.BDP($A690&amp;" Corp","YAS_BOND_YLD","YAS_YLD_FLAG=15"))</f>
        <v/>
      </c>
      <c r="L690" s="31">
        <f>IF($A690="","",K690-_xll.BDP($A690&amp;" Corp","YAS_BOND_YLD","YAS_YLD_FLAG=15","SETTLE_DT",Company_desc!$A$1))</f>
        <v/>
      </c>
      <c r="M690" s="31">
        <f>IF($A690="","",K690-_xll.BDP($A690&amp;" Corp","YAS_BOND_YLD","YAS_YLD_FLAG=15","SETTLE_DT",Company_desc!$A$2))</f>
        <v/>
      </c>
      <c r="N690" s="79">
        <f>IF($A690="","",_xll.BDP($A690&amp;" Corp","YAS_OAS_SPRD"))</f>
        <v/>
      </c>
      <c r="O690" s="67">
        <f>IF($A690="","",_xll.BDP($A690&amp;" Corp","YAS_MOD_DUR"))</f>
        <v/>
      </c>
      <c r="P690" s="80">
        <f>IF($A690="","",IFERROR(INDEX(Sheet1!$P:$P,MATCH($A690,Sheet1!$A:$A,0)),""))</f>
        <v/>
      </c>
      <c r="Q690" s="75">
        <f>IF($A690="","",IFERROR(INDEX(Company_desc!$C:$C,MATCH($A690,Company_desc!$A:$A,0)),IFERROR(INDEX(Sheet1!$Q:$Q,MATCH($A690,Sheet1!$A:$A,0)),"")))</f>
        <v/>
      </c>
      <c r="R690" s="75">
        <f>IF($A690="","",_xll.BDP($A690&amp;" Corp","CRNCY"))</f>
        <v/>
      </c>
      <c r="S690" s="75">
        <f>IF($A690="","",IFERROR(INDEX(Sheet1!$S:$S,MATCH($A690,Sheet1!$A:$A,0)),""))</f>
        <v/>
      </c>
      <c r="T690" s="75">
        <f>IF($A690="","",IFERROR(INDEX(Sheet1!$T:$T,MATCH($A690,Sheet1!$A:$A,0)),_xll.BDP($A690&amp;" Corp","RTG_SP")))</f>
        <v/>
      </c>
      <c r="U690" s="83">
        <f>IF($A690="","",IFERROR(INDEX(Sheet1!$U:$U,MATCH($A690,Sheet1!$A:$A,0)),""))</f>
        <v/>
      </c>
      <c r="W690" s="81">
        <f>IF($A690="","",N690-_xll.BDP($A690&amp;" Corp","YAS_OAS_SPRD","SETTLE_DT",Company_desc!$A$1))</f>
        <v/>
      </c>
      <c r="X690" s="81">
        <f>IF($A690="","",N690-_xll.BDP($A690&amp;" Corp","YAS_OAS_SPRD","SETTLE_DT",Company_desc!$A$2))</f>
        <v/>
      </c>
      <c r="Y690" s="80">
        <f>IF($A690="","",N690-_xll.BDP($A690&amp;" Corp","YAS_OAS_SPRD","SETTLE_DT",Company_desc!$D$1))</f>
        <v/>
      </c>
      <c r="Z690" s="82">
        <f>IF($A690="","",K690-_xll.BDP($A690&amp;" Corp","YAS_BOND_YLD","YAS_YLD_FLAG=15","SETTLE_DT",Company_desc!$D$1))</f>
        <v/>
      </c>
      <c r="AA690" s="80">
        <f>IF($A690="","",_xll.BDP($A690&amp;" Corp","YAS_OAS_SPRD","SETTLE_DT",Company_desc!$D$1))</f>
        <v/>
      </c>
    </row>
    <row r="691">
      <c r="B691" s="75">
        <f>IF($A691="","",IFERROR(INDEX(Sheet1!$B:$B,MATCH($A691,Sheet1!$A:$A,0)),""))</f>
        <v/>
      </c>
      <c r="C691" s="75">
        <f>IF($A691="","",PROPER(_xll.BDP($A691&amp;" Corp","NAME")))</f>
        <v/>
      </c>
      <c r="D691" s="76">
        <f>IF($A691="","",_xll.BDP($A691&amp;" Corp","CPN"))</f>
        <v/>
      </c>
      <c r="E691" s="75">
        <f>IF($A691="","",_xll.BDP($A691&amp;" Corp","PAYMENT_RANK"))</f>
        <v/>
      </c>
      <c r="F691" s="100">
        <f>IF($A691="","",_xll.BDP($A691&amp;" Corp","MATURITY"))</f>
        <v/>
      </c>
      <c r="G691" s="75">
        <f>IF($A691="","",PROPER(_xll.BDP($A691&amp;" Corp","COUNTRY_FULL_NAME")))</f>
        <v/>
      </c>
      <c r="H691" s="75">
        <f>IF($A691="","",_xll.BDP($A691&amp;" Corp","INDUSTRY_SECTOR"))</f>
        <v/>
      </c>
      <c r="I691" s="101">
        <f>IF($A691="","",IFERROR(_xll.BDP($A691&amp;" Corp","MIN_PIECE")/1000,""))</f>
        <v/>
      </c>
      <c r="J691" s="31">
        <f>IF($A691="","",_xll.BDP($A691&amp;" Corp","PX_LAST"))</f>
        <v/>
      </c>
      <c r="K691" s="31">
        <f>IF($A691="","",_xll.BDP($A691&amp;" Corp","YAS_BOND_YLD","YAS_YLD_FLAG=15"))</f>
        <v/>
      </c>
      <c r="L691" s="31">
        <f>IF($A691="","",K691-_xll.BDP($A691&amp;" Corp","YAS_BOND_YLD","YAS_YLD_FLAG=15","SETTLE_DT",Company_desc!$A$1))</f>
        <v/>
      </c>
      <c r="M691" s="31">
        <f>IF($A691="","",K691-_xll.BDP($A691&amp;" Corp","YAS_BOND_YLD","YAS_YLD_FLAG=15","SETTLE_DT",Company_desc!$A$2))</f>
        <v/>
      </c>
      <c r="N691" s="79">
        <f>IF($A691="","",_xll.BDP($A691&amp;" Corp","YAS_OAS_SPRD"))</f>
        <v/>
      </c>
      <c r="O691" s="67">
        <f>IF($A691="","",_xll.BDP($A691&amp;" Corp","YAS_MOD_DUR"))</f>
        <v/>
      </c>
      <c r="P691" s="80">
        <f>IF($A691="","",IFERROR(INDEX(Sheet1!$P:$P,MATCH($A691,Sheet1!$A:$A,0)),""))</f>
        <v/>
      </c>
      <c r="Q691" s="75">
        <f>IF($A691="","",IFERROR(INDEX(Company_desc!$C:$C,MATCH($A691,Company_desc!$A:$A,0)),IFERROR(INDEX(Sheet1!$Q:$Q,MATCH($A691,Sheet1!$A:$A,0)),"")))</f>
        <v/>
      </c>
      <c r="R691" s="75">
        <f>IF($A691="","",_xll.BDP($A691&amp;" Corp","CRNCY"))</f>
        <v/>
      </c>
      <c r="S691" s="75">
        <f>IF($A691="","",IFERROR(INDEX(Sheet1!$S:$S,MATCH($A691,Sheet1!$A:$A,0)),""))</f>
        <v/>
      </c>
      <c r="T691" s="75">
        <f>IF($A691="","",IFERROR(INDEX(Sheet1!$T:$T,MATCH($A691,Sheet1!$A:$A,0)),_xll.BDP($A691&amp;" Corp","RTG_SP")))</f>
        <v/>
      </c>
      <c r="U691" s="75">
        <f>IF($A691="","",IFERROR(INDEX(Sheet1!$U:$U,MATCH($A691,Sheet1!$A:$A,0)),""))</f>
        <v/>
      </c>
      <c r="W691" s="81">
        <f>IF($A691="","",N691-_xll.BDP($A691&amp;" Corp","YAS_OAS_SPRD","SETTLE_DT",Company_desc!$A$1))</f>
        <v/>
      </c>
      <c r="X691" s="81">
        <f>IF($A691="","",N691-_xll.BDP($A691&amp;" Corp","YAS_OAS_SPRD","SETTLE_DT",Company_desc!$A$2))</f>
        <v/>
      </c>
      <c r="Y691" s="80">
        <f>IF($A691="","",N691-_xll.BDP($A691&amp;" Corp","YAS_OAS_SPRD","SETTLE_DT",Company_desc!$D$1))</f>
        <v/>
      </c>
      <c r="Z691" s="82">
        <f>IF($A691="","",K691-_xll.BDP($A691&amp;" Corp","YAS_BOND_YLD","YAS_YLD_FLAG=15","SETTLE_DT",Company_desc!$D$1))</f>
        <v/>
      </c>
      <c r="AA691" s="80">
        <f>IF($A691="","",_xll.BDP($A691&amp;" Corp","YAS_OAS_SPRD","SETTLE_DT",Company_desc!$D$1))</f>
        <v/>
      </c>
    </row>
    <row r="692">
      <c r="B692" s="75">
        <f>IF($A692="","",IFERROR(INDEX(Sheet1!$B:$B,MATCH($A692,Sheet1!$A:$A,0)),""))</f>
        <v/>
      </c>
      <c r="C692" s="75">
        <f>IF($A692="","",PROPER(_xll.BDP($A692&amp;" Corp","NAME")))</f>
        <v/>
      </c>
      <c r="D692" s="76">
        <f>IF($A692="","",_xll.BDP($A692&amp;" Corp","CPN"))</f>
        <v/>
      </c>
      <c r="E692" s="75">
        <f>IF($A692="","",_xll.BDP($A692&amp;" Corp","PAYMENT_RANK"))</f>
        <v/>
      </c>
      <c r="F692" s="100">
        <f>IF($A692="","",_xll.BDP($A692&amp;" Corp","MATURITY"))</f>
        <v/>
      </c>
      <c r="G692" s="75">
        <f>IF($A692="","",PROPER(_xll.BDP($A692&amp;" Corp","COUNTRY_FULL_NAME")))</f>
        <v/>
      </c>
      <c r="H692" s="75">
        <f>IF($A692="","",_xll.BDP($A692&amp;" Corp","INDUSTRY_SECTOR"))</f>
        <v/>
      </c>
      <c r="I692" s="101">
        <f>IF($A692="","",IFERROR(_xll.BDP($A692&amp;" Corp","MIN_PIECE")/1000,""))</f>
        <v/>
      </c>
      <c r="J692" s="31">
        <f>IF($A692="","",_xll.BDP($A692&amp;" Corp","PX_LAST"))</f>
        <v/>
      </c>
      <c r="K692" s="31">
        <f>IF($A692="","",_xll.BDP($A692&amp;" Corp","YAS_BOND_YLD","YAS_YLD_FLAG=15"))</f>
        <v/>
      </c>
      <c r="L692" s="31">
        <f>IF($A692="","",K692-_xll.BDP($A692&amp;" Corp","YAS_BOND_YLD","YAS_YLD_FLAG=15","SETTLE_DT",Company_desc!$A$1))</f>
        <v/>
      </c>
      <c r="M692" s="31">
        <f>IF($A692="","",K692-_xll.BDP($A692&amp;" Corp","YAS_BOND_YLD","YAS_YLD_FLAG=15","SETTLE_DT",Company_desc!$A$2))</f>
        <v/>
      </c>
      <c r="N692" s="79">
        <f>IF($A692="","",_xll.BDP($A692&amp;" Corp","YAS_OAS_SPRD"))</f>
        <v/>
      </c>
      <c r="O692" s="67">
        <f>IF($A692="","",_xll.BDP($A692&amp;" Corp","YAS_MOD_DUR"))</f>
        <v/>
      </c>
      <c r="P692" s="80">
        <f>IF($A692="","",IFERROR(INDEX(Sheet1!$P:$P,MATCH($A692,Sheet1!$A:$A,0)),""))</f>
        <v/>
      </c>
      <c r="Q692" s="75">
        <f>IF($A692="","",IFERROR(INDEX(Company_desc!$C:$C,MATCH($A692,Company_desc!$A:$A,0)),IFERROR(INDEX(Sheet1!$Q:$Q,MATCH($A692,Sheet1!$A:$A,0)),"")))</f>
        <v/>
      </c>
      <c r="R692" s="75">
        <f>IF($A692="","",_xll.BDP($A692&amp;" Corp","CRNCY"))</f>
        <v/>
      </c>
      <c r="S692" s="75">
        <f>IF($A692="","",IFERROR(INDEX(Sheet1!$S:$S,MATCH($A692,Sheet1!$A:$A,0)),""))</f>
        <v/>
      </c>
      <c r="T692" s="75">
        <f>IF($A692="","",IFERROR(INDEX(Sheet1!$T:$T,MATCH($A692,Sheet1!$A:$A,0)),_xll.BDP($A692&amp;" Corp","RTG_SP")))</f>
        <v/>
      </c>
      <c r="U692" s="75">
        <f>IF($A692="","",IFERROR(INDEX(Sheet1!$U:$U,MATCH($A692,Sheet1!$A:$A,0)),""))</f>
        <v/>
      </c>
      <c r="W692" s="81">
        <f>IF($A692="","",N692-_xll.BDP($A692&amp;" Corp","YAS_OAS_SPRD","SETTLE_DT",Company_desc!$A$1))</f>
        <v/>
      </c>
      <c r="X692" s="81">
        <f>IF($A692="","",N692-_xll.BDP($A692&amp;" Corp","YAS_OAS_SPRD","SETTLE_DT",Company_desc!$A$2))</f>
        <v/>
      </c>
      <c r="Y692" s="80">
        <f>IF($A692="","",N692-_xll.BDP($A692&amp;" Corp","YAS_OAS_SPRD","SETTLE_DT",Company_desc!$D$1))</f>
        <v/>
      </c>
      <c r="Z692" s="82">
        <f>IF($A692="","",K692-_xll.BDP($A692&amp;" Corp","YAS_BOND_YLD","YAS_YLD_FLAG=15","SETTLE_DT",Company_desc!$D$1))</f>
        <v/>
      </c>
      <c r="AA692" s="80">
        <f>IF($A692="","",_xll.BDP($A692&amp;" Corp","YAS_OAS_SPRD","SETTLE_DT",Company_desc!$D$1))</f>
        <v/>
      </c>
    </row>
    <row r="693">
      <c r="B693" s="75">
        <f>IF($A693="","",IFERROR(INDEX(Sheet1!$B:$B,MATCH($A693,Sheet1!$A:$A,0)),""))</f>
        <v/>
      </c>
      <c r="C693" s="75">
        <f>IF($A693="","",PROPER(_xll.BDP($A693&amp;" Corp","NAME")))</f>
        <v/>
      </c>
      <c r="D693" s="76">
        <f>IF($A693="","",_xll.BDP($A693&amp;" Corp","CPN"))</f>
        <v/>
      </c>
      <c r="E693" s="75">
        <f>IF($A693="","",_xll.BDP($A693&amp;" Corp","PAYMENT_RANK"))</f>
        <v/>
      </c>
      <c r="F693" s="100">
        <f>IF($A693="","",_xll.BDP($A693&amp;" Corp","MATURITY"))</f>
        <v/>
      </c>
      <c r="G693" s="75">
        <f>IF($A693="","",PROPER(_xll.BDP($A693&amp;" Corp","COUNTRY_FULL_NAME")))</f>
        <v/>
      </c>
      <c r="H693" s="75">
        <f>IF($A693="","",_xll.BDP($A693&amp;" Corp","INDUSTRY_SECTOR"))</f>
        <v/>
      </c>
      <c r="I693" s="101">
        <f>IF($A693="","",IFERROR(_xll.BDP($A693&amp;" Corp","MIN_PIECE")/1000,""))</f>
        <v/>
      </c>
      <c r="J693" s="31">
        <f>IF($A693="","",_xll.BDP($A693&amp;" Corp","PX_LAST"))</f>
        <v/>
      </c>
      <c r="K693" s="31">
        <f>IF($A693="","",_xll.BDP($A693&amp;" Corp","YAS_BOND_YLD","YAS_YLD_FLAG=15"))</f>
        <v/>
      </c>
      <c r="L693" s="31">
        <f>IF($A693="","",K693-_xll.BDP($A693&amp;" Corp","YAS_BOND_YLD","YAS_YLD_FLAG=15","SETTLE_DT",Company_desc!$A$1))</f>
        <v/>
      </c>
      <c r="M693" s="31">
        <f>IF($A693="","",K693-_xll.BDP($A693&amp;" Corp","YAS_BOND_YLD","YAS_YLD_FLAG=15","SETTLE_DT",Company_desc!$A$2))</f>
        <v/>
      </c>
      <c r="N693" s="79">
        <f>IF($A693="","",_xll.BDP($A693&amp;" Corp","YAS_OAS_SPRD"))</f>
        <v/>
      </c>
      <c r="O693" s="67">
        <f>IF($A693="","",_xll.BDP($A693&amp;" Corp","YAS_MOD_DUR"))</f>
        <v/>
      </c>
      <c r="P693" s="80">
        <f>IF($A693="","",IFERROR(INDEX(Sheet1!$P:$P,MATCH($A693,Sheet1!$A:$A,0)),""))</f>
        <v/>
      </c>
      <c r="Q693" s="75">
        <f>IF($A693="","",IFERROR(INDEX(Company_desc!$C:$C,MATCH($A693,Company_desc!$A:$A,0)),IFERROR(INDEX(Sheet1!$Q:$Q,MATCH($A693,Sheet1!$A:$A,0)),"")))</f>
        <v/>
      </c>
      <c r="R693" s="75">
        <f>IF($A693="","",_xll.BDP($A693&amp;" Corp","CRNCY"))</f>
        <v/>
      </c>
      <c r="S693" s="75">
        <f>IF($A693="","",IFERROR(INDEX(Sheet1!$S:$S,MATCH($A693,Sheet1!$A:$A,0)),""))</f>
        <v/>
      </c>
      <c r="T693" s="75">
        <f>IF($A693="","",IFERROR(INDEX(Sheet1!$T:$T,MATCH($A693,Sheet1!$A:$A,0)),_xll.BDP($A693&amp;" Corp","RTG_SP")))</f>
        <v/>
      </c>
      <c r="U693" s="75">
        <f>IF($A693="","",IFERROR(INDEX(Sheet1!$U:$U,MATCH($A693,Sheet1!$A:$A,0)),""))</f>
        <v/>
      </c>
      <c r="W693" s="81">
        <f>IF($A693="","",N693-_xll.BDP($A693&amp;" Corp","YAS_OAS_SPRD","SETTLE_DT",Company_desc!$A$1))</f>
        <v/>
      </c>
      <c r="X693" s="81">
        <f>IF($A693="","",N693-_xll.BDP($A693&amp;" Corp","YAS_OAS_SPRD","SETTLE_DT",Company_desc!$A$2))</f>
        <v/>
      </c>
      <c r="Y693" s="80">
        <f>IF($A693="","",N693-_xll.BDP($A693&amp;" Corp","YAS_OAS_SPRD","SETTLE_DT",Company_desc!$D$1))</f>
        <v/>
      </c>
      <c r="Z693" s="82">
        <f>IF($A693="","",K693-_xll.BDP($A693&amp;" Corp","YAS_BOND_YLD","YAS_YLD_FLAG=15","SETTLE_DT",Company_desc!$D$1))</f>
        <v/>
      </c>
      <c r="AA693" s="80">
        <f>IF($A693="","",_xll.BDP($A693&amp;" Corp","YAS_OAS_SPRD","SETTLE_DT",Company_desc!$D$1))</f>
        <v/>
      </c>
    </row>
    <row r="694">
      <c r="B694" s="75">
        <f>IF($A694="","",IFERROR(INDEX(Sheet1!$B:$B,MATCH($A694,Sheet1!$A:$A,0)),""))</f>
        <v/>
      </c>
      <c r="C694" s="75">
        <f>IF($A694="","",PROPER(_xll.BDP($A694&amp;" Corp","NAME")))</f>
        <v/>
      </c>
      <c r="D694" s="76">
        <f>IF($A694="","",_xll.BDP($A694&amp;" Corp","CPN"))</f>
        <v/>
      </c>
      <c r="E694" s="75">
        <f>IF($A694="","",_xll.BDP($A694&amp;" Corp","PAYMENT_RANK"))</f>
        <v/>
      </c>
      <c r="F694" s="100">
        <f>IF($A694="","",_xll.BDP($A694&amp;" Corp","MATURITY"))</f>
        <v/>
      </c>
      <c r="G694" s="75">
        <f>IF($A694="","",PROPER(_xll.BDP($A694&amp;" Corp","COUNTRY_FULL_NAME")))</f>
        <v/>
      </c>
      <c r="H694" s="75">
        <f>IF($A694="","",_xll.BDP($A694&amp;" Corp","INDUSTRY_SECTOR"))</f>
        <v/>
      </c>
      <c r="I694" s="101">
        <f>IF($A694="","",IFERROR(_xll.BDP($A694&amp;" Corp","MIN_PIECE")/1000,""))</f>
        <v/>
      </c>
      <c r="J694" s="31">
        <f>IF($A694="","",_xll.BDP($A694&amp;" Corp","PX_LAST"))</f>
        <v/>
      </c>
      <c r="K694" s="31">
        <f>IF($A694="","",_xll.BDP($A694&amp;" Corp","YAS_BOND_YLD","YAS_YLD_FLAG=15"))</f>
        <v/>
      </c>
      <c r="L694" s="31">
        <f>IF($A694="","",K694-_xll.BDP($A694&amp;" Corp","YAS_BOND_YLD","YAS_YLD_FLAG=15","SETTLE_DT",Company_desc!$A$1))</f>
        <v/>
      </c>
      <c r="M694" s="31">
        <f>IF($A694="","",K694-_xll.BDP($A694&amp;" Corp","YAS_BOND_YLD","YAS_YLD_FLAG=15","SETTLE_DT",Company_desc!$A$2))</f>
        <v/>
      </c>
      <c r="N694" s="79">
        <f>IF($A694="","",_xll.BDP($A694&amp;" Corp","YAS_OAS_SPRD"))</f>
        <v/>
      </c>
      <c r="O694" s="67">
        <f>IF($A694="","",_xll.BDP($A694&amp;" Corp","YAS_MOD_DUR"))</f>
        <v/>
      </c>
      <c r="P694" s="80">
        <f>IF($A694="","",IFERROR(INDEX(Sheet1!$P:$P,MATCH($A694,Sheet1!$A:$A,0)),""))</f>
        <v/>
      </c>
      <c r="Q694" s="75">
        <f>IF($A694="","",IFERROR(INDEX(Company_desc!$C:$C,MATCH($A694,Company_desc!$A:$A,0)),IFERROR(INDEX(Sheet1!$Q:$Q,MATCH($A694,Sheet1!$A:$A,0)),"")))</f>
        <v/>
      </c>
      <c r="R694" s="75">
        <f>IF($A694="","",_xll.BDP($A694&amp;" Corp","CRNCY"))</f>
        <v/>
      </c>
      <c r="S694" s="75">
        <f>IF($A694="","",IFERROR(INDEX(Sheet1!$S:$S,MATCH($A694,Sheet1!$A:$A,0)),""))</f>
        <v/>
      </c>
      <c r="T694" s="75">
        <f>IF($A694="","",IFERROR(INDEX(Sheet1!$T:$T,MATCH($A694,Sheet1!$A:$A,0)),_xll.BDP($A694&amp;" Corp","RTG_SP")))</f>
        <v/>
      </c>
      <c r="U694" s="75">
        <f>IF($A694="","",IFERROR(INDEX(Sheet1!$U:$U,MATCH($A694,Sheet1!$A:$A,0)),""))</f>
        <v/>
      </c>
      <c r="W694" s="81">
        <f>IF($A694="","",N694-_xll.BDP($A694&amp;" Corp","YAS_OAS_SPRD","SETTLE_DT",Company_desc!$A$1))</f>
        <v/>
      </c>
      <c r="X694" s="81">
        <f>IF($A694="","",N694-_xll.BDP($A694&amp;" Corp","YAS_OAS_SPRD","SETTLE_DT",Company_desc!$A$2))</f>
        <v/>
      </c>
      <c r="Y694" s="80">
        <f>IF($A694="","",N694-_xll.BDP($A694&amp;" Corp","YAS_OAS_SPRD","SETTLE_DT",Company_desc!$D$1))</f>
        <v/>
      </c>
      <c r="Z694" s="82">
        <f>IF($A694="","",K694-_xll.BDP($A694&amp;" Corp","YAS_BOND_YLD","YAS_YLD_FLAG=15","SETTLE_DT",Company_desc!$D$1))</f>
        <v/>
      </c>
      <c r="AA694" s="80">
        <f>IF($A694="","",_xll.BDP($A694&amp;" Corp","YAS_OAS_SPRD","SETTLE_DT",Company_desc!$D$1))</f>
        <v/>
      </c>
    </row>
    <row r="695">
      <c r="B695" s="75">
        <f>IF($A695="","",IFERROR(INDEX(Sheet1!$B:$B,MATCH($A695,Sheet1!$A:$A,0)),""))</f>
        <v/>
      </c>
      <c r="C695" s="75">
        <f>IF($A695="","",PROPER(_xll.BDP($A695&amp;" Corp","NAME")))</f>
        <v/>
      </c>
      <c r="D695" s="76">
        <f>IF($A695="","",_xll.BDP($A695&amp;" Corp","CPN"))</f>
        <v/>
      </c>
      <c r="E695" s="75">
        <f>IF($A695="","",_xll.BDP($A695&amp;" Corp","PAYMENT_RANK"))</f>
        <v/>
      </c>
      <c r="F695" s="100">
        <f>IF($A695="","",_xll.BDP($A695&amp;" Corp","MATURITY"))</f>
        <v/>
      </c>
      <c r="G695" s="75">
        <f>IF($A695="","",PROPER(_xll.BDP($A695&amp;" Corp","COUNTRY_FULL_NAME")))</f>
        <v/>
      </c>
      <c r="H695" s="75">
        <f>IF($A695="","",_xll.BDP($A695&amp;" Corp","INDUSTRY_SECTOR"))</f>
        <v/>
      </c>
      <c r="I695" s="101">
        <f>IF($A695="","",IFERROR(_xll.BDP($A695&amp;" Corp","MIN_PIECE")/1000,""))</f>
        <v/>
      </c>
      <c r="J695" s="31">
        <f>IF($A695="","",_xll.BDP($A695&amp;" Corp","PX_LAST"))</f>
        <v/>
      </c>
      <c r="K695" s="31">
        <f>IF($A695="","",_xll.BDP($A695&amp;" Corp","YAS_BOND_YLD","YAS_YLD_FLAG=15"))</f>
        <v/>
      </c>
      <c r="L695" s="31">
        <f>IF($A695="","",K695-_xll.BDP($A695&amp;" Corp","YAS_BOND_YLD","YAS_YLD_FLAG=15","SETTLE_DT",Company_desc!$A$1))</f>
        <v/>
      </c>
      <c r="M695" s="31">
        <f>IF($A695="","",K695-_xll.BDP($A695&amp;" Corp","YAS_BOND_YLD","YAS_YLD_FLAG=15","SETTLE_DT",Company_desc!$A$2))</f>
        <v/>
      </c>
      <c r="N695" s="79">
        <f>IF($A695="","",_xll.BDP($A695&amp;" Corp","YAS_OAS_SPRD"))</f>
        <v/>
      </c>
      <c r="O695" s="67">
        <f>IF($A695="","",_xll.BDP($A695&amp;" Corp","YAS_MOD_DUR"))</f>
        <v/>
      </c>
      <c r="P695" s="80">
        <f>IF($A695="","",IFERROR(INDEX(Sheet1!$P:$P,MATCH($A695,Sheet1!$A:$A,0)),""))</f>
        <v/>
      </c>
      <c r="Q695" s="75">
        <f>IF($A695="","",IFERROR(INDEX(Company_desc!$C:$C,MATCH($A695,Company_desc!$A:$A,0)),IFERROR(INDEX(Sheet1!$Q:$Q,MATCH($A695,Sheet1!$A:$A,0)),"")))</f>
        <v/>
      </c>
      <c r="R695" s="75">
        <f>IF($A695="","",_xll.BDP($A695&amp;" Corp","CRNCY"))</f>
        <v/>
      </c>
      <c r="S695" s="75">
        <f>IF($A695="","",IFERROR(INDEX(Sheet1!$S:$S,MATCH($A695,Sheet1!$A:$A,0)),""))</f>
        <v/>
      </c>
      <c r="T695" s="75">
        <f>IF($A695="","",IFERROR(INDEX(Sheet1!$T:$T,MATCH($A695,Sheet1!$A:$A,0)),_xll.BDP($A695&amp;" Corp","RTG_SP")))</f>
        <v/>
      </c>
      <c r="U695" s="75">
        <f>IF($A695="","",IFERROR(INDEX(Sheet1!$U:$U,MATCH($A695,Sheet1!$A:$A,0)),""))</f>
        <v/>
      </c>
      <c r="W695" s="81">
        <f>IF($A695="","",N695-_xll.BDP($A695&amp;" Corp","YAS_OAS_SPRD","SETTLE_DT",Company_desc!$A$1))</f>
        <v/>
      </c>
      <c r="X695" s="81">
        <f>IF($A695="","",N695-_xll.BDP($A695&amp;" Corp","YAS_OAS_SPRD","SETTLE_DT",Company_desc!$A$2))</f>
        <v/>
      </c>
      <c r="Y695" s="80">
        <f>IF($A695="","",N695-_xll.BDP($A695&amp;" Corp","YAS_OAS_SPRD","SETTLE_DT",Company_desc!$D$1))</f>
        <v/>
      </c>
      <c r="Z695" s="82">
        <f>IF($A695="","",K695-_xll.BDP($A695&amp;" Corp","YAS_BOND_YLD","YAS_YLD_FLAG=15","SETTLE_DT",Company_desc!$D$1))</f>
        <v/>
      </c>
      <c r="AA695" s="80">
        <f>IF($A695="","",_xll.BDP($A695&amp;" Corp","YAS_OAS_SPRD","SETTLE_DT",Company_desc!$D$1))</f>
        <v/>
      </c>
    </row>
    <row r="696">
      <c r="B696" s="75">
        <f>IF($A696="","",IFERROR(INDEX(Sheet1!$B:$B,MATCH($A696,Sheet1!$A:$A,0)),""))</f>
        <v/>
      </c>
      <c r="C696" s="75">
        <f>IF($A696="","",PROPER(_xll.BDP($A696&amp;" Corp","NAME")))</f>
        <v/>
      </c>
      <c r="D696" s="76">
        <f>IF($A696="","",_xll.BDP($A696&amp;" Corp","CPN"))</f>
        <v/>
      </c>
      <c r="E696" s="75">
        <f>IF($A696="","",_xll.BDP($A696&amp;" Corp","PAYMENT_RANK"))</f>
        <v/>
      </c>
      <c r="F696" s="100">
        <f>IF($A696="","",_xll.BDP($A696&amp;" Corp","MATURITY"))</f>
        <v/>
      </c>
      <c r="G696" s="75">
        <f>IF($A696="","",PROPER(_xll.BDP($A696&amp;" Corp","COUNTRY_FULL_NAME")))</f>
        <v/>
      </c>
      <c r="H696" s="75">
        <f>IF($A696="","",_xll.BDP($A696&amp;" Corp","INDUSTRY_SECTOR"))</f>
        <v/>
      </c>
      <c r="I696" s="101">
        <f>IF($A696="","",IFERROR(_xll.BDP($A696&amp;" Corp","MIN_PIECE")/1000,""))</f>
        <v/>
      </c>
      <c r="J696" s="31">
        <f>IF($A696="","",_xll.BDP($A696&amp;" Corp","PX_LAST"))</f>
        <v/>
      </c>
      <c r="K696" s="31">
        <f>IF($A696="","",_xll.BDP($A696&amp;" Corp","YAS_BOND_YLD","YAS_YLD_FLAG=15"))</f>
        <v/>
      </c>
      <c r="L696" s="31">
        <f>IF($A696="","",K696-_xll.BDP($A696&amp;" Corp","YAS_BOND_YLD","YAS_YLD_FLAG=15","SETTLE_DT",Company_desc!$A$1))</f>
        <v/>
      </c>
      <c r="M696" s="31">
        <f>IF($A696="","",K696-_xll.BDP($A696&amp;" Corp","YAS_BOND_YLD","YAS_YLD_FLAG=15","SETTLE_DT",Company_desc!$A$2))</f>
        <v/>
      </c>
      <c r="N696" s="79">
        <f>IF($A696="","",_xll.BDP($A696&amp;" Corp","YAS_OAS_SPRD"))</f>
        <v/>
      </c>
      <c r="O696" s="67">
        <f>IF($A696="","",_xll.BDP($A696&amp;" Corp","YAS_MOD_DUR"))</f>
        <v/>
      </c>
      <c r="P696" s="80">
        <f>IF($A696="","",IFERROR(INDEX(Sheet1!$P:$P,MATCH($A696,Sheet1!$A:$A,0)),""))</f>
        <v/>
      </c>
      <c r="Q696" s="75">
        <f>IF($A696="","",IFERROR(INDEX(Company_desc!$C:$C,MATCH($A696,Company_desc!$A:$A,0)),IFERROR(INDEX(Sheet1!$Q:$Q,MATCH($A696,Sheet1!$A:$A,0)),"")))</f>
        <v/>
      </c>
      <c r="R696" s="75">
        <f>IF($A696="","",_xll.BDP($A696&amp;" Corp","CRNCY"))</f>
        <v/>
      </c>
      <c r="S696" s="75">
        <f>IF($A696="","",IFERROR(INDEX(Sheet1!$S:$S,MATCH($A696,Sheet1!$A:$A,0)),""))</f>
        <v/>
      </c>
      <c r="T696" s="75">
        <f>IF($A696="","",IFERROR(INDEX(Sheet1!$T:$T,MATCH($A696,Sheet1!$A:$A,0)),_xll.BDP($A696&amp;" Corp","RTG_SP")))</f>
        <v/>
      </c>
      <c r="U696" s="75">
        <f>IF($A696="","",IFERROR(INDEX(Sheet1!$U:$U,MATCH($A696,Sheet1!$A:$A,0)),""))</f>
        <v/>
      </c>
      <c r="W696" s="81">
        <f>IF($A696="","",N696-_xll.BDP($A696&amp;" Corp","YAS_OAS_SPRD","SETTLE_DT",Company_desc!$A$1))</f>
        <v/>
      </c>
      <c r="X696" s="81">
        <f>IF($A696="","",N696-_xll.BDP($A696&amp;" Corp","YAS_OAS_SPRD","SETTLE_DT",Company_desc!$A$2))</f>
        <v/>
      </c>
      <c r="Y696" s="80">
        <f>IF($A696="","",N696-_xll.BDP($A696&amp;" Corp","YAS_OAS_SPRD","SETTLE_DT",Company_desc!$D$1))</f>
        <v/>
      </c>
      <c r="Z696" s="82">
        <f>IF($A696="","",K696-_xll.BDP($A696&amp;" Corp","YAS_BOND_YLD","YAS_YLD_FLAG=15","SETTLE_DT",Company_desc!$D$1))</f>
        <v/>
      </c>
      <c r="AA696" s="80">
        <f>IF($A696="","",_xll.BDP($A696&amp;" Corp","YAS_OAS_SPRD","SETTLE_DT",Company_desc!$D$1))</f>
        <v/>
      </c>
    </row>
    <row r="697">
      <c r="B697" s="75">
        <f>IF($A697="","",IFERROR(INDEX(Sheet1!$B:$B,MATCH($A697,Sheet1!$A:$A,0)),""))</f>
        <v/>
      </c>
      <c r="C697" s="75">
        <f>IF($A697="","",PROPER(_xll.BDP($A697&amp;" Corp","NAME")))</f>
        <v/>
      </c>
      <c r="D697" s="76">
        <f>IF($A697="","",_xll.BDP($A697&amp;" Corp","CPN"))</f>
        <v/>
      </c>
      <c r="E697" s="75">
        <f>IF($A697="","",_xll.BDP($A697&amp;" Corp","PAYMENT_RANK"))</f>
        <v/>
      </c>
      <c r="F697" s="100">
        <f>IF($A697="","",_xll.BDP($A697&amp;" Corp","MATURITY"))</f>
        <v/>
      </c>
      <c r="G697" s="75">
        <f>IF($A697="","",PROPER(_xll.BDP($A697&amp;" Corp","COUNTRY_FULL_NAME")))</f>
        <v/>
      </c>
      <c r="H697" s="75">
        <f>IF($A697="","",_xll.BDP($A697&amp;" Corp","INDUSTRY_SECTOR"))</f>
        <v/>
      </c>
      <c r="I697" s="101">
        <f>IF($A697="","",IFERROR(_xll.BDP($A697&amp;" Corp","MIN_PIECE")/1000,""))</f>
        <v/>
      </c>
      <c r="J697" s="31">
        <f>IF($A697="","",_xll.BDP($A697&amp;" Corp","PX_LAST"))</f>
        <v/>
      </c>
      <c r="K697" s="31">
        <f>IF($A697="","",_xll.BDP($A697&amp;" Corp","YAS_BOND_YLD","YAS_YLD_FLAG=15"))</f>
        <v/>
      </c>
      <c r="L697" s="31">
        <f>IF($A697="","",K697-_xll.BDP($A697&amp;" Corp","YAS_BOND_YLD","YAS_YLD_FLAG=15","SETTLE_DT",Company_desc!$A$1))</f>
        <v/>
      </c>
      <c r="M697" s="31">
        <f>IF($A697="","",K697-_xll.BDP($A697&amp;" Corp","YAS_BOND_YLD","YAS_YLD_FLAG=15","SETTLE_DT",Company_desc!$A$2))</f>
        <v/>
      </c>
      <c r="N697" s="79">
        <f>IF($A697="","",_xll.BDP($A697&amp;" Corp","YAS_OAS_SPRD"))</f>
        <v/>
      </c>
      <c r="O697" s="67">
        <f>IF($A697="","",_xll.BDP($A697&amp;" Corp","YAS_MOD_DUR"))</f>
        <v/>
      </c>
      <c r="P697" s="80">
        <f>IF($A697="","",IFERROR(INDEX(Sheet1!$P:$P,MATCH($A697,Sheet1!$A:$A,0)),""))</f>
        <v/>
      </c>
      <c r="Q697" s="75">
        <f>IF($A697="","",IFERROR(INDEX(Company_desc!$C:$C,MATCH($A697,Company_desc!$A:$A,0)),IFERROR(INDEX(Sheet1!$Q:$Q,MATCH($A697,Sheet1!$A:$A,0)),"")))</f>
        <v/>
      </c>
      <c r="R697" s="75">
        <f>IF($A697="","",_xll.BDP($A697&amp;" Corp","CRNCY"))</f>
        <v/>
      </c>
      <c r="S697" s="75">
        <f>IF($A697="","",IFERROR(INDEX(Sheet1!$S:$S,MATCH($A697,Sheet1!$A:$A,0)),""))</f>
        <v/>
      </c>
      <c r="T697" s="75">
        <f>IF($A697="","",IFERROR(INDEX(Sheet1!$T:$T,MATCH($A697,Sheet1!$A:$A,0)),_xll.BDP($A697&amp;" Corp","RTG_SP")))</f>
        <v/>
      </c>
      <c r="U697" s="83">
        <f>IF($A697="","",IFERROR(INDEX(Sheet1!$U:$U,MATCH($A697,Sheet1!$A:$A,0)),""))</f>
        <v/>
      </c>
      <c r="W697" s="81">
        <f>IF($A697="","",N697-_xll.BDP($A697&amp;" Corp","YAS_OAS_SPRD","SETTLE_DT",Company_desc!$A$1))</f>
        <v/>
      </c>
      <c r="X697" s="81">
        <f>IF($A697="","",N697-_xll.BDP($A697&amp;" Corp","YAS_OAS_SPRD","SETTLE_DT",Company_desc!$A$2))</f>
        <v/>
      </c>
      <c r="Y697" s="80">
        <f>IF($A697="","",N697-_xll.BDP($A697&amp;" Corp","YAS_OAS_SPRD","SETTLE_DT",Company_desc!$D$1))</f>
        <v/>
      </c>
      <c r="Z697" s="82">
        <f>IF($A697="","",K697-_xll.BDP($A697&amp;" Corp","YAS_BOND_YLD","YAS_YLD_FLAG=15","SETTLE_DT",Company_desc!$D$1))</f>
        <v/>
      </c>
      <c r="AA697" s="80">
        <f>IF($A697="","",_xll.BDP($A697&amp;" Corp","YAS_OAS_SPRD","SETTLE_DT",Company_desc!$D$1))</f>
        <v/>
      </c>
    </row>
    <row r="698">
      <c r="B698" s="75">
        <f>IF($A698="","",IFERROR(INDEX(Sheet1!$B:$B,MATCH($A698,Sheet1!$A:$A,0)),""))</f>
        <v/>
      </c>
      <c r="C698" s="75">
        <f>IF($A698="","",PROPER(_xll.BDP($A698&amp;" Corp","NAME")))</f>
        <v/>
      </c>
      <c r="D698" s="76">
        <f>IF($A698="","",_xll.BDP($A698&amp;" Corp","CPN"))</f>
        <v/>
      </c>
      <c r="E698" s="75">
        <f>IF($A698="","",_xll.BDP($A698&amp;" Corp","PAYMENT_RANK"))</f>
        <v/>
      </c>
      <c r="F698" s="100">
        <f>IF($A698="","",_xll.BDP($A698&amp;" Corp","MATURITY"))</f>
        <v/>
      </c>
      <c r="G698" s="75">
        <f>IF($A698="","",PROPER(_xll.BDP($A698&amp;" Corp","COUNTRY_FULL_NAME")))</f>
        <v/>
      </c>
      <c r="H698" s="75">
        <f>IF($A698="","",_xll.BDP($A698&amp;" Corp","INDUSTRY_SECTOR"))</f>
        <v/>
      </c>
      <c r="I698" s="101">
        <f>IF($A698="","",IFERROR(_xll.BDP($A698&amp;" Corp","MIN_PIECE")/1000,""))</f>
        <v/>
      </c>
      <c r="J698" s="31">
        <f>IF($A698="","",_xll.BDP($A698&amp;" Corp","PX_LAST"))</f>
        <v/>
      </c>
      <c r="K698" s="31">
        <f>IF($A698="","",_xll.BDP($A698&amp;" Corp","YAS_BOND_YLD","YAS_YLD_FLAG=15"))</f>
        <v/>
      </c>
      <c r="L698" s="31">
        <f>IF($A698="","",K698-_xll.BDP($A698&amp;" Corp","YAS_BOND_YLD","YAS_YLD_FLAG=15","SETTLE_DT",Company_desc!$A$1))</f>
        <v/>
      </c>
      <c r="M698" s="31">
        <f>IF($A698="","",K698-_xll.BDP($A698&amp;" Corp","YAS_BOND_YLD","YAS_YLD_FLAG=15","SETTLE_DT",Company_desc!$A$2))</f>
        <v/>
      </c>
      <c r="N698" s="79">
        <f>IF($A698="","",_xll.BDP($A698&amp;" Corp","YAS_OAS_SPRD"))</f>
        <v/>
      </c>
      <c r="O698" s="67">
        <f>IF($A698="","",_xll.BDP($A698&amp;" Corp","YAS_MOD_DUR"))</f>
        <v/>
      </c>
      <c r="P698" s="80">
        <f>IF($A698="","",IFERROR(INDEX(Sheet1!$P:$P,MATCH($A698,Sheet1!$A:$A,0)),""))</f>
        <v/>
      </c>
      <c r="Q698" s="75">
        <f>IF($A698="","",IFERROR(INDEX(Company_desc!$C:$C,MATCH($A698,Company_desc!$A:$A,0)),IFERROR(INDEX(Sheet1!$Q:$Q,MATCH($A698,Sheet1!$A:$A,0)),"")))</f>
        <v/>
      </c>
      <c r="R698" s="75">
        <f>IF($A698="","",_xll.BDP($A698&amp;" Corp","CRNCY"))</f>
        <v/>
      </c>
      <c r="S698" s="75">
        <f>IF($A698="","",IFERROR(INDEX(Sheet1!$S:$S,MATCH($A698,Sheet1!$A:$A,0)),""))</f>
        <v/>
      </c>
      <c r="T698" s="75">
        <f>IF($A698="","",IFERROR(INDEX(Sheet1!$T:$T,MATCH($A698,Sheet1!$A:$A,0)),_xll.BDP($A698&amp;" Corp","RTG_SP")))</f>
        <v/>
      </c>
      <c r="U698" s="75">
        <f>IF($A698="","",IFERROR(INDEX(Sheet1!$U:$U,MATCH($A698,Sheet1!$A:$A,0)),""))</f>
        <v/>
      </c>
      <c r="W698" s="81">
        <f>IF($A698="","",N698-_xll.BDP($A698&amp;" Corp","YAS_OAS_SPRD","SETTLE_DT",Company_desc!$A$1))</f>
        <v/>
      </c>
      <c r="X698" s="81">
        <f>IF($A698="","",N698-_xll.BDP($A698&amp;" Corp","YAS_OAS_SPRD","SETTLE_DT",Company_desc!$A$2))</f>
        <v/>
      </c>
      <c r="Y698" s="80">
        <f>IF($A698="","",N698-_xll.BDP($A698&amp;" Corp","YAS_OAS_SPRD","SETTLE_DT",Company_desc!$D$1))</f>
        <v/>
      </c>
      <c r="Z698" s="82">
        <f>IF($A698="","",K698-_xll.BDP($A698&amp;" Corp","YAS_BOND_YLD","YAS_YLD_FLAG=15","SETTLE_DT",Company_desc!$D$1))</f>
        <v/>
      </c>
      <c r="AA698" s="80">
        <f>IF($A698="","",_xll.BDP($A698&amp;" Corp","YAS_OAS_SPRD","SETTLE_DT",Company_desc!$D$1))</f>
        <v/>
      </c>
    </row>
    <row r="699">
      <c r="A699" s="42" t="n"/>
      <c r="B699" s="75">
        <f>IF($A699="","",IFERROR(INDEX(Sheet1!$B:$B,MATCH($A699,Sheet1!$A:$A,0)),""))</f>
        <v/>
      </c>
      <c r="C699" s="75">
        <f>IF($A699="","",PROPER(_xll.BDP($A699&amp;" Corp","NAME")))</f>
        <v/>
      </c>
      <c r="D699" s="76">
        <f>IF($A699="","",_xll.BDP($A699&amp;" Corp","CPN"))</f>
        <v/>
      </c>
      <c r="E699" s="75">
        <f>IF($A699="","",_xll.BDP($A699&amp;" Corp","PAYMENT_RANK"))</f>
        <v/>
      </c>
      <c r="F699" s="100">
        <f>IF($A699="","",_xll.BDP($A699&amp;" Corp","MATURITY"))</f>
        <v/>
      </c>
      <c r="G699" s="75">
        <f>IF($A699="","",PROPER(_xll.BDP($A699&amp;" Corp","COUNTRY_FULL_NAME")))</f>
        <v/>
      </c>
      <c r="H699" s="75">
        <f>IF($A699="","",_xll.BDP($A699&amp;" Corp","INDUSTRY_SECTOR"))</f>
        <v/>
      </c>
      <c r="I699" s="101">
        <f>IF($A699="","",IFERROR(_xll.BDP($A699&amp;" Corp","MIN_PIECE")/1000,""))</f>
        <v/>
      </c>
      <c r="J699" s="31">
        <f>IF($A699="","",_xll.BDP($A699&amp;" Corp","PX_LAST"))</f>
        <v/>
      </c>
      <c r="K699" s="31">
        <f>IF($A699="","",_xll.BDP($A699&amp;" Corp","YAS_BOND_YLD","YAS_YLD_FLAG=15"))</f>
        <v/>
      </c>
      <c r="L699" s="31">
        <f>IF($A699="","",K699-_xll.BDP($A699&amp;" Corp","YAS_BOND_YLD","YAS_YLD_FLAG=15","SETTLE_DT",Company_desc!$A$1))</f>
        <v/>
      </c>
      <c r="M699" s="31">
        <f>IF($A699="","",K699-_xll.BDP($A699&amp;" Corp","YAS_BOND_YLD","YAS_YLD_FLAG=15","SETTLE_DT",Company_desc!$A$2))</f>
        <v/>
      </c>
      <c r="N699" s="79">
        <f>IF($A699="","",_xll.BDP($A699&amp;" Corp","YAS_OAS_SPRD"))</f>
        <v/>
      </c>
      <c r="O699" s="67">
        <f>IF($A699="","",_xll.BDP($A699&amp;" Corp","YAS_MOD_DUR"))</f>
        <v/>
      </c>
      <c r="P699" s="80">
        <f>IF($A699="","",IFERROR(INDEX(Sheet1!$P:$P,MATCH($A699,Sheet1!$A:$A,0)),""))</f>
        <v/>
      </c>
      <c r="Q699" s="75">
        <f>IF($A699="","",IFERROR(INDEX(Company_desc!$C:$C,MATCH($A699,Company_desc!$A:$A,0)),IFERROR(INDEX(Sheet1!$Q:$Q,MATCH($A699,Sheet1!$A:$A,0)),"")))</f>
        <v/>
      </c>
      <c r="R699" s="75">
        <f>IF($A699="","",_xll.BDP($A699&amp;" Corp","CRNCY"))</f>
        <v/>
      </c>
      <c r="S699" s="75">
        <f>IF($A699="","",IFERROR(INDEX(Sheet1!$S:$S,MATCH($A699,Sheet1!$A:$A,0)),""))</f>
        <v/>
      </c>
      <c r="T699" s="75">
        <f>IF($A699="","",IFERROR(INDEX(Sheet1!$T:$T,MATCH($A699,Sheet1!$A:$A,0)),_xll.BDP($A699&amp;" Corp","RTG_SP")))</f>
        <v/>
      </c>
      <c r="U699" s="75">
        <f>IF($A699="","",IFERROR(INDEX(Sheet1!$U:$U,MATCH($A699,Sheet1!$A:$A,0)),""))</f>
        <v/>
      </c>
      <c r="W699" s="81">
        <f>IF($A699="","",N699-_xll.BDP($A699&amp;" Corp","YAS_OAS_SPRD","SETTLE_DT",Company_desc!$A$1))</f>
        <v/>
      </c>
      <c r="X699" s="81">
        <f>IF($A699="","",N699-_xll.BDP($A699&amp;" Corp","YAS_OAS_SPRD","SETTLE_DT",Company_desc!$A$2))</f>
        <v/>
      </c>
      <c r="Y699" s="80">
        <f>IF($A699="","",N699-_xll.BDP($A699&amp;" Corp","YAS_OAS_SPRD","SETTLE_DT",Company_desc!$D$1))</f>
        <v/>
      </c>
      <c r="Z699" s="82">
        <f>IF($A699="","",K699-_xll.BDP($A699&amp;" Corp","YAS_BOND_YLD","YAS_YLD_FLAG=15","SETTLE_DT",Company_desc!$D$1))</f>
        <v/>
      </c>
      <c r="AA699" s="80">
        <f>IF($A699="","",_xll.BDP($A699&amp;" Corp","YAS_OAS_SPRD","SETTLE_DT",Company_desc!$D$1))</f>
        <v/>
      </c>
    </row>
    <row r="700">
      <c r="B700" s="75">
        <f>IF($A700="","",IFERROR(INDEX(Sheet1!$B:$B,MATCH($A700,Sheet1!$A:$A,0)),""))</f>
        <v/>
      </c>
      <c r="C700" s="75">
        <f>IF($A700="","",PROPER(_xll.BDP($A700&amp;" Corp","NAME")))</f>
        <v/>
      </c>
      <c r="D700" s="76">
        <f>IF($A700="","",_xll.BDP($A700&amp;" Corp","CPN"))</f>
        <v/>
      </c>
      <c r="E700" s="75">
        <f>IF($A700="","",_xll.BDP($A700&amp;" Corp","PAYMENT_RANK"))</f>
        <v/>
      </c>
      <c r="F700" s="100">
        <f>IF($A700="","",_xll.BDP($A700&amp;" Corp","MATURITY"))</f>
        <v/>
      </c>
      <c r="G700" s="75">
        <f>IF($A700="","",PROPER(_xll.BDP($A700&amp;" Corp","COUNTRY_FULL_NAME")))</f>
        <v/>
      </c>
      <c r="H700" s="75">
        <f>IF($A700="","",_xll.BDP($A700&amp;" Corp","INDUSTRY_SECTOR"))</f>
        <v/>
      </c>
      <c r="I700" s="101">
        <f>IF($A700="","",IFERROR(_xll.BDP($A700&amp;" Corp","MIN_PIECE")/1000,""))</f>
        <v/>
      </c>
      <c r="J700" s="31">
        <f>IF($A700="","",_xll.BDP($A700&amp;" Corp","PX_LAST"))</f>
        <v/>
      </c>
      <c r="K700" s="31">
        <f>IF($A700="","",_xll.BDP($A700&amp;" Corp","YAS_BOND_YLD","YAS_YLD_FLAG=15"))</f>
        <v/>
      </c>
      <c r="L700" s="31">
        <f>IF($A700="","",K700-_xll.BDP($A700&amp;" Corp","YAS_BOND_YLD","YAS_YLD_FLAG=15","SETTLE_DT",Company_desc!$A$1))</f>
        <v/>
      </c>
      <c r="M700" s="31">
        <f>IF($A700="","",K700-_xll.BDP($A700&amp;" Corp","YAS_BOND_YLD","YAS_YLD_FLAG=15","SETTLE_DT",Company_desc!$A$2))</f>
        <v/>
      </c>
      <c r="N700" s="79">
        <f>IF($A700="","",_xll.BDP($A700&amp;" Corp","YAS_OAS_SPRD"))</f>
        <v/>
      </c>
      <c r="O700" s="67">
        <f>IF($A700="","",_xll.BDP($A700&amp;" Corp","YAS_MOD_DUR"))</f>
        <v/>
      </c>
      <c r="P700" s="80">
        <f>IF($A700="","",IFERROR(INDEX(Sheet1!$P:$P,MATCH($A700,Sheet1!$A:$A,0)),""))</f>
        <v/>
      </c>
      <c r="Q700" s="75">
        <f>IF($A700="","",IFERROR(INDEX(Company_desc!$C:$C,MATCH($A700,Company_desc!$A:$A,0)),IFERROR(INDEX(Sheet1!$Q:$Q,MATCH($A700,Sheet1!$A:$A,0)),"")))</f>
        <v/>
      </c>
      <c r="R700" s="75">
        <f>IF($A700="","",_xll.BDP($A700&amp;" Corp","CRNCY"))</f>
        <v/>
      </c>
      <c r="S700" s="75">
        <f>IF($A700="","",IFERROR(INDEX(Sheet1!$S:$S,MATCH($A700,Sheet1!$A:$A,0)),""))</f>
        <v/>
      </c>
      <c r="T700" s="75">
        <f>IF($A700="","",IFERROR(INDEX(Sheet1!$T:$T,MATCH($A700,Sheet1!$A:$A,0)),_xll.BDP($A700&amp;" Corp","RTG_SP")))</f>
        <v/>
      </c>
      <c r="U700" s="75">
        <f>IF($A700="","",IFERROR(INDEX(Sheet1!$U:$U,MATCH($A700,Sheet1!$A:$A,0)),""))</f>
        <v/>
      </c>
      <c r="W700" s="81">
        <f>IF($A700="","",N700-_xll.BDP($A700&amp;" Corp","YAS_OAS_SPRD","SETTLE_DT",Company_desc!$A$1))</f>
        <v/>
      </c>
      <c r="X700" s="81">
        <f>IF($A700="","",N700-_xll.BDP($A700&amp;" Corp","YAS_OAS_SPRD","SETTLE_DT",Company_desc!$A$2))</f>
        <v/>
      </c>
      <c r="Y700" s="80">
        <f>IF($A700="","",N700-_xll.BDP($A700&amp;" Corp","YAS_OAS_SPRD","SETTLE_DT",Company_desc!$D$1))</f>
        <v/>
      </c>
      <c r="Z700" s="82">
        <f>IF($A700="","",K700-_xll.BDP($A700&amp;" Corp","YAS_BOND_YLD","YAS_YLD_FLAG=15","SETTLE_DT",Company_desc!$D$1))</f>
        <v/>
      </c>
      <c r="AA700" s="80">
        <f>IF($A700="","",_xll.BDP($A700&amp;" Corp","YAS_OAS_SPRD","SETTLE_DT",Company_desc!$D$1))</f>
        <v/>
      </c>
    </row>
    <row r="701">
      <c r="B701" s="75">
        <f>IF($A701="","",IFERROR(INDEX(Sheet1!$B:$B,MATCH($A701,Sheet1!$A:$A,0)),""))</f>
        <v/>
      </c>
      <c r="C701" s="75">
        <f>IF($A701="","",PROPER(_xll.BDP($A701&amp;" Corp","NAME")))</f>
        <v/>
      </c>
      <c r="D701" s="76">
        <f>IF($A701="","",_xll.BDP($A701&amp;" Corp","CPN"))</f>
        <v/>
      </c>
      <c r="E701" s="75">
        <f>IF($A701="","",_xll.BDP($A701&amp;" Corp","PAYMENT_RANK"))</f>
        <v/>
      </c>
      <c r="F701" s="100">
        <f>IF($A701="","",_xll.BDP($A701&amp;" Corp","MATURITY"))</f>
        <v/>
      </c>
      <c r="G701" s="75">
        <f>IF($A701="","",PROPER(_xll.BDP($A701&amp;" Corp","COUNTRY_FULL_NAME")))</f>
        <v/>
      </c>
      <c r="H701" s="75">
        <f>IF($A701="","",_xll.BDP($A701&amp;" Corp","INDUSTRY_SECTOR"))</f>
        <v/>
      </c>
      <c r="I701" s="101">
        <f>IF($A701="","",IFERROR(_xll.BDP($A701&amp;" Corp","MIN_PIECE")/1000,""))</f>
        <v/>
      </c>
      <c r="J701" s="31">
        <f>IF($A701="","",_xll.BDP($A701&amp;" Corp","PX_LAST"))</f>
        <v/>
      </c>
      <c r="K701" s="31">
        <f>IF($A701="","",_xll.BDP($A701&amp;" Corp","YAS_BOND_YLD","YAS_YLD_FLAG=15"))</f>
        <v/>
      </c>
      <c r="L701" s="31">
        <f>IF($A701="","",K701-_xll.BDP($A701&amp;" Corp","YAS_BOND_YLD","YAS_YLD_FLAG=15","SETTLE_DT",Company_desc!$A$1))</f>
        <v/>
      </c>
      <c r="M701" s="31">
        <f>IF($A701="","",K701-_xll.BDP($A701&amp;" Corp","YAS_BOND_YLD","YAS_YLD_FLAG=15","SETTLE_DT",Company_desc!$A$2))</f>
        <v/>
      </c>
      <c r="N701" s="79">
        <f>IF($A701="","",_xll.BDP($A701&amp;" Corp","YAS_OAS_SPRD"))</f>
        <v/>
      </c>
      <c r="O701" s="67">
        <f>IF($A701="","",_xll.BDP($A701&amp;" Corp","YAS_MOD_DUR"))</f>
        <v/>
      </c>
      <c r="P701" s="80">
        <f>IF($A701="","",IFERROR(INDEX(Sheet1!$P:$P,MATCH($A701,Sheet1!$A:$A,0)),""))</f>
        <v/>
      </c>
      <c r="Q701" s="75">
        <f>IF($A701="","",IFERROR(INDEX(Company_desc!$C:$C,MATCH($A701,Company_desc!$A:$A,0)),IFERROR(INDEX(Sheet1!$Q:$Q,MATCH($A701,Sheet1!$A:$A,0)),"")))</f>
        <v/>
      </c>
      <c r="R701" s="75">
        <f>IF($A701="","",_xll.BDP($A701&amp;" Corp","CRNCY"))</f>
        <v/>
      </c>
      <c r="S701" s="75">
        <f>IF($A701="","",IFERROR(INDEX(Sheet1!$S:$S,MATCH($A701,Sheet1!$A:$A,0)),""))</f>
        <v/>
      </c>
      <c r="T701" s="75">
        <f>IF($A701="","",IFERROR(INDEX(Sheet1!$T:$T,MATCH($A701,Sheet1!$A:$A,0)),_xll.BDP($A701&amp;" Corp","RTG_SP")))</f>
        <v/>
      </c>
      <c r="U701" s="75">
        <f>IF($A701="","",IFERROR(INDEX(Sheet1!$U:$U,MATCH($A701,Sheet1!$A:$A,0)),""))</f>
        <v/>
      </c>
      <c r="W701" s="81">
        <f>IF($A701="","",N701-_xll.BDP($A701&amp;" Corp","YAS_OAS_SPRD","SETTLE_DT",Company_desc!$A$1))</f>
        <v/>
      </c>
      <c r="X701" s="81">
        <f>IF($A701="","",N701-_xll.BDP($A701&amp;" Corp","YAS_OAS_SPRD","SETTLE_DT",Company_desc!$A$2))</f>
        <v/>
      </c>
      <c r="Y701" s="80">
        <f>IF($A701="","",N701-_xll.BDP($A701&amp;" Corp","YAS_OAS_SPRD","SETTLE_DT",Company_desc!$D$1))</f>
        <v/>
      </c>
      <c r="Z701" s="82">
        <f>IF($A701="","",K701-_xll.BDP($A701&amp;" Corp","YAS_BOND_YLD","YAS_YLD_FLAG=15","SETTLE_DT",Company_desc!$D$1))</f>
        <v/>
      </c>
      <c r="AA701" s="80">
        <f>IF($A701="","",_xll.BDP($A701&amp;" Corp","YAS_OAS_SPRD","SETTLE_DT",Company_desc!$D$1))</f>
        <v/>
      </c>
    </row>
    <row r="702">
      <c r="B702" s="75">
        <f>IF($A702="","",IFERROR(INDEX(Sheet1!$B:$B,MATCH($A702,Sheet1!$A:$A,0)),""))</f>
        <v/>
      </c>
      <c r="C702" s="75">
        <f>IF($A702="","",PROPER(_xll.BDP($A702&amp;" Corp","NAME")))</f>
        <v/>
      </c>
      <c r="D702" s="76">
        <f>IF($A702="","",_xll.BDP($A702&amp;" Corp","CPN"))</f>
        <v/>
      </c>
      <c r="E702" s="75">
        <f>IF($A702="","",_xll.BDP($A702&amp;" Corp","PAYMENT_RANK"))</f>
        <v/>
      </c>
      <c r="F702" s="100">
        <f>IF($A702="","",_xll.BDP($A702&amp;" Corp","MATURITY"))</f>
        <v/>
      </c>
      <c r="G702" s="75">
        <f>IF($A702="","",PROPER(_xll.BDP($A702&amp;" Corp","COUNTRY_FULL_NAME")))</f>
        <v/>
      </c>
      <c r="H702" s="75">
        <f>IF($A702="","",_xll.BDP($A702&amp;" Corp","INDUSTRY_SECTOR"))</f>
        <v/>
      </c>
      <c r="I702" s="101">
        <f>IF($A702="","",IFERROR(_xll.BDP($A702&amp;" Corp","MIN_PIECE")/1000,""))</f>
        <v/>
      </c>
      <c r="J702" s="31">
        <f>IF($A702="","",_xll.BDP($A702&amp;" Corp","PX_LAST"))</f>
        <v/>
      </c>
      <c r="K702" s="31">
        <f>IF($A702="","",_xll.BDP($A702&amp;" Corp","YAS_BOND_YLD","YAS_YLD_FLAG=15"))</f>
        <v/>
      </c>
      <c r="L702" s="31">
        <f>IF($A702="","",K702-_xll.BDP($A702&amp;" Corp","YAS_BOND_YLD","YAS_YLD_FLAG=15","SETTLE_DT",Company_desc!$A$1))</f>
        <v/>
      </c>
      <c r="M702" s="31">
        <f>IF($A702="","",K702-_xll.BDP($A702&amp;" Corp","YAS_BOND_YLD","YAS_YLD_FLAG=15","SETTLE_DT",Company_desc!$A$2))</f>
        <v/>
      </c>
      <c r="N702" s="79">
        <f>IF($A702="","",_xll.BDP($A702&amp;" Corp","YAS_OAS_SPRD"))</f>
        <v/>
      </c>
      <c r="O702" s="67">
        <f>IF($A702="","",_xll.BDP($A702&amp;" Corp","YAS_MOD_DUR"))</f>
        <v/>
      </c>
      <c r="P702" s="80">
        <f>IF($A702="","",IFERROR(INDEX(Sheet1!$P:$P,MATCH($A702,Sheet1!$A:$A,0)),""))</f>
        <v/>
      </c>
      <c r="Q702" s="75">
        <f>IF($A702="","",IFERROR(INDEX(Company_desc!$C:$C,MATCH($A702,Company_desc!$A:$A,0)),IFERROR(INDEX(Sheet1!$Q:$Q,MATCH($A702,Sheet1!$A:$A,0)),"")))</f>
        <v/>
      </c>
      <c r="R702" s="75">
        <f>IF($A702="","",_xll.BDP($A702&amp;" Corp","CRNCY"))</f>
        <v/>
      </c>
      <c r="S702" s="75">
        <f>IF($A702="","",IFERROR(INDEX(Sheet1!$S:$S,MATCH($A702,Sheet1!$A:$A,0)),""))</f>
        <v/>
      </c>
      <c r="T702" s="75">
        <f>IF($A702="","",IFERROR(INDEX(Sheet1!$T:$T,MATCH($A702,Sheet1!$A:$A,0)),_xll.BDP($A702&amp;" Corp","RTG_SP")))</f>
        <v/>
      </c>
      <c r="U702" s="75">
        <f>IF($A702="","",IFERROR(INDEX(Sheet1!$U:$U,MATCH($A702,Sheet1!$A:$A,0)),""))</f>
        <v/>
      </c>
      <c r="W702" s="81">
        <f>IF($A702="","",N702-_xll.BDP($A702&amp;" Corp","YAS_OAS_SPRD","SETTLE_DT",Company_desc!$A$1))</f>
        <v/>
      </c>
      <c r="X702" s="81">
        <f>IF($A702="","",N702-_xll.BDP($A702&amp;" Corp","YAS_OAS_SPRD","SETTLE_DT",Company_desc!$A$2))</f>
        <v/>
      </c>
      <c r="Y702" s="80">
        <f>IF($A702="","",N702-_xll.BDP($A702&amp;" Corp","YAS_OAS_SPRD","SETTLE_DT",Company_desc!$D$1))</f>
        <v/>
      </c>
      <c r="Z702" s="82">
        <f>IF($A702="","",K702-_xll.BDP($A702&amp;" Corp","YAS_BOND_YLD","YAS_YLD_FLAG=15","SETTLE_DT",Company_desc!$D$1))</f>
        <v/>
      </c>
      <c r="AA702" s="80">
        <f>IF($A702="","",_xll.BDP($A702&amp;" Corp","YAS_OAS_SPRD","SETTLE_DT",Company_desc!$D$1))</f>
        <v/>
      </c>
    </row>
    <row r="703">
      <c r="B703" s="75">
        <f>IF($A703="","",IFERROR(INDEX(Sheet1!$B:$B,MATCH($A703,Sheet1!$A:$A,0)),""))</f>
        <v/>
      </c>
      <c r="C703" s="75">
        <f>IF($A703="","",PROPER(_xll.BDP($A703&amp;" Corp","NAME")))</f>
        <v/>
      </c>
      <c r="D703" s="76">
        <f>IF($A703="","",_xll.BDP($A703&amp;" Corp","CPN"))</f>
        <v/>
      </c>
      <c r="E703" s="75">
        <f>IF($A703="","",_xll.BDP($A703&amp;" Corp","PAYMENT_RANK"))</f>
        <v/>
      </c>
      <c r="F703" s="100">
        <f>IF($A703="","",_xll.BDP($A703&amp;" Corp","MATURITY"))</f>
        <v/>
      </c>
      <c r="G703" s="75">
        <f>IF($A703="","",PROPER(_xll.BDP($A703&amp;" Corp","COUNTRY_FULL_NAME")))</f>
        <v/>
      </c>
      <c r="H703" s="75">
        <f>IF($A703="","",_xll.BDP($A703&amp;" Corp","INDUSTRY_SECTOR"))</f>
        <v/>
      </c>
      <c r="I703" s="101">
        <f>IF($A703="","",IFERROR(_xll.BDP($A703&amp;" Corp","MIN_PIECE")/1000,""))</f>
        <v/>
      </c>
      <c r="J703" s="31">
        <f>IF($A703="","",_xll.BDP($A703&amp;" Corp","PX_LAST"))</f>
        <v/>
      </c>
      <c r="K703" s="31">
        <f>IF($A703="","",_xll.BDP($A703&amp;" Corp","YAS_BOND_YLD","YAS_YLD_FLAG=15"))</f>
        <v/>
      </c>
      <c r="L703" s="31">
        <f>IF($A703="","",K703-_xll.BDP($A703&amp;" Corp","YAS_BOND_YLD","YAS_YLD_FLAG=15","SETTLE_DT",Company_desc!$A$1))</f>
        <v/>
      </c>
      <c r="M703" s="31">
        <f>IF($A703="","",K703-_xll.BDP($A703&amp;" Corp","YAS_BOND_YLD","YAS_YLD_FLAG=15","SETTLE_DT",Company_desc!$A$2))</f>
        <v/>
      </c>
      <c r="N703" s="79">
        <f>IF($A703="","",_xll.BDP($A703&amp;" Corp","YAS_OAS_SPRD"))</f>
        <v/>
      </c>
      <c r="O703" s="67">
        <f>IF($A703="","",_xll.BDP($A703&amp;" Corp","YAS_MOD_DUR"))</f>
        <v/>
      </c>
      <c r="P703" s="80">
        <f>IF($A703="","",IFERROR(INDEX(Sheet1!$P:$P,MATCH($A703,Sheet1!$A:$A,0)),""))</f>
        <v/>
      </c>
      <c r="Q703" s="75">
        <f>IF($A703="","",IFERROR(INDEX(Company_desc!$C:$C,MATCH($A703,Company_desc!$A:$A,0)),IFERROR(INDEX(Sheet1!$Q:$Q,MATCH($A703,Sheet1!$A:$A,0)),"")))</f>
        <v/>
      </c>
      <c r="R703" s="75">
        <f>IF($A703="","",_xll.BDP($A703&amp;" Corp","CRNCY"))</f>
        <v/>
      </c>
      <c r="S703" s="75">
        <f>IF($A703="","",IFERROR(INDEX(Sheet1!$S:$S,MATCH($A703,Sheet1!$A:$A,0)),""))</f>
        <v/>
      </c>
      <c r="T703" s="75">
        <f>IF($A703="","",IFERROR(INDEX(Sheet1!$T:$T,MATCH($A703,Sheet1!$A:$A,0)),_xll.BDP($A703&amp;" Corp","RTG_SP")))</f>
        <v/>
      </c>
      <c r="U703" s="75">
        <f>IF($A703="","",IFERROR(INDEX(Sheet1!$U:$U,MATCH($A703,Sheet1!$A:$A,0)),""))</f>
        <v/>
      </c>
      <c r="W703" s="81">
        <f>IF($A703="","",N703-_xll.BDP($A703&amp;" Corp","YAS_OAS_SPRD","SETTLE_DT",Company_desc!$A$1))</f>
        <v/>
      </c>
      <c r="X703" s="81">
        <f>IF($A703="","",N703-_xll.BDP($A703&amp;" Corp","YAS_OAS_SPRD","SETTLE_DT",Company_desc!$A$2))</f>
        <v/>
      </c>
      <c r="Y703" s="80">
        <f>IF($A703="","",N703-_xll.BDP($A703&amp;" Corp","YAS_OAS_SPRD","SETTLE_DT",Company_desc!$D$1))</f>
        <v/>
      </c>
      <c r="Z703" s="82">
        <f>IF($A703="","",K703-_xll.BDP($A703&amp;" Corp","YAS_BOND_YLD","YAS_YLD_FLAG=15","SETTLE_DT",Company_desc!$D$1))</f>
        <v/>
      </c>
      <c r="AA703" s="80">
        <f>IF($A703="","",_xll.BDP($A703&amp;" Corp","YAS_OAS_SPRD","SETTLE_DT",Company_desc!$D$1))</f>
        <v/>
      </c>
    </row>
    <row r="704">
      <c r="B704" s="75">
        <f>IF($A704="","",IFERROR(INDEX(Sheet1!$B:$B,MATCH($A704,Sheet1!$A:$A,0)),""))</f>
        <v/>
      </c>
      <c r="C704" s="75">
        <f>IF($A704="","",PROPER(_xll.BDP($A704&amp;" Corp","NAME")))</f>
        <v/>
      </c>
      <c r="D704" s="76">
        <f>IF($A704="","",_xll.BDP($A704&amp;" Corp","CPN"))</f>
        <v/>
      </c>
      <c r="E704" s="75">
        <f>IF($A704="","",_xll.BDP($A704&amp;" Corp","PAYMENT_RANK"))</f>
        <v/>
      </c>
      <c r="F704" s="100">
        <f>IF($A704="","",_xll.BDP($A704&amp;" Corp","MATURITY"))</f>
        <v/>
      </c>
      <c r="G704" s="75">
        <f>IF($A704="","",PROPER(_xll.BDP($A704&amp;" Corp","COUNTRY_FULL_NAME")))</f>
        <v/>
      </c>
      <c r="H704" s="75">
        <f>IF($A704="","",_xll.BDP($A704&amp;" Corp","INDUSTRY_SECTOR"))</f>
        <v/>
      </c>
      <c r="I704" s="101">
        <f>IF($A704="","",IFERROR(_xll.BDP($A704&amp;" Corp","MIN_PIECE")/1000,""))</f>
        <v/>
      </c>
      <c r="J704" s="31">
        <f>IF($A704="","",_xll.BDP($A704&amp;" Corp","PX_LAST"))</f>
        <v/>
      </c>
      <c r="K704" s="31">
        <f>IF($A704="","",_xll.BDP($A704&amp;" Corp","YAS_BOND_YLD","YAS_YLD_FLAG=15"))</f>
        <v/>
      </c>
      <c r="L704" s="31">
        <f>IF($A704="","",K704-_xll.BDP($A704&amp;" Corp","YAS_BOND_YLD","YAS_YLD_FLAG=15","SETTLE_DT",Company_desc!$A$1))</f>
        <v/>
      </c>
      <c r="M704" s="31">
        <f>IF($A704="","",K704-_xll.BDP($A704&amp;" Corp","YAS_BOND_YLD","YAS_YLD_FLAG=15","SETTLE_DT",Company_desc!$A$2))</f>
        <v/>
      </c>
      <c r="N704" s="79">
        <f>IF($A704="","",_xll.BDP($A704&amp;" Corp","YAS_OAS_SPRD"))</f>
        <v/>
      </c>
      <c r="O704" s="67">
        <f>IF($A704="","",_xll.BDP($A704&amp;" Corp","YAS_MOD_DUR"))</f>
        <v/>
      </c>
      <c r="P704" s="80">
        <f>IF($A704="","",IFERROR(INDEX(Sheet1!$P:$P,MATCH($A704,Sheet1!$A:$A,0)),""))</f>
        <v/>
      </c>
      <c r="Q704" s="75">
        <f>IF($A704="","",IFERROR(INDEX(Company_desc!$C:$C,MATCH($A704,Company_desc!$A:$A,0)),IFERROR(INDEX(Sheet1!$Q:$Q,MATCH($A704,Sheet1!$A:$A,0)),"")))</f>
        <v/>
      </c>
      <c r="R704" s="75">
        <f>IF($A704="","",_xll.BDP($A704&amp;" Corp","CRNCY"))</f>
        <v/>
      </c>
      <c r="S704" s="75">
        <f>IF($A704="","",IFERROR(INDEX(Sheet1!$S:$S,MATCH($A704,Sheet1!$A:$A,0)),""))</f>
        <v/>
      </c>
      <c r="T704" s="75">
        <f>IF($A704="","",IFERROR(INDEX(Sheet1!$T:$T,MATCH($A704,Sheet1!$A:$A,0)),_xll.BDP($A704&amp;" Corp","RTG_SP")))</f>
        <v/>
      </c>
      <c r="U704" s="75">
        <f>IF($A704="","",IFERROR(INDEX(Sheet1!$U:$U,MATCH($A704,Sheet1!$A:$A,0)),""))</f>
        <v/>
      </c>
      <c r="W704" s="81">
        <f>IF($A704="","",N704-_xll.BDP($A704&amp;" Corp","YAS_OAS_SPRD","SETTLE_DT",Company_desc!$A$1))</f>
        <v/>
      </c>
      <c r="X704" s="81">
        <f>IF($A704="","",N704-_xll.BDP($A704&amp;" Corp","YAS_OAS_SPRD","SETTLE_DT",Company_desc!$A$2))</f>
        <v/>
      </c>
      <c r="Y704" s="80">
        <f>IF($A704="","",N704-_xll.BDP($A704&amp;" Corp","YAS_OAS_SPRD","SETTLE_DT",Company_desc!$D$1))</f>
        <v/>
      </c>
      <c r="Z704" s="82">
        <f>IF($A704="","",K704-_xll.BDP($A704&amp;" Corp","YAS_BOND_YLD","YAS_YLD_FLAG=15","SETTLE_DT",Company_desc!$D$1))</f>
        <v/>
      </c>
      <c r="AA704" s="80">
        <f>IF($A704="","",_xll.BDP($A704&amp;" Corp","YAS_OAS_SPRD","SETTLE_DT",Company_desc!$D$1))</f>
        <v/>
      </c>
    </row>
    <row r="705">
      <c r="B705" s="75">
        <f>IF($A705="","",IFERROR(INDEX(Sheet1!$B:$B,MATCH($A705,Sheet1!$A:$A,0)),""))</f>
        <v/>
      </c>
      <c r="C705" s="75">
        <f>IF($A705="","",PROPER(_xll.BDP($A705&amp;" Corp","NAME")))</f>
        <v/>
      </c>
      <c r="D705" s="76">
        <f>IF($A705="","",_xll.BDP($A705&amp;" Corp","CPN"))</f>
        <v/>
      </c>
      <c r="E705" s="75">
        <f>IF($A705="","",_xll.BDP($A705&amp;" Corp","PAYMENT_RANK"))</f>
        <v/>
      </c>
      <c r="F705" s="100">
        <f>IF($A705="","",_xll.BDP($A705&amp;" Corp","MATURITY"))</f>
        <v/>
      </c>
      <c r="G705" s="75">
        <f>IF($A705="","",PROPER(_xll.BDP($A705&amp;" Corp","COUNTRY_FULL_NAME")))</f>
        <v/>
      </c>
      <c r="H705" s="75">
        <f>IF($A705="","",_xll.BDP($A705&amp;" Corp","INDUSTRY_SECTOR"))</f>
        <v/>
      </c>
      <c r="I705" s="101">
        <f>IF($A705="","",IFERROR(_xll.BDP($A705&amp;" Corp","MIN_PIECE")/1000,""))</f>
        <v/>
      </c>
      <c r="J705" s="31">
        <f>IF($A705="","",_xll.BDP($A705&amp;" Corp","PX_LAST"))</f>
        <v/>
      </c>
      <c r="K705" s="31">
        <f>IF($A705="","",_xll.BDP($A705&amp;" Corp","YAS_BOND_YLD","YAS_YLD_FLAG=15"))</f>
        <v/>
      </c>
      <c r="L705" s="31">
        <f>IF($A705="","",K705-_xll.BDP($A705&amp;" Corp","YAS_BOND_YLD","YAS_YLD_FLAG=15","SETTLE_DT",Company_desc!$A$1))</f>
        <v/>
      </c>
      <c r="M705" s="31">
        <f>IF($A705="","",K705-_xll.BDP($A705&amp;" Corp","YAS_BOND_YLD","YAS_YLD_FLAG=15","SETTLE_DT",Company_desc!$A$2))</f>
        <v/>
      </c>
      <c r="N705" s="79">
        <f>IF($A705="","",_xll.BDP($A705&amp;" Corp","YAS_OAS_SPRD"))</f>
        <v/>
      </c>
      <c r="O705" s="67">
        <f>IF($A705="","",_xll.BDP($A705&amp;" Corp","YAS_MOD_DUR"))</f>
        <v/>
      </c>
      <c r="P705" s="80">
        <f>IF($A705="","",IFERROR(INDEX(Sheet1!$P:$P,MATCH($A705,Sheet1!$A:$A,0)),""))</f>
        <v/>
      </c>
      <c r="Q705" s="75">
        <f>IF($A705="","",IFERROR(INDEX(Company_desc!$C:$C,MATCH($A705,Company_desc!$A:$A,0)),IFERROR(INDEX(Sheet1!$Q:$Q,MATCH($A705,Sheet1!$A:$A,0)),"")))</f>
        <v/>
      </c>
      <c r="R705" s="75">
        <f>IF($A705="","",_xll.BDP($A705&amp;" Corp","CRNCY"))</f>
        <v/>
      </c>
      <c r="S705" s="75">
        <f>IF($A705="","",IFERROR(INDEX(Sheet1!$S:$S,MATCH($A705,Sheet1!$A:$A,0)),""))</f>
        <v/>
      </c>
      <c r="T705" s="75">
        <f>IF($A705="","",IFERROR(INDEX(Sheet1!$T:$T,MATCH($A705,Sheet1!$A:$A,0)),_xll.BDP($A705&amp;" Corp","RTG_SP")))</f>
        <v/>
      </c>
      <c r="U705" s="75">
        <f>IF($A705="","",IFERROR(INDEX(Sheet1!$U:$U,MATCH($A705,Sheet1!$A:$A,0)),""))</f>
        <v/>
      </c>
      <c r="W705" s="81">
        <f>IF($A705="","",N705-_xll.BDP($A705&amp;" Corp","YAS_OAS_SPRD","SETTLE_DT",Company_desc!$A$1))</f>
        <v/>
      </c>
      <c r="X705" s="81">
        <f>IF($A705="","",N705-_xll.BDP($A705&amp;" Corp","YAS_OAS_SPRD","SETTLE_DT",Company_desc!$A$2))</f>
        <v/>
      </c>
      <c r="Y705" s="80">
        <f>IF($A705="","",N705-_xll.BDP($A705&amp;" Corp","YAS_OAS_SPRD","SETTLE_DT",Company_desc!$D$1))</f>
        <v/>
      </c>
      <c r="Z705" s="82">
        <f>IF($A705="","",K705-_xll.BDP($A705&amp;" Corp","YAS_BOND_YLD","YAS_YLD_FLAG=15","SETTLE_DT",Company_desc!$D$1))</f>
        <v/>
      </c>
      <c r="AA705" s="80">
        <f>IF($A705="","",_xll.BDP($A705&amp;" Corp","YAS_OAS_SPRD","SETTLE_DT",Company_desc!$D$1))</f>
        <v/>
      </c>
    </row>
    <row r="706">
      <c r="B706" s="75">
        <f>IF($A706="","",IFERROR(INDEX(Sheet1!$B:$B,MATCH($A706,Sheet1!$A:$A,0)),""))</f>
        <v/>
      </c>
      <c r="C706" s="75">
        <f>IF($A706="","",PROPER(_xll.BDP($A706&amp;" Corp","NAME")))</f>
        <v/>
      </c>
      <c r="D706" s="76">
        <f>IF($A706="","",_xll.BDP($A706&amp;" Corp","CPN"))</f>
        <v/>
      </c>
      <c r="E706" s="75">
        <f>IF($A706="","",_xll.BDP($A706&amp;" Corp","PAYMENT_RANK"))</f>
        <v/>
      </c>
      <c r="F706" s="100">
        <f>IF($A706="","",_xll.BDP($A706&amp;" Corp","MATURITY"))</f>
        <v/>
      </c>
      <c r="G706" s="75">
        <f>IF($A706="","",PROPER(_xll.BDP($A706&amp;" Corp","COUNTRY_FULL_NAME")))</f>
        <v/>
      </c>
      <c r="H706" s="75">
        <f>IF($A706="","",_xll.BDP($A706&amp;" Corp","INDUSTRY_SECTOR"))</f>
        <v/>
      </c>
      <c r="I706" s="101">
        <f>IF($A706="","",IFERROR(_xll.BDP($A706&amp;" Corp","MIN_PIECE")/1000,""))</f>
        <v/>
      </c>
      <c r="J706" s="31">
        <f>IF($A706="","",_xll.BDP($A706&amp;" Corp","PX_LAST"))</f>
        <v/>
      </c>
      <c r="K706" s="31">
        <f>IF($A706="","",_xll.BDP($A706&amp;" Corp","YAS_BOND_YLD","YAS_YLD_FLAG=15"))</f>
        <v/>
      </c>
      <c r="L706" s="31">
        <f>IF($A706="","",K706-_xll.BDP($A706&amp;" Corp","YAS_BOND_YLD","YAS_YLD_FLAG=15","SETTLE_DT",Company_desc!$A$1))</f>
        <v/>
      </c>
      <c r="M706" s="31">
        <f>IF($A706="","",K706-_xll.BDP($A706&amp;" Corp","YAS_BOND_YLD","YAS_YLD_FLAG=15","SETTLE_DT",Company_desc!$A$2))</f>
        <v/>
      </c>
      <c r="N706" s="79">
        <f>IF($A706="","",_xll.BDP($A706&amp;" Corp","YAS_OAS_SPRD"))</f>
        <v/>
      </c>
      <c r="O706" s="67">
        <f>IF($A706="","",_xll.BDP($A706&amp;" Corp","YAS_MOD_DUR"))</f>
        <v/>
      </c>
      <c r="P706" s="80">
        <f>IF($A706="","",IFERROR(INDEX(Sheet1!$P:$P,MATCH($A706,Sheet1!$A:$A,0)),""))</f>
        <v/>
      </c>
      <c r="Q706" s="75">
        <f>IF($A706="","",IFERROR(INDEX(Company_desc!$C:$C,MATCH($A706,Company_desc!$A:$A,0)),IFERROR(INDEX(Sheet1!$Q:$Q,MATCH($A706,Sheet1!$A:$A,0)),"")))</f>
        <v/>
      </c>
      <c r="R706" s="75">
        <f>IF($A706="","",_xll.BDP($A706&amp;" Corp","CRNCY"))</f>
        <v/>
      </c>
      <c r="S706" s="75">
        <f>IF($A706="","",IFERROR(INDEX(Sheet1!$S:$S,MATCH($A706,Sheet1!$A:$A,0)),""))</f>
        <v/>
      </c>
      <c r="T706" s="75">
        <f>IF($A706="","",IFERROR(INDEX(Sheet1!$T:$T,MATCH($A706,Sheet1!$A:$A,0)),_xll.BDP($A706&amp;" Corp","RTG_SP")))</f>
        <v/>
      </c>
      <c r="U706" s="75">
        <f>IF($A706="","",IFERROR(INDEX(Sheet1!$U:$U,MATCH($A706,Sheet1!$A:$A,0)),""))</f>
        <v/>
      </c>
      <c r="W706" s="81">
        <f>IF($A706="","",N706-_xll.BDP($A706&amp;" Corp","YAS_OAS_SPRD","SETTLE_DT",Company_desc!$A$1))</f>
        <v/>
      </c>
      <c r="X706" s="81">
        <f>IF($A706="","",N706-_xll.BDP($A706&amp;" Corp","YAS_OAS_SPRD","SETTLE_DT",Company_desc!$A$2))</f>
        <v/>
      </c>
      <c r="Y706" s="80">
        <f>IF($A706="","",N706-_xll.BDP($A706&amp;" Corp","YAS_OAS_SPRD","SETTLE_DT",Company_desc!$D$1))</f>
        <v/>
      </c>
      <c r="Z706" s="82">
        <f>IF($A706="","",K706-_xll.BDP($A706&amp;" Corp","YAS_BOND_YLD","YAS_YLD_FLAG=15","SETTLE_DT",Company_desc!$D$1))</f>
        <v/>
      </c>
      <c r="AA706" s="80">
        <f>IF($A706="","",_xll.BDP($A706&amp;" Corp","YAS_OAS_SPRD","SETTLE_DT",Company_desc!$D$1))</f>
        <v/>
      </c>
    </row>
    <row r="707">
      <c r="B707" s="75">
        <f>IF($A707="","",IFERROR(INDEX(Sheet1!$B:$B,MATCH($A707,Sheet1!$A:$A,0)),""))</f>
        <v/>
      </c>
      <c r="C707" s="75">
        <f>IF($A707="","",PROPER(_xll.BDP($A707&amp;" Corp","NAME")))</f>
        <v/>
      </c>
      <c r="D707" s="76">
        <f>IF($A707="","",_xll.BDP($A707&amp;" Corp","CPN"))</f>
        <v/>
      </c>
      <c r="E707" s="75">
        <f>IF($A707="","",_xll.BDP($A707&amp;" Corp","PAYMENT_RANK"))</f>
        <v/>
      </c>
      <c r="F707" s="100">
        <f>IF($A707="","",_xll.BDP($A707&amp;" Corp","MATURITY"))</f>
        <v/>
      </c>
      <c r="G707" s="75">
        <f>IF($A707="","",PROPER(_xll.BDP($A707&amp;" Corp","COUNTRY_FULL_NAME")))</f>
        <v/>
      </c>
      <c r="H707" s="75">
        <f>IF($A707="","",_xll.BDP($A707&amp;" Corp","INDUSTRY_SECTOR"))</f>
        <v/>
      </c>
      <c r="I707" s="101">
        <f>IF($A707="","",IFERROR(_xll.BDP($A707&amp;" Corp","MIN_PIECE")/1000,""))</f>
        <v/>
      </c>
      <c r="J707" s="31">
        <f>IF($A707="","",_xll.BDP($A707&amp;" Corp","PX_LAST"))</f>
        <v/>
      </c>
      <c r="K707" s="31">
        <f>IF($A707="","",_xll.BDP($A707&amp;" Corp","YAS_BOND_YLD","YAS_YLD_FLAG=15"))</f>
        <v/>
      </c>
      <c r="L707" s="31">
        <f>IF($A707="","",K707-_xll.BDP($A707&amp;" Corp","YAS_BOND_YLD","YAS_YLD_FLAG=15","SETTLE_DT",Company_desc!$A$1))</f>
        <v/>
      </c>
      <c r="M707" s="31">
        <f>IF($A707="","",K707-_xll.BDP($A707&amp;" Corp","YAS_BOND_YLD","YAS_YLD_FLAG=15","SETTLE_DT",Company_desc!$A$2))</f>
        <v/>
      </c>
      <c r="N707" s="79">
        <f>IF($A707="","",_xll.BDP($A707&amp;" Corp","YAS_OAS_SPRD"))</f>
        <v/>
      </c>
      <c r="O707" s="67">
        <f>IF($A707="","",_xll.BDP($A707&amp;" Corp","YAS_MOD_DUR"))</f>
        <v/>
      </c>
      <c r="P707" s="80">
        <f>IF($A707="","",IFERROR(INDEX(Sheet1!$P:$P,MATCH($A707,Sheet1!$A:$A,0)),""))</f>
        <v/>
      </c>
      <c r="Q707" s="75">
        <f>IF($A707="","",IFERROR(INDEX(Company_desc!$C:$C,MATCH($A707,Company_desc!$A:$A,0)),IFERROR(INDEX(Sheet1!$Q:$Q,MATCH($A707,Sheet1!$A:$A,0)),"")))</f>
        <v/>
      </c>
      <c r="R707" s="75">
        <f>IF($A707="","",_xll.BDP($A707&amp;" Corp","CRNCY"))</f>
        <v/>
      </c>
      <c r="S707" s="75">
        <f>IF($A707="","",IFERROR(INDEX(Sheet1!$S:$S,MATCH($A707,Sheet1!$A:$A,0)),""))</f>
        <v/>
      </c>
      <c r="T707" s="75">
        <f>IF($A707="","",IFERROR(INDEX(Sheet1!$T:$T,MATCH($A707,Sheet1!$A:$A,0)),_xll.BDP($A707&amp;" Corp","RTG_SP")))</f>
        <v/>
      </c>
      <c r="U707" s="75">
        <f>IF($A707="","",IFERROR(INDEX(Sheet1!$U:$U,MATCH($A707,Sheet1!$A:$A,0)),""))</f>
        <v/>
      </c>
      <c r="W707" s="81">
        <f>IF($A707="","",N707-_xll.BDP($A707&amp;" Corp","YAS_OAS_SPRD","SETTLE_DT",Company_desc!$A$1))</f>
        <v/>
      </c>
      <c r="X707" s="81">
        <f>IF($A707="","",N707-_xll.BDP($A707&amp;" Corp","YAS_OAS_SPRD","SETTLE_DT",Company_desc!$A$2))</f>
        <v/>
      </c>
      <c r="Y707" s="80">
        <f>IF($A707="","",N707-_xll.BDP($A707&amp;" Corp","YAS_OAS_SPRD","SETTLE_DT",Company_desc!$D$1))</f>
        <v/>
      </c>
      <c r="Z707" s="82">
        <f>IF($A707="","",K707-_xll.BDP($A707&amp;" Corp","YAS_BOND_YLD","YAS_YLD_FLAG=15","SETTLE_DT",Company_desc!$D$1))</f>
        <v/>
      </c>
      <c r="AA707" s="80">
        <f>IF($A707="","",_xll.BDP($A707&amp;" Corp","YAS_OAS_SPRD","SETTLE_DT",Company_desc!$D$1))</f>
        <v/>
      </c>
    </row>
    <row r="708">
      <c r="B708" s="75">
        <f>IF($A708="","",IFERROR(INDEX(Sheet1!$B:$B,MATCH($A708,Sheet1!$A:$A,0)),""))</f>
        <v/>
      </c>
      <c r="C708" s="75">
        <f>IF($A708="","",PROPER(_xll.BDP($A708&amp;" Corp","NAME")))</f>
        <v/>
      </c>
      <c r="D708" s="76">
        <f>IF($A708="","",_xll.BDP($A708&amp;" Corp","CPN"))</f>
        <v/>
      </c>
      <c r="E708" s="75">
        <f>IF($A708="","",_xll.BDP($A708&amp;" Corp","PAYMENT_RANK"))</f>
        <v/>
      </c>
      <c r="F708" s="100">
        <f>IF($A708="","",_xll.BDP($A708&amp;" Corp","MATURITY"))</f>
        <v/>
      </c>
      <c r="G708" s="75">
        <f>IF($A708="","",PROPER(_xll.BDP($A708&amp;" Corp","COUNTRY_FULL_NAME")))</f>
        <v/>
      </c>
      <c r="H708" s="75">
        <f>IF($A708="","",_xll.BDP($A708&amp;" Corp","INDUSTRY_SECTOR"))</f>
        <v/>
      </c>
      <c r="I708" s="101">
        <f>IF($A708="","",IFERROR(_xll.BDP($A708&amp;" Corp","MIN_PIECE")/1000,""))</f>
        <v/>
      </c>
      <c r="J708" s="31">
        <f>IF($A708="","",_xll.BDP($A708&amp;" Corp","PX_LAST"))</f>
        <v/>
      </c>
      <c r="K708" s="31">
        <f>IF($A708="","",_xll.BDP($A708&amp;" Corp","YAS_BOND_YLD","YAS_YLD_FLAG=15"))</f>
        <v/>
      </c>
      <c r="L708" s="31">
        <f>IF($A708="","",K708-_xll.BDP($A708&amp;" Corp","YAS_BOND_YLD","YAS_YLD_FLAG=15","SETTLE_DT",Company_desc!$A$1))</f>
        <v/>
      </c>
      <c r="M708" s="31">
        <f>IF($A708="","",K708-_xll.BDP($A708&amp;" Corp","YAS_BOND_YLD","YAS_YLD_FLAG=15","SETTLE_DT",Company_desc!$A$2))</f>
        <v/>
      </c>
      <c r="N708" s="79">
        <f>IF($A708="","",_xll.BDP($A708&amp;" Corp","YAS_OAS_SPRD"))</f>
        <v/>
      </c>
      <c r="O708" s="67">
        <f>IF($A708="","",_xll.BDP($A708&amp;" Corp","YAS_MOD_DUR"))</f>
        <v/>
      </c>
      <c r="P708" s="80">
        <f>IF($A708="","",IFERROR(INDEX(Sheet1!$P:$P,MATCH($A708,Sheet1!$A:$A,0)),""))</f>
        <v/>
      </c>
      <c r="Q708" s="75">
        <f>IF($A708="","",IFERROR(INDEX(Company_desc!$C:$C,MATCH($A708,Company_desc!$A:$A,0)),IFERROR(INDEX(Sheet1!$Q:$Q,MATCH($A708,Sheet1!$A:$A,0)),"")))</f>
        <v/>
      </c>
      <c r="R708" s="75">
        <f>IF($A708="","",_xll.BDP($A708&amp;" Corp","CRNCY"))</f>
        <v/>
      </c>
      <c r="S708" s="75">
        <f>IF($A708="","",IFERROR(INDEX(Sheet1!$S:$S,MATCH($A708,Sheet1!$A:$A,0)),""))</f>
        <v/>
      </c>
      <c r="T708" s="75">
        <f>IF($A708="","",IFERROR(INDEX(Sheet1!$T:$T,MATCH($A708,Sheet1!$A:$A,0)),_xll.BDP($A708&amp;" Corp","RTG_SP")))</f>
        <v/>
      </c>
      <c r="U708" s="75">
        <f>IF($A708="","",IFERROR(INDEX(Sheet1!$U:$U,MATCH($A708,Sheet1!$A:$A,0)),""))</f>
        <v/>
      </c>
      <c r="W708" s="81">
        <f>IF($A708="","",N708-_xll.BDP($A708&amp;" Corp","YAS_OAS_SPRD","SETTLE_DT",Company_desc!$A$1))</f>
        <v/>
      </c>
      <c r="X708" s="81">
        <f>IF($A708="","",N708-_xll.BDP($A708&amp;" Corp","YAS_OAS_SPRD","SETTLE_DT",Company_desc!$A$2))</f>
        <v/>
      </c>
      <c r="Y708" s="80">
        <f>IF($A708="","",N708-_xll.BDP($A708&amp;" Corp","YAS_OAS_SPRD","SETTLE_DT",Company_desc!$D$1))</f>
        <v/>
      </c>
      <c r="Z708" s="82">
        <f>IF($A708="","",K708-_xll.BDP($A708&amp;" Corp","YAS_BOND_YLD","YAS_YLD_FLAG=15","SETTLE_DT",Company_desc!$D$1))</f>
        <v/>
      </c>
      <c r="AA708" s="80">
        <f>IF($A708="","",_xll.BDP($A708&amp;" Corp","YAS_OAS_SPRD","SETTLE_DT",Company_desc!$D$1))</f>
        <v/>
      </c>
    </row>
    <row r="709">
      <c r="B709" s="75">
        <f>IF($A709="","",IFERROR(INDEX(Sheet1!$B:$B,MATCH($A709,Sheet1!$A:$A,0)),""))</f>
        <v/>
      </c>
      <c r="C709" s="75">
        <f>IF($A709="","",PROPER(_xll.BDP($A709&amp;" Corp","NAME")))</f>
        <v/>
      </c>
      <c r="D709" s="76">
        <f>IF($A709="","",_xll.BDP($A709&amp;" Corp","CPN"))</f>
        <v/>
      </c>
      <c r="E709" s="75">
        <f>IF($A709="","",_xll.BDP($A709&amp;" Corp","PAYMENT_RANK"))</f>
        <v/>
      </c>
      <c r="F709" s="100">
        <f>IF($A709="","",_xll.BDP($A709&amp;" Corp","MATURITY"))</f>
        <v/>
      </c>
      <c r="G709" s="75">
        <f>IF($A709="","",PROPER(_xll.BDP($A709&amp;" Corp","COUNTRY_FULL_NAME")))</f>
        <v/>
      </c>
      <c r="H709" s="75">
        <f>IF($A709="","",_xll.BDP($A709&amp;" Corp","INDUSTRY_SECTOR"))</f>
        <v/>
      </c>
      <c r="I709" s="101">
        <f>IF($A709="","",IFERROR(_xll.BDP($A709&amp;" Corp","MIN_PIECE")/1000,""))</f>
        <v/>
      </c>
      <c r="J709" s="31">
        <f>IF($A709="","",_xll.BDP($A709&amp;" Corp","PX_LAST"))</f>
        <v/>
      </c>
      <c r="K709" s="31">
        <f>IF($A709="","",_xll.BDP($A709&amp;" Corp","YAS_BOND_YLD","YAS_YLD_FLAG=15"))</f>
        <v/>
      </c>
      <c r="L709" s="31">
        <f>IF($A709="","",K709-_xll.BDP($A709&amp;" Corp","YAS_BOND_YLD","YAS_YLD_FLAG=15","SETTLE_DT",Company_desc!$A$1))</f>
        <v/>
      </c>
      <c r="M709" s="31">
        <f>IF($A709="","",K709-_xll.BDP($A709&amp;" Corp","YAS_BOND_YLD","YAS_YLD_FLAG=15","SETTLE_DT",Company_desc!$A$2))</f>
        <v/>
      </c>
      <c r="N709" s="79">
        <f>IF($A709="","",_xll.BDP($A709&amp;" Corp","YAS_OAS_SPRD"))</f>
        <v/>
      </c>
      <c r="O709" s="82">
        <f>IF($A709="","",_xll.BDP($A709&amp;" Corp","YAS_MOD_DUR"))</f>
        <v/>
      </c>
      <c r="P709" s="80">
        <f>IF($A709="","",IFERROR(INDEX(Sheet1!$P:$P,MATCH($A709,Sheet1!$A:$A,0)),""))</f>
        <v/>
      </c>
      <c r="Q709" s="75">
        <f>IF($A709="","",IFERROR(INDEX(Company_desc!$C:$C,MATCH($A709,Company_desc!$A:$A,0)),IFERROR(INDEX(Sheet1!$Q:$Q,MATCH($A709,Sheet1!$A:$A,0)),"")))</f>
        <v/>
      </c>
      <c r="R709" s="75">
        <f>IF($A709="","",_xll.BDP($A709&amp;" Corp","CRNCY"))</f>
        <v/>
      </c>
      <c r="S709" s="75">
        <f>IF($A709="","",IFERROR(INDEX(Sheet1!$S:$S,MATCH($A709,Sheet1!$A:$A,0)),""))</f>
        <v/>
      </c>
      <c r="T709" s="75">
        <f>IF($A709="","",IFERROR(INDEX(Sheet1!$T:$T,MATCH($A709,Sheet1!$A:$A,0)),_xll.BDP($A709&amp;" Corp","RTG_SP")))</f>
        <v/>
      </c>
      <c r="U709" s="75">
        <f>IF($A709="","",IFERROR(INDEX(Sheet1!$U:$U,MATCH($A709,Sheet1!$A:$A,0)),""))</f>
        <v/>
      </c>
      <c r="W709" s="81">
        <f>IF($A709="","",N709-_xll.BDP($A709&amp;" Corp","YAS_OAS_SPRD","SETTLE_DT",Company_desc!$A$1))</f>
        <v/>
      </c>
      <c r="X709" s="81">
        <f>IF($A709="","",N709-_xll.BDP($A709&amp;" Corp","YAS_OAS_SPRD","SETTLE_DT",Company_desc!$A$2))</f>
        <v/>
      </c>
      <c r="Y709" s="80">
        <f>IF($A709="","",N709-_xll.BDP($A709&amp;" Corp","YAS_OAS_SPRD","SETTLE_DT",Company_desc!$D$1))</f>
        <v/>
      </c>
      <c r="Z709" s="82">
        <f>IF($A709="","",K709-_xll.BDP($A709&amp;" Corp","YAS_BOND_YLD","YAS_YLD_FLAG=15","SETTLE_DT",Company_desc!$D$1))</f>
        <v/>
      </c>
      <c r="AA709" s="80">
        <f>IF($A709="","",_xll.BDP($A709&amp;" Corp","YAS_OAS_SPRD","SETTLE_DT",Company_desc!$D$1))</f>
        <v/>
      </c>
    </row>
    <row r="710">
      <c r="B710" s="75">
        <f>IF($A710="","",IFERROR(INDEX(Sheet1!$B:$B,MATCH($A710,Sheet1!$A:$A,0)),""))</f>
        <v/>
      </c>
      <c r="C710" s="75">
        <f>IF($A710="","",PROPER(_xll.BDP($A710&amp;" Corp","NAME")))</f>
        <v/>
      </c>
      <c r="D710" s="76">
        <f>IF($A710="","",_xll.BDP($A710&amp;" Corp","CPN"))</f>
        <v/>
      </c>
      <c r="E710" s="75">
        <f>IF($A710="","",_xll.BDP($A710&amp;" Corp","PAYMENT_RANK"))</f>
        <v/>
      </c>
      <c r="F710" s="100">
        <f>IF($A710="","",_xll.BDP($A710&amp;" Corp","MATURITY"))</f>
        <v/>
      </c>
      <c r="G710" s="75">
        <f>IF($A710="","",PROPER(_xll.BDP($A710&amp;" Corp","COUNTRY_FULL_NAME")))</f>
        <v/>
      </c>
      <c r="H710" s="75">
        <f>IF($A710="","",_xll.BDP($A710&amp;" Corp","INDUSTRY_SECTOR"))</f>
        <v/>
      </c>
      <c r="I710" s="101">
        <f>IF($A710="","",IFERROR(_xll.BDP($A710&amp;" Corp","MIN_PIECE")/1000,""))</f>
        <v/>
      </c>
      <c r="J710" s="31">
        <f>IF($A710="","",_xll.BDP($A710&amp;" Corp","PX_LAST"))</f>
        <v/>
      </c>
      <c r="K710" s="31">
        <f>IF($A710="","",_xll.BDP($A710&amp;" Corp","YAS_BOND_YLD","YAS_YLD_FLAG=15"))</f>
        <v/>
      </c>
      <c r="L710" s="31">
        <f>IF($A710="","",K710-_xll.BDP($A710&amp;" Corp","YAS_BOND_YLD","YAS_YLD_FLAG=15","SETTLE_DT",Company_desc!$A$1))</f>
        <v/>
      </c>
      <c r="M710" s="31">
        <f>IF($A710="","",K710-_xll.BDP($A710&amp;" Corp","YAS_BOND_YLD","YAS_YLD_FLAG=15","SETTLE_DT",Company_desc!$A$2))</f>
        <v/>
      </c>
      <c r="N710" s="79">
        <f>IF($A710="","",_xll.BDP($A710&amp;" Corp","YAS_OAS_SPRD"))</f>
        <v/>
      </c>
      <c r="O710" s="67">
        <f>IF($A710="","",_xll.BDP($A710&amp;" Corp","YAS_MOD_DUR"))</f>
        <v/>
      </c>
      <c r="P710" s="80">
        <f>IF($A710="","",IFERROR(INDEX(Sheet1!$P:$P,MATCH($A710,Sheet1!$A:$A,0)),""))</f>
        <v/>
      </c>
      <c r="Q710" s="75">
        <f>IF($A710="","",IFERROR(INDEX(Company_desc!$C:$C,MATCH($A710,Company_desc!$A:$A,0)),IFERROR(INDEX(Sheet1!$Q:$Q,MATCH($A710,Sheet1!$A:$A,0)),"")))</f>
        <v/>
      </c>
      <c r="R710" s="75">
        <f>IF($A710="","",_xll.BDP($A710&amp;" Corp","CRNCY"))</f>
        <v/>
      </c>
      <c r="S710" s="75">
        <f>IF($A710="","",IFERROR(INDEX(Sheet1!$S:$S,MATCH($A710,Sheet1!$A:$A,0)),""))</f>
        <v/>
      </c>
      <c r="T710" s="75">
        <f>IF($A710="","",IFERROR(INDEX(Sheet1!$T:$T,MATCH($A710,Sheet1!$A:$A,0)),_xll.BDP($A710&amp;" Corp","RTG_SP")))</f>
        <v/>
      </c>
      <c r="U710" s="75">
        <f>IF($A710="","",IFERROR(INDEX(Sheet1!$U:$U,MATCH($A710,Sheet1!$A:$A,0)),""))</f>
        <v/>
      </c>
      <c r="W710" s="81">
        <f>IF($A710="","",N710-_xll.BDP($A710&amp;" Corp","YAS_OAS_SPRD","SETTLE_DT",Company_desc!$A$1))</f>
        <v/>
      </c>
      <c r="X710" s="81">
        <f>IF($A710="","",N710-_xll.BDP($A710&amp;" Corp","YAS_OAS_SPRD","SETTLE_DT",Company_desc!$A$2))</f>
        <v/>
      </c>
      <c r="Y710" s="80">
        <f>IF($A710="","",N710-_xll.BDP($A710&amp;" Corp","YAS_OAS_SPRD","SETTLE_DT",Company_desc!$D$1))</f>
        <v/>
      </c>
      <c r="Z710" s="82">
        <f>IF($A710="","",K710-_xll.BDP($A710&amp;" Corp","YAS_BOND_YLD","YAS_YLD_FLAG=15","SETTLE_DT",Company_desc!$D$1))</f>
        <v/>
      </c>
      <c r="AA710" s="80">
        <f>IF($A710="","",_xll.BDP($A710&amp;" Corp","YAS_OAS_SPRD","SETTLE_DT",Company_desc!$D$1))</f>
        <v/>
      </c>
    </row>
    <row r="711">
      <c r="B711" s="75">
        <f>IF($A711="","",IFERROR(INDEX(Sheet1!$B:$B,MATCH($A711,Sheet1!$A:$A,0)),""))</f>
        <v/>
      </c>
      <c r="C711" s="75">
        <f>IF($A711="","",PROPER(_xll.BDP($A711&amp;" Corp","NAME")))</f>
        <v/>
      </c>
      <c r="D711" s="76">
        <f>IF($A711="","",_xll.BDP($A711&amp;" Corp","CPN"))</f>
        <v/>
      </c>
      <c r="E711" s="75">
        <f>IF($A711="","",_xll.BDP($A711&amp;" Corp","PAYMENT_RANK"))</f>
        <v/>
      </c>
      <c r="F711" s="100">
        <f>IF($A711="","",_xll.BDP($A711&amp;" Corp","MATURITY"))</f>
        <v/>
      </c>
      <c r="G711" s="75">
        <f>IF($A711="","",PROPER(_xll.BDP($A711&amp;" Corp","COUNTRY_FULL_NAME")))</f>
        <v/>
      </c>
      <c r="H711" s="75">
        <f>IF($A711="","",_xll.BDP($A711&amp;" Corp","INDUSTRY_SECTOR"))</f>
        <v/>
      </c>
      <c r="I711" s="101">
        <f>IF($A711="","",IFERROR(_xll.BDP($A711&amp;" Corp","MIN_PIECE")/1000,""))</f>
        <v/>
      </c>
      <c r="J711" s="31">
        <f>IF($A711="","",_xll.BDP($A711&amp;" Corp","PX_LAST"))</f>
        <v/>
      </c>
      <c r="K711" s="31">
        <f>IF($A711="","",_xll.BDP($A711&amp;" Corp","YAS_BOND_YLD","YAS_YLD_FLAG=15"))</f>
        <v/>
      </c>
      <c r="L711" s="31">
        <f>IF($A711="","",K711-_xll.BDP($A711&amp;" Corp","YAS_BOND_YLD","YAS_YLD_FLAG=15","SETTLE_DT",Company_desc!$A$1))</f>
        <v/>
      </c>
      <c r="M711" s="31">
        <f>IF($A711="","",K711-_xll.BDP($A711&amp;" Corp","YAS_BOND_YLD","YAS_YLD_FLAG=15","SETTLE_DT",Company_desc!$A$2))</f>
        <v/>
      </c>
      <c r="N711" s="79">
        <f>IF($A711="","",_xll.BDP($A711&amp;" Corp","YAS_OAS_SPRD"))</f>
        <v/>
      </c>
      <c r="O711" s="67">
        <f>IF($A711="","",_xll.BDP($A711&amp;" Corp","YAS_MOD_DUR"))</f>
        <v/>
      </c>
      <c r="P711" s="80">
        <f>IF($A711="","",IFERROR(INDEX(Sheet1!$P:$P,MATCH($A711,Sheet1!$A:$A,0)),""))</f>
        <v/>
      </c>
      <c r="Q711" s="75">
        <f>IF($A711="","",IFERROR(INDEX(Company_desc!$C:$C,MATCH($A711,Company_desc!$A:$A,0)),IFERROR(INDEX(Sheet1!$Q:$Q,MATCH($A711,Sheet1!$A:$A,0)),"")))</f>
        <v/>
      </c>
      <c r="R711" s="75">
        <f>IF($A711="","",_xll.BDP($A711&amp;" Corp","CRNCY"))</f>
        <v/>
      </c>
      <c r="S711" s="75">
        <f>IF($A711="","",IFERROR(INDEX(Sheet1!$S:$S,MATCH($A711,Sheet1!$A:$A,0)),""))</f>
        <v/>
      </c>
      <c r="T711" s="75">
        <f>IF($A711="","",IFERROR(INDEX(Sheet1!$T:$T,MATCH($A711,Sheet1!$A:$A,0)),_xll.BDP($A711&amp;" Corp","RTG_SP")))</f>
        <v/>
      </c>
      <c r="U711" s="83">
        <f>IF($A711="","",IFERROR(INDEX(Sheet1!$U:$U,MATCH($A711,Sheet1!$A:$A,0)),""))</f>
        <v/>
      </c>
      <c r="W711" s="81">
        <f>IF($A711="","",N711-_xll.BDP($A711&amp;" Corp","YAS_OAS_SPRD","SETTLE_DT",Company_desc!$A$1))</f>
        <v/>
      </c>
      <c r="X711" s="81">
        <f>IF($A711="","",N711-_xll.BDP($A711&amp;" Corp","YAS_OAS_SPRD","SETTLE_DT",Company_desc!$A$2))</f>
        <v/>
      </c>
      <c r="Y711" s="80">
        <f>IF($A711="","",N711-_xll.BDP($A711&amp;" Corp","YAS_OAS_SPRD","SETTLE_DT",Company_desc!$D$1))</f>
        <v/>
      </c>
      <c r="Z711" s="82">
        <f>IF($A711="","",K711-_xll.BDP($A711&amp;" Corp","YAS_BOND_YLD","YAS_YLD_FLAG=15","SETTLE_DT",Company_desc!$D$1))</f>
        <v/>
      </c>
      <c r="AA711" s="80">
        <f>IF($A711="","",_xll.BDP($A711&amp;" Corp","YAS_OAS_SPRD","SETTLE_DT",Company_desc!$D$1))</f>
        <v/>
      </c>
    </row>
    <row r="712">
      <c r="B712" s="75">
        <f>IF($A712="","",IFERROR(INDEX(Sheet1!$B:$B,MATCH($A712,Sheet1!$A:$A,0)),""))</f>
        <v/>
      </c>
      <c r="C712" s="75">
        <f>IF($A712="","",PROPER(_xll.BDP($A712&amp;" Corp","NAME")))</f>
        <v/>
      </c>
      <c r="D712" s="76">
        <f>IF($A712="","",_xll.BDP($A712&amp;" Corp","CPN"))</f>
        <v/>
      </c>
      <c r="E712" s="75">
        <f>IF($A712="","",_xll.BDP($A712&amp;" Corp","PAYMENT_RANK"))</f>
        <v/>
      </c>
      <c r="F712" s="100">
        <f>IF($A712="","",_xll.BDP($A712&amp;" Corp","MATURITY"))</f>
        <v/>
      </c>
      <c r="G712" s="75">
        <f>IF($A712="","",PROPER(_xll.BDP($A712&amp;" Corp","COUNTRY_FULL_NAME")))</f>
        <v/>
      </c>
      <c r="H712" s="75">
        <f>IF($A712="","",_xll.BDP($A712&amp;" Corp","INDUSTRY_SECTOR"))</f>
        <v/>
      </c>
      <c r="I712" s="101">
        <f>IF($A712="","",IFERROR(_xll.BDP($A712&amp;" Corp","MIN_PIECE")/1000,""))</f>
        <v/>
      </c>
      <c r="J712" s="31">
        <f>IF($A712="","",_xll.BDP($A712&amp;" Corp","PX_LAST"))</f>
        <v/>
      </c>
      <c r="K712" s="31">
        <f>IF($A712="","",_xll.BDP($A712&amp;" Corp","YAS_BOND_YLD","YAS_YLD_FLAG=15"))</f>
        <v/>
      </c>
      <c r="L712" s="31">
        <f>IF($A712="","",K712-_xll.BDP($A712&amp;" Corp","YAS_BOND_YLD","YAS_YLD_FLAG=15","SETTLE_DT",Company_desc!$A$1))</f>
        <v/>
      </c>
      <c r="M712" s="31">
        <f>IF($A712="","",K712-_xll.BDP($A712&amp;" Corp","YAS_BOND_YLD","YAS_YLD_FLAG=15","SETTLE_DT",Company_desc!$A$2))</f>
        <v/>
      </c>
      <c r="N712" s="79">
        <f>IF($A712="","",_xll.BDP($A712&amp;" Corp","YAS_OAS_SPRD"))</f>
        <v/>
      </c>
      <c r="O712" s="82">
        <f>IF($A712="","",_xll.BDP($A712&amp;" Corp","YAS_MOD_DUR"))</f>
        <v/>
      </c>
      <c r="P712" s="80">
        <f>IF($A712="","",IFERROR(INDEX(Sheet1!$P:$P,MATCH($A712,Sheet1!$A:$A,0)),""))</f>
        <v/>
      </c>
      <c r="Q712" s="75">
        <f>IF($A712="","",IFERROR(INDEX(Company_desc!$C:$C,MATCH($A712,Company_desc!$A:$A,0)),IFERROR(INDEX(Sheet1!$Q:$Q,MATCH($A712,Sheet1!$A:$A,0)),"")))</f>
        <v/>
      </c>
      <c r="R712" s="75">
        <f>IF($A712="","",_xll.BDP($A712&amp;" Corp","CRNCY"))</f>
        <v/>
      </c>
      <c r="S712" s="75">
        <f>IF($A712="","",IFERROR(INDEX(Sheet1!$S:$S,MATCH($A712,Sheet1!$A:$A,0)),""))</f>
        <v/>
      </c>
      <c r="T712" s="75">
        <f>IF($A712="","",IFERROR(INDEX(Sheet1!$T:$T,MATCH($A712,Sheet1!$A:$A,0)),_xll.BDP($A712&amp;" Corp","RTG_SP")))</f>
        <v/>
      </c>
      <c r="U712" s="83">
        <f>IF($A712="","",IFERROR(INDEX(Sheet1!$U:$U,MATCH($A712,Sheet1!$A:$A,0)),""))</f>
        <v/>
      </c>
      <c r="W712" s="81">
        <f>IF($A712="","",N712-_xll.BDP($A712&amp;" Corp","YAS_OAS_SPRD","SETTLE_DT",Company_desc!$A$1))</f>
        <v/>
      </c>
      <c r="X712" s="81">
        <f>IF($A712="","",N712-_xll.BDP($A712&amp;" Corp","YAS_OAS_SPRD","SETTLE_DT",Company_desc!$A$2))</f>
        <v/>
      </c>
      <c r="Y712" s="80">
        <f>IF($A712="","",N712-_xll.BDP($A712&amp;" Corp","YAS_OAS_SPRD","SETTLE_DT",Company_desc!$D$1))</f>
        <v/>
      </c>
      <c r="Z712" s="82">
        <f>IF($A712="","",K712-_xll.BDP($A712&amp;" Corp","YAS_BOND_YLD","YAS_YLD_FLAG=15","SETTLE_DT",Company_desc!$D$1))</f>
        <v/>
      </c>
      <c r="AA712" s="80">
        <f>IF($A712="","",_xll.BDP($A712&amp;" Corp","YAS_OAS_SPRD","SETTLE_DT",Company_desc!$D$1))</f>
        <v/>
      </c>
    </row>
    <row r="713">
      <c r="B713" s="75">
        <f>IF($A713="","",IFERROR(INDEX(Sheet1!$B:$B,MATCH($A713,Sheet1!$A:$A,0)),""))</f>
        <v/>
      </c>
      <c r="C713" s="75">
        <f>IF($A713="","",PROPER(_xll.BDP($A713&amp;" Corp","NAME")))</f>
        <v/>
      </c>
      <c r="D713" s="76">
        <f>IF($A713="","",_xll.BDP($A713&amp;" Corp","CPN"))</f>
        <v/>
      </c>
      <c r="E713" s="75">
        <f>IF($A713="","",_xll.BDP($A713&amp;" Corp","PAYMENT_RANK"))</f>
        <v/>
      </c>
      <c r="F713" s="100">
        <f>IF($A713="","",_xll.BDP($A713&amp;" Corp","MATURITY"))</f>
        <v/>
      </c>
      <c r="G713" s="75">
        <f>IF($A713="","",PROPER(_xll.BDP($A713&amp;" Corp","COUNTRY_FULL_NAME")))</f>
        <v/>
      </c>
      <c r="H713" s="75">
        <f>IF($A713="","",_xll.BDP($A713&amp;" Corp","INDUSTRY_SECTOR"))</f>
        <v/>
      </c>
      <c r="I713" s="101">
        <f>IF($A713="","",IFERROR(_xll.BDP($A713&amp;" Corp","MIN_PIECE")/1000,""))</f>
        <v/>
      </c>
      <c r="J713" s="31">
        <f>IF($A713="","",_xll.BDP($A713&amp;" Corp","PX_LAST"))</f>
        <v/>
      </c>
      <c r="K713" s="31">
        <f>IF($A713="","",_xll.BDP($A713&amp;" Corp","YAS_BOND_YLD","YAS_YLD_FLAG=15"))</f>
        <v/>
      </c>
      <c r="L713" s="31">
        <f>IF($A713="","",K713-_xll.BDP($A713&amp;" Corp","YAS_BOND_YLD","YAS_YLD_FLAG=15","SETTLE_DT",Company_desc!$A$1))</f>
        <v/>
      </c>
      <c r="M713" s="31">
        <f>IF($A713="","",K713-_xll.BDP($A713&amp;" Corp","YAS_BOND_YLD","YAS_YLD_FLAG=15","SETTLE_DT",Company_desc!$A$2))</f>
        <v/>
      </c>
      <c r="N713" s="79">
        <f>IF($A713="","",_xll.BDP($A713&amp;" Corp","YAS_OAS_SPRD"))</f>
        <v/>
      </c>
      <c r="O713" s="67">
        <f>IF($A713="","",_xll.BDP($A713&amp;" Corp","YAS_MOD_DUR"))</f>
        <v/>
      </c>
      <c r="P713" s="80">
        <f>IF($A713="","",IFERROR(INDEX(Sheet1!$P:$P,MATCH($A713,Sheet1!$A:$A,0)),""))</f>
        <v/>
      </c>
      <c r="Q713" s="75">
        <f>IF($A713="","",IFERROR(INDEX(Company_desc!$C:$C,MATCH($A713,Company_desc!$A:$A,0)),IFERROR(INDEX(Sheet1!$Q:$Q,MATCH($A713,Sheet1!$A:$A,0)),"")))</f>
        <v/>
      </c>
      <c r="R713" s="75">
        <f>IF($A713="","",_xll.BDP($A713&amp;" Corp","CRNCY"))</f>
        <v/>
      </c>
      <c r="S713" s="75">
        <f>IF($A713="","",IFERROR(INDEX(Sheet1!$S:$S,MATCH($A713,Sheet1!$A:$A,0)),""))</f>
        <v/>
      </c>
      <c r="T713" s="75">
        <f>IF($A713="","",IFERROR(INDEX(Sheet1!$T:$T,MATCH($A713,Sheet1!$A:$A,0)),_xll.BDP($A713&amp;" Corp","RTG_SP")))</f>
        <v/>
      </c>
      <c r="U713" s="75">
        <f>IF($A713="","",IFERROR(INDEX(Sheet1!$U:$U,MATCH($A713,Sheet1!$A:$A,0)),""))</f>
        <v/>
      </c>
      <c r="W713" s="81">
        <f>IF($A713="","",N713-_xll.BDP($A713&amp;" Corp","YAS_OAS_SPRD","SETTLE_DT",Company_desc!$A$1))</f>
        <v/>
      </c>
      <c r="X713" s="81">
        <f>IF($A713="","",N713-_xll.BDP($A713&amp;" Corp","YAS_OAS_SPRD","SETTLE_DT",Company_desc!$A$2))</f>
        <v/>
      </c>
      <c r="Y713" s="80">
        <f>IF($A713="","",N713-_xll.BDP($A713&amp;" Corp","YAS_OAS_SPRD","SETTLE_DT",Company_desc!$D$1))</f>
        <v/>
      </c>
      <c r="Z713" s="82">
        <f>IF($A713="","",K713-_xll.BDP($A713&amp;" Corp","YAS_BOND_YLD","YAS_YLD_FLAG=15","SETTLE_DT",Company_desc!$D$1))</f>
        <v/>
      </c>
      <c r="AA713" s="80">
        <f>IF($A713="","",_xll.BDP($A713&amp;" Corp","YAS_OAS_SPRD","SETTLE_DT",Company_desc!$D$1))</f>
        <v/>
      </c>
    </row>
    <row r="714">
      <c r="B714" s="75">
        <f>IF($A714="","",IFERROR(INDEX(Sheet1!$B:$B,MATCH($A714,Sheet1!$A:$A,0)),""))</f>
        <v/>
      </c>
      <c r="C714" s="75">
        <f>IF($A714="","",PROPER(_xll.BDP($A714&amp;" Corp","NAME")))</f>
        <v/>
      </c>
      <c r="D714" s="76">
        <f>IF($A714="","",_xll.BDP($A714&amp;" Corp","CPN"))</f>
        <v/>
      </c>
      <c r="E714" s="75">
        <f>IF($A714="","",_xll.BDP($A714&amp;" Corp","PAYMENT_RANK"))</f>
        <v/>
      </c>
      <c r="F714" s="100">
        <f>IF($A714="","",_xll.BDP($A714&amp;" Corp","MATURITY"))</f>
        <v/>
      </c>
      <c r="G714" s="75">
        <f>IF($A714="","",PROPER(_xll.BDP($A714&amp;" Corp","COUNTRY_FULL_NAME")))</f>
        <v/>
      </c>
      <c r="H714" s="75">
        <f>IF($A714="","",_xll.BDP($A714&amp;" Corp","INDUSTRY_SECTOR"))</f>
        <v/>
      </c>
      <c r="I714" s="101">
        <f>IF($A714="","",IFERROR(_xll.BDP($A714&amp;" Corp","MIN_PIECE")/1000,""))</f>
        <v/>
      </c>
      <c r="J714" s="31">
        <f>IF($A714="","",_xll.BDP($A714&amp;" Corp","PX_LAST"))</f>
        <v/>
      </c>
      <c r="K714" s="31">
        <f>IF($A714="","",_xll.BDP($A714&amp;" Corp","YAS_BOND_YLD","YAS_YLD_FLAG=15"))</f>
        <v/>
      </c>
      <c r="L714" s="31">
        <f>IF($A714="","",K714-_xll.BDP($A714&amp;" Corp","YAS_BOND_YLD","YAS_YLD_FLAG=15","SETTLE_DT",Company_desc!$A$1))</f>
        <v/>
      </c>
      <c r="M714" s="31">
        <f>IF($A714="","",K714-_xll.BDP($A714&amp;" Corp","YAS_BOND_YLD","YAS_YLD_FLAG=15","SETTLE_DT",Company_desc!$A$2))</f>
        <v/>
      </c>
      <c r="N714" s="79">
        <f>IF($A714="","",_xll.BDP($A714&amp;" Corp","YAS_OAS_SPRD"))</f>
        <v/>
      </c>
      <c r="O714" s="67">
        <f>IF($A714="","",_xll.BDP($A714&amp;" Corp","YAS_MOD_DUR"))</f>
        <v/>
      </c>
      <c r="P714" s="80">
        <f>IF($A714="","",IFERROR(INDEX(Sheet1!$P:$P,MATCH($A714,Sheet1!$A:$A,0)),""))</f>
        <v/>
      </c>
      <c r="Q714" s="75">
        <f>IF($A714="","",IFERROR(INDEX(Company_desc!$C:$C,MATCH($A714,Company_desc!$A:$A,0)),IFERROR(INDEX(Sheet1!$Q:$Q,MATCH($A714,Sheet1!$A:$A,0)),"")))</f>
        <v/>
      </c>
      <c r="R714" s="75">
        <f>IF($A714="","",_xll.BDP($A714&amp;" Corp","CRNCY"))</f>
        <v/>
      </c>
      <c r="S714" s="75">
        <f>IF($A714="","",IFERROR(INDEX(Sheet1!$S:$S,MATCH($A714,Sheet1!$A:$A,0)),""))</f>
        <v/>
      </c>
      <c r="T714" s="75">
        <f>IF($A714="","",IFERROR(INDEX(Sheet1!$T:$T,MATCH($A714,Sheet1!$A:$A,0)),_xll.BDP($A714&amp;" Corp","RTG_SP")))</f>
        <v/>
      </c>
      <c r="U714" s="75">
        <f>IF($A714="","",IFERROR(INDEX(Sheet1!$U:$U,MATCH($A714,Sheet1!$A:$A,0)),""))</f>
        <v/>
      </c>
      <c r="W714" s="81">
        <f>IF($A714="","",N714-_xll.BDP($A714&amp;" Corp","YAS_OAS_SPRD","SETTLE_DT",Company_desc!$A$1))</f>
        <v/>
      </c>
      <c r="X714" s="81">
        <f>IF($A714="","",N714-_xll.BDP($A714&amp;" Corp","YAS_OAS_SPRD","SETTLE_DT",Company_desc!$A$2))</f>
        <v/>
      </c>
      <c r="Y714" s="80">
        <f>IF($A714="","",N714-_xll.BDP($A714&amp;" Corp","YAS_OAS_SPRD","SETTLE_DT",Company_desc!$D$1))</f>
        <v/>
      </c>
      <c r="Z714" s="82">
        <f>IF($A714="","",K714-_xll.BDP($A714&amp;" Corp","YAS_BOND_YLD","YAS_YLD_FLAG=15","SETTLE_DT",Company_desc!$D$1))</f>
        <v/>
      </c>
      <c r="AA714" s="80">
        <f>IF($A714="","",_xll.BDP($A714&amp;" Corp","YAS_OAS_SPRD","SETTLE_DT",Company_desc!$D$1))</f>
        <v/>
      </c>
    </row>
    <row r="715">
      <c r="B715" s="75">
        <f>IF($A715="","",IFERROR(INDEX(Sheet1!$B:$B,MATCH($A715,Sheet1!$A:$A,0)),""))</f>
        <v/>
      </c>
      <c r="C715" s="75">
        <f>IF($A715="","",PROPER(_xll.BDP($A715&amp;" Corp","NAME")))</f>
        <v/>
      </c>
      <c r="D715" s="76">
        <f>IF($A715="","",_xll.BDP($A715&amp;" Corp","CPN"))</f>
        <v/>
      </c>
      <c r="E715" s="75">
        <f>IF($A715="","",_xll.BDP($A715&amp;" Corp","PAYMENT_RANK"))</f>
        <v/>
      </c>
      <c r="F715" s="100">
        <f>IF($A715="","",_xll.BDP($A715&amp;" Corp","MATURITY"))</f>
        <v/>
      </c>
      <c r="G715" s="75">
        <f>IF($A715="","",PROPER(_xll.BDP($A715&amp;" Corp","COUNTRY_FULL_NAME")))</f>
        <v/>
      </c>
      <c r="H715" s="75">
        <f>IF($A715="","",_xll.BDP($A715&amp;" Corp","INDUSTRY_SECTOR"))</f>
        <v/>
      </c>
      <c r="I715" s="101">
        <f>IF($A715="","",IFERROR(_xll.BDP($A715&amp;" Corp","MIN_PIECE")/1000,""))</f>
        <v/>
      </c>
      <c r="J715" s="31">
        <f>IF($A715="","",_xll.BDP($A715&amp;" Corp","PX_LAST"))</f>
        <v/>
      </c>
      <c r="K715" s="31">
        <f>IF($A715="","",_xll.BDP($A715&amp;" Corp","YAS_BOND_YLD","YAS_YLD_FLAG=15"))</f>
        <v/>
      </c>
      <c r="L715" s="31">
        <f>IF($A715="","",K715-_xll.BDP($A715&amp;" Corp","YAS_BOND_YLD","YAS_YLD_FLAG=15","SETTLE_DT",Company_desc!$A$1))</f>
        <v/>
      </c>
      <c r="M715" s="31">
        <f>IF($A715="","",K715-_xll.BDP($A715&amp;" Corp","YAS_BOND_YLD","YAS_YLD_FLAG=15","SETTLE_DT",Company_desc!$A$2))</f>
        <v/>
      </c>
      <c r="N715" s="79">
        <f>IF($A715="","",_xll.BDP($A715&amp;" Corp","YAS_OAS_SPRD"))</f>
        <v/>
      </c>
      <c r="O715" s="67">
        <f>IF($A715="","",_xll.BDP($A715&amp;" Corp","YAS_MOD_DUR"))</f>
        <v/>
      </c>
      <c r="P715" s="80">
        <f>IF($A715="","",IFERROR(INDEX(Sheet1!$P:$P,MATCH($A715,Sheet1!$A:$A,0)),""))</f>
        <v/>
      </c>
      <c r="Q715" s="75">
        <f>IF($A715="","",IFERROR(INDEX(Company_desc!$C:$C,MATCH($A715,Company_desc!$A:$A,0)),IFERROR(INDEX(Sheet1!$Q:$Q,MATCH($A715,Sheet1!$A:$A,0)),"")))</f>
        <v/>
      </c>
      <c r="R715" s="75">
        <f>IF($A715="","",_xll.BDP($A715&amp;" Corp","CRNCY"))</f>
        <v/>
      </c>
      <c r="S715" s="75">
        <f>IF($A715="","",IFERROR(INDEX(Sheet1!$S:$S,MATCH($A715,Sheet1!$A:$A,0)),""))</f>
        <v/>
      </c>
      <c r="T715" s="75">
        <f>IF($A715="","",IFERROR(INDEX(Sheet1!$T:$T,MATCH($A715,Sheet1!$A:$A,0)),_xll.BDP($A715&amp;" Corp","RTG_SP")))</f>
        <v/>
      </c>
      <c r="U715" s="75">
        <f>IF($A715="","",IFERROR(INDEX(Sheet1!$U:$U,MATCH($A715,Sheet1!$A:$A,0)),""))</f>
        <v/>
      </c>
      <c r="W715" s="81">
        <f>IF($A715="","",N715-_xll.BDP($A715&amp;" Corp","YAS_OAS_SPRD","SETTLE_DT",Company_desc!$A$1))</f>
        <v/>
      </c>
      <c r="X715" s="81">
        <f>IF($A715="","",N715-_xll.BDP($A715&amp;" Corp","YAS_OAS_SPRD","SETTLE_DT",Company_desc!$A$2))</f>
        <v/>
      </c>
      <c r="Y715" s="80">
        <f>IF($A715="","",N715-_xll.BDP($A715&amp;" Corp","YAS_OAS_SPRD","SETTLE_DT",Company_desc!$D$1))</f>
        <v/>
      </c>
      <c r="Z715" s="82">
        <f>IF($A715="","",K715-_xll.BDP($A715&amp;" Corp","YAS_BOND_YLD","YAS_YLD_FLAG=15","SETTLE_DT",Company_desc!$D$1))</f>
        <v/>
      </c>
      <c r="AA715" s="80">
        <f>IF($A715="","",_xll.BDP($A715&amp;" Corp","YAS_OAS_SPRD","SETTLE_DT",Company_desc!$D$1))</f>
        <v/>
      </c>
    </row>
    <row r="716">
      <c r="B716" s="75">
        <f>IF($A716="","",IFERROR(INDEX(Sheet1!$B:$B,MATCH($A716,Sheet1!$A:$A,0)),""))</f>
        <v/>
      </c>
      <c r="C716" s="75">
        <f>IF($A716="","",PROPER(_xll.BDP($A716&amp;" Corp","NAME")))</f>
        <v/>
      </c>
      <c r="D716" s="76">
        <f>IF($A716="","",_xll.BDP($A716&amp;" Corp","CPN"))</f>
        <v/>
      </c>
      <c r="E716" s="75">
        <f>IF($A716="","",_xll.BDP($A716&amp;" Corp","PAYMENT_RANK"))</f>
        <v/>
      </c>
      <c r="F716" s="100">
        <f>IF($A716="","",_xll.BDP($A716&amp;" Corp","MATURITY"))</f>
        <v/>
      </c>
      <c r="G716" s="75">
        <f>IF($A716="","",PROPER(_xll.BDP($A716&amp;" Corp","COUNTRY_FULL_NAME")))</f>
        <v/>
      </c>
      <c r="H716" s="75">
        <f>IF($A716="","",_xll.BDP($A716&amp;" Corp","INDUSTRY_SECTOR"))</f>
        <v/>
      </c>
      <c r="I716" s="101">
        <f>IF($A716="","",IFERROR(_xll.BDP($A716&amp;" Corp","MIN_PIECE")/1000,""))</f>
        <v/>
      </c>
      <c r="J716" s="31">
        <f>IF($A716="","",_xll.BDP($A716&amp;" Corp","PX_LAST"))</f>
        <v/>
      </c>
      <c r="K716" s="31">
        <f>IF($A716="","",_xll.BDP($A716&amp;" Corp","YAS_BOND_YLD","YAS_YLD_FLAG=15"))</f>
        <v/>
      </c>
      <c r="L716" s="31">
        <f>IF($A716="","",K716-_xll.BDP($A716&amp;" Corp","YAS_BOND_YLD","YAS_YLD_FLAG=15","SETTLE_DT",Company_desc!$A$1))</f>
        <v/>
      </c>
      <c r="M716" s="31">
        <f>IF($A716="","",K716-_xll.BDP($A716&amp;" Corp","YAS_BOND_YLD","YAS_YLD_FLAG=15","SETTLE_DT",Company_desc!$A$2))</f>
        <v/>
      </c>
      <c r="N716" s="79">
        <f>IF($A716="","",_xll.BDP($A716&amp;" Corp","YAS_OAS_SPRD"))</f>
        <v/>
      </c>
      <c r="O716" s="82">
        <f>IF($A716="","",_xll.BDP($A716&amp;" Corp","YAS_MOD_DUR"))</f>
        <v/>
      </c>
      <c r="P716" s="80">
        <f>IF($A716="","",IFERROR(INDEX(Sheet1!$P:$P,MATCH($A716,Sheet1!$A:$A,0)),""))</f>
        <v/>
      </c>
      <c r="Q716" s="75">
        <f>IF($A716="","",IFERROR(INDEX(Company_desc!$C:$C,MATCH($A716,Company_desc!$A:$A,0)),IFERROR(INDEX(Sheet1!$Q:$Q,MATCH($A716,Sheet1!$A:$A,0)),"")))</f>
        <v/>
      </c>
      <c r="R716" s="75">
        <f>IF($A716="","",_xll.BDP($A716&amp;" Corp","CRNCY"))</f>
        <v/>
      </c>
      <c r="S716" s="75">
        <f>IF($A716="","",IFERROR(INDEX(Sheet1!$S:$S,MATCH($A716,Sheet1!$A:$A,0)),""))</f>
        <v/>
      </c>
      <c r="T716" s="75">
        <f>IF($A716="","",IFERROR(INDEX(Sheet1!$T:$T,MATCH($A716,Sheet1!$A:$A,0)),_xll.BDP($A716&amp;" Corp","RTG_SP")))</f>
        <v/>
      </c>
      <c r="U716" s="75">
        <f>IF($A716="","",IFERROR(INDEX(Sheet1!$U:$U,MATCH($A716,Sheet1!$A:$A,0)),""))</f>
        <v/>
      </c>
      <c r="W716" s="81">
        <f>IF($A716="","",N716-_xll.BDP($A716&amp;" Corp","YAS_OAS_SPRD","SETTLE_DT",Company_desc!$A$1))</f>
        <v/>
      </c>
      <c r="X716" s="81">
        <f>IF($A716="","",N716-_xll.BDP($A716&amp;" Corp","YAS_OAS_SPRD","SETTLE_DT",Company_desc!$A$2))</f>
        <v/>
      </c>
      <c r="Y716" s="80">
        <f>IF($A716="","",N716-_xll.BDP($A716&amp;" Corp","YAS_OAS_SPRD","SETTLE_DT",Company_desc!$D$1))</f>
        <v/>
      </c>
      <c r="Z716" s="82">
        <f>IF($A716="","",K716-_xll.BDP($A716&amp;" Corp","YAS_BOND_YLD","YAS_YLD_FLAG=15","SETTLE_DT",Company_desc!$D$1))</f>
        <v/>
      </c>
      <c r="AA716" s="80">
        <f>IF($A716="","",_xll.BDP($A716&amp;" Corp","YAS_OAS_SPRD","SETTLE_DT",Company_desc!$D$1))</f>
        <v/>
      </c>
    </row>
    <row r="717">
      <c r="B717" s="75">
        <f>IF($A717="","",IFERROR(INDEX(Sheet1!$B:$B,MATCH($A717,Sheet1!$A:$A,0)),""))</f>
        <v/>
      </c>
      <c r="C717" s="75">
        <f>IF($A717="","",PROPER(_xll.BDP($A717&amp;" Corp","NAME")))</f>
        <v/>
      </c>
      <c r="D717" s="76">
        <f>IF($A717="","",_xll.BDP($A717&amp;" Corp","CPN"))</f>
        <v/>
      </c>
      <c r="E717" s="75">
        <f>IF($A717="","",_xll.BDP($A717&amp;" Corp","PAYMENT_RANK"))</f>
        <v/>
      </c>
      <c r="F717" s="100">
        <f>IF($A717="","",_xll.BDP($A717&amp;" Corp","MATURITY"))</f>
        <v/>
      </c>
      <c r="G717" s="75">
        <f>IF($A717="","",PROPER(_xll.BDP($A717&amp;" Corp","COUNTRY_FULL_NAME")))</f>
        <v/>
      </c>
      <c r="H717" s="75">
        <f>IF($A717="","",_xll.BDP($A717&amp;" Corp","INDUSTRY_SECTOR"))</f>
        <v/>
      </c>
      <c r="I717" s="101">
        <f>IF($A717="","",IFERROR(_xll.BDP($A717&amp;" Corp","MIN_PIECE")/1000,""))</f>
        <v/>
      </c>
      <c r="J717" s="31">
        <f>IF($A717="","",_xll.BDP($A717&amp;" Corp","PX_LAST"))</f>
        <v/>
      </c>
      <c r="K717" s="31">
        <f>IF($A717="","",_xll.BDP($A717&amp;" Corp","YAS_BOND_YLD","YAS_YLD_FLAG=15"))</f>
        <v/>
      </c>
      <c r="L717" s="31">
        <f>IF($A717="","",K717-_xll.BDP($A717&amp;" Corp","YAS_BOND_YLD","YAS_YLD_FLAG=15","SETTLE_DT",Company_desc!$A$1))</f>
        <v/>
      </c>
      <c r="M717" s="31">
        <f>IF($A717="","",K717-_xll.BDP($A717&amp;" Corp","YAS_BOND_YLD","YAS_YLD_FLAG=15","SETTLE_DT",Company_desc!$A$2))</f>
        <v/>
      </c>
      <c r="N717" s="79">
        <f>IF($A717="","",_xll.BDP($A717&amp;" Corp","YAS_OAS_SPRD"))</f>
        <v/>
      </c>
      <c r="O717" s="67">
        <f>IF($A717="","",_xll.BDP($A717&amp;" Corp","YAS_MOD_DUR"))</f>
        <v/>
      </c>
      <c r="P717" s="80">
        <f>IF($A717="","",IFERROR(INDEX(Sheet1!$P:$P,MATCH($A717,Sheet1!$A:$A,0)),""))</f>
        <v/>
      </c>
      <c r="Q717" s="75">
        <f>IF($A717="","",IFERROR(INDEX(Company_desc!$C:$C,MATCH($A717,Company_desc!$A:$A,0)),IFERROR(INDEX(Sheet1!$Q:$Q,MATCH($A717,Sheet1!$A:$A,0)),"")))</f>
        <v/>
      </c>
      <c r="R717" s="75">
        <f>IF($A717="","",_xll.BDP($A717&amp;" Corp","CRNCY"))</f>
        <v/>
      </c>
      <c r="S717" s="75">
        <f>IF($A717="","",IFERROR(INDEX(Sheet1!$S:$S,MATCH($A717,Sheet1!$A:$A,0)),""))</f>
        <v/>
      </c>
      <c r="T717" s="75">
        <f>IF($A717="","",IFERROR(INDEX(Sheet1!$T:$T,MATCH($A717,Sheet1!$A:$A,0)),_xll.BDP($A717&amp;" Corp","RTG_SP")))</f>
        <v/>
      </c>
      <c r="U717" s="75">
        <f>IF($A717="","",IFERROR(INDEX(Sheet1!$U:$U,MATCH($A717,Sheet1!$A:$A,0)),""))</f>
        <v/>
      </c>
      <c r="W717" s="81">
        <f>IF($A717="","",N717-_xll.BDP($A717&amp;" Corp","YAS_OAS_SPRD","SETTLE_DT",Company_desc!$A$1))</f>
        <v/>
      </c>
      <c r="X717" s="81">
        <f>IF($A717="","",N717-_xll.BDP($A717&amp;" Corp","YAS_OAS_SPRD","SETTLE_DT",Company_desc!$A$2))</f>
        <v/>
      </c>
      <c r="Y717" s="80">
        <f>IF($A717="","",N717-_xll.BDP($A717&amp;" Corp","YAS_OAS_SPRD","SETTLE_DT",Company_desc!$D$1))</f>
        <v/>
      </c>
      <c r="Z717" s="82">
        <f>IF($A717="","",K717-_xll.BDP($A717&amp;" Corp","YAS_BOND_YLD","YAS_YLD_FLAG=15","SETTLE_DT",Company_desc!$D$1))</f>
        <v/>
      </c>
      <c r="AA717" s="80">
        <f>IF($A717="","",_xll.BDP($A717&amp;" Corp","YAS_OAS_SPRD","SETTLE_DT",Company_desc!$D$1))</f>
        <v/>
      </c>
    </row>
    <row r="718">
      <c r="B718" s="75">
        <f>IF($A718="","",IFERROR(INDEX(Sheet1!$B:$B,MATCH($A718,Sheet1!$A:$A,0)),""))</f>
        <v/>
      </c>
      <c r="C718" s="75">
        <f>IF($A718="","",PROPER(_xll.BDP($A718&amp;" Corp","NAME")))</f>
        <v/>
      </c>
      <c r="D718" s="76">
        <f>IF($A718="","",_xll.BDP($A718&amp;" Corp","CPN"))</f>
        <v/>
      </c>
      <c r="E718" s="75">
        <f>IF($A718="","",_xll.BDP($A718&amp;" Corp","PAYMENT_RANK"))</f>
        <v/>
      </c>
      <c r="F718" s="100">
        <f>IF($A718="","",_xll.BDP($A718&amp;" Corp","MATURITY"))</f>
        <v/>
      </c>
      <c r="G718" s="75">
        <f>IF($A718="","",PROPER(_xll.BDP($A718&amp;" Corp","COUNTRY_FULL_NAME")))</f>
        <v/>
      </c>
      <c r="H718" s="75">
        <f>IF($A718="","",_xll.BDP($A718&amp;" Corp","INDUSTRY_SECTOR"))</f>
        <v/>
      </c>
      <c r="I718" s="101">
        <f>IF($A718="","",IFERROR(_xll.BDP($A718&amp;" Corp","MIN_PIECE")/1000,""))</f>
        <v/>
      </c>
      <c r="J718" s="31">
        <f>IF($A718="","",_xll.BDP($A718&amp;" Corp","PX_LAST"))</f>
        <v/>
      </c>
      <c r="K718" s="31">
        <f>IF($A718="","",_xll.BDP($A718&amp;" Corp","YAS_BOND_YLD","YAS_YLD_FLAG=15"))</f>
        <v/>
      </c>
      <c r="L718" s="31">
        <f>IF($A718="","",K718-_xll.BDP($A718&amp;" Corp","YAS_BOND_YLD","YAS_YLD_FLAG=15","SETTLE_DT",Company_desc!$A$1))</f>
        <v/>
      </c>
      <c r="M718" s="31">
        <f>IF($A718="","",K718-_xll.BDP($A718&amp;" Corp","YAS_BOND_YLD","YAS_YLD_FLAG=15","SETTLE_DT",Company_desc!$A$2))</f>
        <v/>
      </c>
      <c r="N718" s="79">
        <f>IF($A718="","",_xll.BDP($A718&amp;" Corp","YAS_OAS_SPRD"))</f>
        <v/>
      </c>
      <c r="O718" s="67">
        <f>IF($A718="","",_xll.BDP($A718&amp;" Corp","YAS_MOD_DUR"))</f>
        <v/>
      </c>
      <c r="P718" s="80">
        <f>IF($A718="","",IFERROR(INDEX(Sheet1!$P:$P,MATCH($A718,Sheet1!$A:$A,0)),""))</f>
        <v/>
      </c>
      <c r="Q718" s="75">
        <f>IF($A718="","",IFERROR(INDEX(Company_desc!$C:$C,MATCH($A718,Company_desc!$A:$A,0)),IFERROR(INDEX(Sheet1!$Q:$Q,MATCH($A718,Sheet1!$A:$A,0)),"")))</f>
        <v/>
      </c>
      <c r="R718" s="75">
        <f>IF($A718="","",_xll.BDP($A718&amp;" Corp","CRNCY"))</f>
        <v/>
      </c>
      <c r="S718" s="75">
        <f>IF($A718="","",IFERROR(INDEX(Sheet1!$S:$S,MATCH($A718,Sheet1!$A:$A,0)),""))</f>
        <v/>
      </c>
      <c r="T718" s="75">
        <f>IF($A718="","",IFERROR(INDEX(Sheet1!$T:$T,MATCH($A718,Sheet1!$A:$A,0)),_xll.BDP($A718&amp;" Corp","RTG_SP")))</f>
        <v/>
      </c>
      <c r="U718" s="75">
        <f>IF($A718="","",IFERROR(INDEX(Sheet1!$U:$U,MATCH($A718,Sheet1!$A:$A,0)),""))</f>
        <v/>
      </c>
      <c r="W718" s="81">
        <f>IF($A718="","",N718-_xll.BDP($A718&amp;" Corp","YAS_OAS_SPRD","SETTLE_DT",Company_desc!$A$1))</f>
        <v/>
      </c>
      <c r="X718" s="81">
        <f>IF($A718="","",N718-_xll.BDP($A718&amp;" Corp","YAS_OAS_SPRD","SETTLE_DT",Company_desc!$A$2))</f>
        <v/>
      </c>
      <c r="Y718" s="80">
        <f>IF($A718="","",N718-_xll.BDP($A718&amp;" Corp","YAS_OAS_SPRD","SETTLE_DT",Company_desc!$D$1))</f>
        <v/>
      </c>
      <c r="Z718" s="82">
        <f>IF($A718="","",K718-_xll.BDP($A718&amp;" Corp","YAS_BOND_YLD","YAS_YLD_FLAG=15","SETTLE_DT",Company_desc!$D$1))</f>
        <v/>
      </c>
      <c r="AA718" s="80">
        <f>IF($A718="","",_xll.BDP($A718&amp;" Corp","YAS_OAS_SPRD","SETTLE_DT",Company_desc!$D$1))</f>
        <v/>
      </c>
    </row>
    <row r="719">
      <c r="B719" s="75">
        <f>IF($A719="","",IFERROR(INDEX(Sheet1!$B:$B,MATCH($A719,Sheet1!$A:$A,0)),""))</f>
        <v/>
      </c>
      <c r="C719" s="75">
        <f>IF($A719="","",PROPER(_xll.BDP($A719&amp;" Corp","NAME")))</f>
        <v/>
      </c>
      <c r="D719" s="76">
        <f>IF($A719="","",_xll.BDP($A719&amp;" Corp","CPN"))</f>
        <v/>
      </c>
      <c r="E719" s="75">
        <f>IF($A719="","",_xll.BDP($A719&amp;" Corp","PAYMENT_RANK"))</f>
        <v/>
      </c>
      <c r="F719" s="100">
        <f>IF($A719="","",_xll.BDP($A719&amp;" Corp","MATURITY"))</f>
        <v/>
      </c>
      <c r="G719" s="75">
        <f>IF($A719="","",PROPER(_xll.BDP($A719&amp;" Corp","COUNTRY_FULL_NAME")))</f>
        <v/>
      </c>
      <c r="H719" s="75">
        <f>IF($A719="","",_xll.BDP($A719&amp;" Corp","INDUSTRY_SECTOR"))</f>
        <v/>
      </c>
      <c r="I719" s="101">
        <f>IF($A719="","",IFERROR(_xll.BDP($A719&amp;" Corp","MIN_PIECE")/1000,""))</f>
        <v/>
      </c>
      <c r="J719" s="31">
        <f>IF($A719="","",_xll.BDP($A719&amp;" Corp","PX_LAST"))</f>
        <v/>
      </c>
      <c r="K719" s="31">
        <f>IF($A719="","",_xll.BDP($A719&amp;" Corp","YAS_BOND_YLD","YAS_YLD_FLAG=15"))</f>
        <v/>
      </c>
      <c r="L719" s="31">
        <f>IF($A719="","",K719-_xll.BDP($A719&amp;" Corp","YAS_BOND_YLD","YAS_YLD_FLAG=15","SETTLE_DT",Company_desc!$A$1))</f>
        <v/>
      </c>
      <c r="M719" s="31">
        <f>IF($A719="","",K719-_xll.BDP($A719&amp;" Corp","YAS_BOND_YLD","YAS_YLD_FLAG=15","SETTLE_DT",Company_desc!$A$2))</f>
        <v/>
      </c>
      <c r="N719" s="79">
        <f>IF($A719="","",_xll.BDP($A719&amp;" Corp","YAS_OAS_SPRD"))</f>
        <v/>
      </c>
      <c r="O719" s="67">
        <f>IF($A719="","",_xll.BDP($A719&amp;" Corp","YAS_MOD_DUR"))</f>
        <v/>
      </c>
      <c r="P719" s="80">
        <f>IF($A719="","",IFERROR(INDEX(Sheet1!$P:$P,MATCH($A719,Sheet1!$A:$A,0)),""))</f>
        <v/>
      </c>
      <c r="Q719" s="75">
        <f>IF($A719="","",IFERROR(INDEX(Company_desc!$C:$C,MATCH($A719,Company_desc!$A:$A,0)),IFERROR(INDEX(Sheet1!$Q:$Q,MATCH($A719,Sheet1!$A:$A,0)),"")))</f>
        <v/>
      </c>
      <c r="R719" s="75">
        <f>IF($A719="","",_xll.BDP($A719&amp;" Corp","CRNCY"))</f>
        <v/>
      </c>
      <c r="S719" s="75">
        <f>IF($A719="","",IFERROR(INDEX(Sheet1!$S:$S,MATCH($A719,Sheet1!$A:$A,0)),""))</f>
        <v/>
      </c>
      <c r="T719" s="75">
        <f>IF($A719="","",IFERROR(INDEX(Sheet1!$T:$T,MATCH($A719,Sheet1!$A:$A,0)),_xll.BDP($A719&amp;" Corp","RTG_SP")))</f>
        <v/>
      </c>
      <c r="U719" s="75">
        <f>IF($A719="","",IFERROR(INDEX(Sheet1!$U:$U,MATCH($A719,Sheet1!$A:$A,0)),""))</f>
        <v/>
      </c>
      <c r="W719" s="81">
        <f>IF($A719="","",N719-_xll.BDP($A719&amp;" Corp","YAS_OAS_SPRD","SETTLE_DT",Company_desc!$A$1))</f>
        <v/>
      </c>
      <c r="X719" s="81">
        <f>IF($A719="","",N719-_xll.BDP($A719&amp;" Corp","YAS_OAS_SPRD","SETTLE_DT",Company_desc!$A$2))</f>
        <v/>
      </c>
      <c r="Y719" s="80">
        <f>IF($A719="","",N719-_xll.BDP($A719&amp;" Corp","YAS_OAS_SPRD","SETTLE_DT",Company_desc!$D$1))</f>
        <v/>
      </c>
      <c r="Z719" s="82">
        <f>IF($A719="","",K719-_xll.BDP($A719&amp;" Corp","YAS_BOND_YLD","YAS_YLD_FLAG=15","SETTLE_DT",Company_desc!$D$1))</f>
        <v/>
      </c>
      <c r="AA719" s="80">
        <f>IF($A719="","",_xll.BDP($A719&amp;" Corp","YAS_OAS_SPRD","SETTLE_DT",Company_desc!$D$1))</f>
        <v/>
      </c>
    </row>
    <row r="720">
      <c r="B720" s="75">
        <f>IF($A720="","",IFERROR(INDEX(Sheet1!$B:$B,MATCH($A720,Sheet1!$A:$A,0)),""))</f>
        <v/>
      </c>
      <c r="C720" s="75">
        <f>IF($A720="","",PROPER(_xll.BDP($A720&amp;" Corp","NAME")))</f>
        <v/>
      </c>
      <c r="D720" s="76">
        <f>IF($A720="","",_xll.BDP($A720&amp;" Corp","CPN"))</f>
        <v/>
      </c>
      <c r="E720" s="75">
        <f>IF($A720="","",_xll.BDP($A720&amp;" Corp","PAYMENT_RANK"))</f>
        <v/>
      </c>
      <c r="F720" s="100">
        <f>IF($A720="","",_xll.BDP($A720&amp;" Corp","MATURITY"))</f>
        <v/>
      </c>
      <c r="G720" s="75">
        <f>IF($A720="","",PROPER(_xll.BDP($A720&amp;" Corp","COUNTRY_FULL_NAME")))</f>
        <v/>
      </c>
      <c r="H720" s="75">
        <f>IF($A720="","",_xll.BDP($A720&amp;" Corp","INDUSTRY_SECTOR"))</f>
        <v/>
      </c>
      <c r="I720" s="101">
        <f>IF($A720="","",IFERROR(_xll.BDP($A720&amp;" Corp","MIN_PIECE")/1000,""))</f>
        <v/>
      </c>
      <c r="J720" s="31">
        <f>IF($A720="","",_xll.BDP($A720&amp;" Corp","PX_LAST"))</f>
        <v/>
      </c>
      <c r="K720" s="31">
        <f>IF($A720="","",_xll.BDP($A720&amp;" Corp","YAS_BOND_YLD","YAS_YLD_FLAG=15"))</f>
        <v/>
      </c>
      <c r="L720" s="31">
        <f>IF($A720="","",K720-_xll.BDP($A720&amp;" Corp","YAS_BOND_YLD","YAS_YLD_FLAG=15","SETTLE_DT",Company_desc!$A$1))</f>
        <v/>
      </c>
      <c r="M720" s="31">
        <f>IF($A720="","",K720-_xll.BDP($A720&amp;" Corp","YAS_BOND_YLD","YAS_YLD_FLAG=15","SETTLE_DT",Company_desc!$A$2))</f>
        <v/>
      </c>
      <c r="N720" s="79">
        <f>IF($A720="","",_xll.BDP($A720&amp;" Corp","YAS_OAS_SPRD"))</f>
        <v/>
      </c>
      <c r="O720" s="67">
        <f>IF($A720="","",_xll.BDP($A720&amp;" Corp","YAS_MOD_DUR"))</f>
        <v/>
      </c>
      <c r="P720" s="80">
        <f>IF($A720="","",IFERROR(INDEX(Sheet1!$P:$P,MATCH($A720,Sheet1!$A:$A,0)),""))</f>
        <v/>
      </c>
      <c r="Q720" s="75">
        <f>IF($A720="","",IFERROR(INDEX(Company_desc!$C:$C,MATCH($A720,Company_desc!$A:$A,0)),IFERROR(INDEX(Sheet1!$Q:$Q,MATCH($A720,Sheet1!$A:$A,0)),"")))</f>
        <v/>
      </c>
      <c r="R720" s="75">
        <f>IF($A720="","",_xll.BDP($A720&amp;" Corp","CRNCY"))</f>
        <v/>
      </c>
      <c r="S720" s="75">
        <f>IF($A720="","",IFERROR(INDEX(Sheet1!$S:$S,MATCH($A720,Sheet1!$A:$A,0)),""))</f>
        <v/>
      </c>
      <c r="T720" s="75">
        <f>IF($A720="","",IFERROR(INDEX(Sheet1!$T:$T,MATCH($A720,Sheet1!$A:$A,0)),_xll.BDP($A720&amp;" Corp","RTG_SP")))</f>
        <v/>
      </c>
      <c r="U720" s="75">
        <f>IF($A720="","",IFERROR(INDEX(Sheet1!$U:$U,MATCH($A720,Sheet1!$A:$A,0)),""))</f>
        <v/>
      </c>
      <c r="W720" s="81">
        <f>IF($A720="","",N720-_xll.BDP($A720&amp;" Corp","YAS_OAS_SPRD","SETTLE_DT",Company_desc!$A$1))</f>
        <v/>
      </c>
      <c r="X720" s="81">
        <f>IF($A720="","",N720-_xll.BDP($A720&amp;" Corp","YAS_OAS_SPRD","SETTLE_DT",Company_desc!$A$2))</f>
        <v/>
      </c>
      <c r="Y720" s="80">
        <f>IF($A720="","",N720-_xll.BDP($A720&amp;" Corp","YAS_OAS_SPRD","SETTLE_DT",Company_desc!$D$1))</f>
        <v/>
      </c>
      <c r="Z720" s="82">
        <f>IF($A720="","",K720-_xll.BDP($A720&amp;" Corp","YAS_BOND_YLD","YAS_YLD_FLAG=15","SETTLE_DT",Company_desc!$D$1))</f>
        <v/>
      </c>
      <c r="AA720" s="80">
        <f>IF($A720="","",_xll.BDP($A720&amp;" Corp","YAS_OAS_SPRD","SETTLE_DT",Company_desc!$D$1))</f>
        <v/>
      </c>
    </row>
    <row r="721">
      <c r="B721" s="75">
        <f>IF($A721="","",IFERROR(INDEX(Sheet1!$B:$B,MATCH($A721,Sheet1!$A:$A,0)),""))</f>
        <v/>
      </c>
      <c r="C721" s="75">
        <f>IF($A721="","",PROPER(_xll.BDP($A721&amp;" Corp","NAME")))</f>
        <v/>
      </c>
      <c r="D721" s="76">
        <f>IF($A721="","",_xll.BDP($A721&amp;" Corp","CPN"))</f>
        <v/>
      </c>
      <c r="E721" s="75">
        <f>IF($A721="","",_xll.BDP($A721&amp;" Corp","PAYMENT_RANK"))</f>
        <v/>
      </c>
      <c r="F721" s="100">
        <f>IF($A721="","",_xll.BDP($A721&amp;" Corp","MATURITY"))</f>
        <v/>
      </c>
      <c r="G721" s="75">
        <f>IF($A721="","",PROPER(_xll.BDP($A721&amp;" Corp","COUNTRY_FULL_NAME")))</f>
        <v/>
      </c>
      <c r="H721" s="75">
        <f>IF($A721="","",_xll.BDP($A721&amp;" Corp","INDUSTRY_SECTOR"))</f>
        <v/>
      </c>
      <c r="I721" s="101">
        <f>IF($A721="","",IFERROR(_xll.BDP($A721&amp;" Corp","MIN_PIECE")/1000,""))</f>
        <v/>
      </c>
      <c r="J721" s="31">
        <f>IF($A721="","",_xll.BDP($A721&amp;" Corp","PX_LAST"))</f>
        <v/>
      </c>
      <c r="K721" s="31">
        <f>IF($A721="","",_xll.BDP($A721&amp;" Corp","YAS_BOND_YLD","YAS_YLD_FLAG=15"))</f>
        <v/>
      </c>
      <c r="L721" s="31">
        <f>IF($A721="","",K721-_xll.BDP($A721&amp;" Corp","YAS_BOND_YLD","YAS_YLD_FLAG=15","SETTLE_DT",Company_desc!$A$1))</f>
        <v/>
      </c>
      <c r="M721" s="31">
        <f>IF($A721="","",K721-_xll.BDP($A721&amp;" Corp","YAS_BOND_YLD","YAS_YLD_FLAG=15","SETTLE_DT",Company_desc!$A$2))</f>
        <v/>
      </c>
      <c r="N721" s="79">
        <f>IF($A721="","",_xll.BDP($A721&amp;" Corp","YAS_OAS_SPRD"))</f>
        <v/>
      </c>
      <c r="O721" s="67">
        <f>IF($A721="","",_xll.BDP($A721&amp;" Corp","YAS_MOD_DUR"))</f>
        <v/>
      </c>
      <c r="P721" s="80">
        <f>IF($A721="","",IFERROR(INDEX(Sheet1!$P:$P,MATCH($A721,Sheet1!$A:$A,0)),""))</f>
        <v/>
      </c>
      <c r="Q721" s="75">
        <f>IF($A721="","",IFERROR(INDEX(Company_desc!$C:$C,MATCH($A721,Company_desc!$A:$A,0)),IFERROR(INDEX(Sheet1!$Q:$Q,MATCH($A721,Sheet1!$A:$A,0)),"")))</f>
        <v/>
      </c>
      <c r="R721" s="75">
        <f>IF($A721="","",_xll.BDP($A721&amp;" Corp","CRNCY"))</f>
        <v/>
      </c>
      <c r="S721" s="75">
        <f>IF($A721="","",IFERROR(INDEX(Sheet1!$S:$S,MATCH($A721,Sheet1!$A:$A,0)),""))</f>
        <v/>
      </c>
      <c r="T721" s="75">
        <f>IF($A721="","",IFERROR(INDEX(Sheet1!$T:$T,MATCH($A721,Sheet1!$A:$A,0)),_xll.BDP($A721&amp;" Corp","RTG_SP")))</f>
        <v/>
      </c>
      <c r="U721" s="75">
        <f>IF($A721="","",IFERROR(INDEX(Sheet1!$U:$U,MATCH($A721,Sheet1!$A:$A,0)),""))</f>
        <v/>
      </c>
      <c r="W721" s="81">
        <f>IF($A721="","",N721-_xll.BDP($A721&amp;" Corp","YAS_OAS_SPRD","SETTLE_DT",Company_desc!$A$1))</f>
        <v/>
      </c>
      <c r="X721" s="81">
        <f>IF($A721="","",N721-_xll.BDP($A721&amp;" Corp","YAS_OAS_SPRD","SETTLE_DT",Company_desc!$A$2))</f>
        <v/>
      </c>
      <c r="Y721" s="80">
        <f>IF($A721="","",N721-_xll.BDP($A721&amp;" Corp","YAS_OAS_SPRD","SETTLE_DT",Company_desc!$D$1))</f>
        <v/>
      </c>
      <c r="Z721" s="82">
        <f>IF($A721="","",K721-_xll.BDP($A721&amp;" Corp","YAS_BOND_YLD","YAS_YLD_FLAG=15","SETTLE_DT",Company_desc!$D$1))</f>
        <v/>
      </c>
      <c r="AA721" s="80">
        <f>IF($A721="","",_xll.BDP($A721&amp;" Corp","YAS_OAS_SPRD","SETTLE_DT",Company_desc!$D$1))</f>
        <v/>
      </c>
    </row>
    <row r="722">
      <c r="B722" s="75">
        <f>IF($A722="","",IFERROR(INDEX(Sheet1!$B:$B,MATCH($A722,Sheet1!$A:$A,0)),""))</f>
        <v/>
      </c>
      <c r="C722" s="75">
        <f>IF($A722="","",PROPER(_xll.BDP($A722&amp;" Corp","NAME")))</f>
        <v/>
      </c>
      <c r="D722" s="76">
        <f>IF($A722="","",_xll.BDP($A722&amp;" Corp","CPN"))</f>
        <v/>
      </c>
      <c r="E722" s="75">
        <f>IF($A722="","",_xll.BDP($A722&amp;" Corp","PAYMENT_RANK"))</f>
        <v/>
      </c>
      <c r="F722" s="100">
        <f>IF($A722="","",_xll.BDP($A722&amp;" Corp","MATURITY"))</f>
        <v/>
      </c>
      <c r="G722" s="75">
        <f>IF($A722="","",PROPER(_xll.BDP($A722&amp;" Corp","COUNTRY_FULL_NAME")))</f>
        <v/>
      </c>
      <c r="H722" s="75">
        <f>IF($A722="","",_xll.BDP($A722&amp;" Corp","INDUSTRY_SECTOR"))</f>
        <v/>
      </c>
      <c r="I722" s="101">
        <f>IF($A722="","",IFERROR(_xll.BDP($A722&amp;" Corp","MIN_PIECE")/1000,""))</f>
        <v/>
      </c>
      <c r="J722" s="31">
        <f>IF($A722="","",_xll.BDP($A722&amp;" Corp","PX_LAST"))</f>
        <v/>
      </c>
      <c r="K722" s="31">
        <f>IF($A722="","",_xll.BDP($A722&amp;" Corp","YAS_BOND_YLD","YAS_YLD_FLAG=15"))</f>
        <v/>
      </c>
      <c r="L722" s="31">
        <f>IF($A722="","",K722-_xll.BDP($A722&amp;" Corp","YAS_BOND_YLD","YAS_YLD_FLAG=15","SETTLE_DT",Company_desc!$A$1))</f>
        <v/>
      </c>
      <c r="M722" s="31">
        <f>IF($A722="","",K722-_xll.BDP($A722&amp;" Corp","YAS_BOND_YLD","YAS_YLD_FLAG=15","SETTLE_DT",Company_desc!$A$2))</f>
        <v/>
      </c>
      <c r="N722" s="79">
        <f>IF($A722="","",_xll.BDP($A722&amp;" Corp","YAS_OAS_SPRD"))</f>
        <v/>
      </c>
      <c r="O722" s="67">
        <f>IF($A722="","",_xll.BDP($A722&amp;" Corp","YAS_MOD_DUR"))</f>
        <v/>
      </c>
      <c r="P722" s="80">
        <f>IF($A722="","",IFERROR(INDEX(Sheet1!$P:$P,MATCH($A722,Sheet1!$A:$A,0)),""))</f>
        <v/>
      </c>
      <c r="Q722" s="75">
        <f>IF($A722="","",IFERROR(INDEX(Company_desc!$C:$C,MATCH($A722,Company_desc!$A:$A,0)),IFERROR(INDEX(Sheet1!$Q:$Q,MATCH($A722,Sheet1!$A:$A,0)),"")))</f>
        <v/>
      </c>
      <c r="R722" s="75">
        <f>IF($A722="","",_xll.BDP($A722&amp;" Corp","CRNCY"))</f>
        <v/>
      </c>
      <c r="S722" s="75">
        <f>IF($A722="","",IFERROR(INDEX(Sheet1!$S:$S,MATCH($A722,Sheet1!$A:$A,0)),""))</f>
        <v/>
      </c>
      <c r="T722" s="75">
        <f>IF($A722="","",IFERROR(INDEX(Sheet1!$T:$T,MATCH($A722,Sheet1!$A:$A,0)),_xll.BDP($A722&amp;" Corp","RTG_SP")))</f>
        <v/>
      </c>
      <c r="U722" s="75">
        <f>IF($A722="","",IFERROR(INDEX(Sheet1!$U:$U,MATCH($A722,Sheet1!$A:$A,0)),""))</f>
        <v/>
      </c>
      <c r="W722" s="81">
        <f>IF($A722="","",N722-_xll.BDP($A722&amp;" Corp","YAS_OAS_SPRD","SETTLE_DT",Company_desc!$A$1))</f>
        <v/>
      </c>
      <c r="X722" s="81">
        <f>IF($A722="","",N722-_xll.BDP($A722&amp;" Corp","YAS_OAS_SPRD","SETTLE_DT",Company_desc!$A$2))</f>
        <v/>
      </c>
      <c r="Y722" s="80">
        <f>IF($A722="","",N722-_xll.BDP($A722&amp;" Corp","YAS_OAS_SPRD","SETTLE_DT",Company_desc!$D$1))</f>
        <v/>
      </c>
      <c r="Z722" s="82">
        <f>IF($A722="","",K722-_xll.BDP($A722&amp;" Corp","YAS_BOND_YLD","YAS_YLD_FLAG=15","SETTLE_DT",Company_desc!$D$1))</f>
        <v/>
      </c>
      <c r="AA722" s="80">
        <f>IF($A722="","",_xll.BDP($A722&amp;" Corp","YAS_OAS_SPRD","SETTLE_DT",Company_desc!$D$1))</f>
        <v/>
      </c>
    </row>
    <row r="723">
      <c r="B723" s="75">
        <f>IF($A723="","",IFERROR(INDEX(Sheet1!$B:$B,MATCH($A723,Sheet1!$A:$A,0)),""))</f>
        <v/>
      </c>
      <c r="C723" s="75">
        <f>IF($A723="","",PROPER(_xll.BDP($A723&amp;" Corp","NAME")))</f>
        <v/>
      </c>
      <c r="D723" s="76">
        <f>IF($A723="","",_xll.BDP($A723&amp;" Corp","CPN"))</f>
        <v/>
      </c>
      <c r="E723" s="75">
        <f>IF($A723="","",_xll.BDP($A723&amp;" Corp","PAYMENT_RANK"))</f>
        <v/>
      </c>
      <c r="F723" s="100">
        <f>IF($A723="","",_xll.BDP($A723&amp;" Corp","MATURITY"))</f>
        <v/>
      </c>
      <c r="G723" s="75">
        <f>IF($A723="","",PROPER(_xll.BDP($A723&amp;" Corp","COUNTRY_FULL_NAME")))</f>
        <v/>
      </c>
      <c r="H723" s="75">
        <f>IF($A723="","",_xll.BDP($A723&amp;" Corp","INDUSTRY_SECTOR"))</f>
        <v/>
      </c>
      <c r="I723" s="101">
        <f>IF($A723="","",IFERROR(_xll.BDP($A723&amp;" Corp","MIN_PIECE")/1000,""))</f>
        <v/>
      </c>
      <c r="J723" s="31">
        <f>IF($A723="","",_xll.BDP($A723&amp;" Corp","PX_LAST"))</f>
        <v/>
      </c>
      <c r="K723" s="31">
        <f>IF($A723="","",_xll.BDP($A723&amp;" Corp","YAS_BOND_YLD","YAS_YLD_FLAG=15"))</f>
        <v/>
      </c>
      <c r="L723" s="31">
        <f>IF($A723="","",K723-_xll.BDP($A723&amp;" Corp","YAS_BOND_YLD","YAS_YLD_FLAG=15","SETTLE_DT",Company_desc!$A$1))</f>
        <v/>
      </c>
      <c r="M723" s="31">
        <f>IF($A723="","",K723-_xll.BDP($A723&amp;" Corp","YAS_BOND_YLD","YAS_YLD_FLAG=15","SETTLE_DT",Company_desc!$A$2))</f>
        <v/>
      </c>
      <c r="N723" s="79">
        <f>IF($A723="","",_xll.BDP($A723&amp;" Corp","YAS_OAS_SPRD"))</f>
        <v/>
      </c>
      <c r="O723" s="67">
        <f>IF($A723="","",_xll.BDP($A723&amp;" Corp","YAS_MOD_DUR"))</f>
        <v/>
      </c>
      <c r="P723" s="80">
        <f>IF($A723="","",IFERROR(INDEX(Sheet1!$P:$P,MATCH($A723,Sheet1!$A:$A,0)),""))</f>
        <v/>
      </c>
      <c r="Q723" s="75">
        <f>IF($A723="","",IFERROR(INDEX(Company_desc!$C:$C,MATCH($A723,Company_desc!$A:$A,0)),IFERROR(INDEX(Sheet1!$Q:$Q,MATCH($A723,Sheet1!$A:$A,0)),"")))</f>
        <v/>
      </c>
      <c r="R723" s="75">
        <f>IF($A723="","",_xll.BDP($A723&amp;" Corp","CRNCY"))</f>
        <v/>
      </c>
      <c r="S723" s="75">
        <f>IF($A723="","",IFERROR(INDEX(Sheet1!$S:$S,MATCH($A723,Sheet1!$A:$A,0)),""))</f>
        <v/>
      </c>
      <c r="T723" s="75">
        <f>IF($A723="","",IFERROR(INDEX(Sheet1!$T:$T,MATCH($A723,Sheet1!$A:$A,0)),_xll.BDP($A723&amp;" Corp","RTG_SP")))</f>
        <v/>
      </c>
      <c r="U723" s="75">
        <f>IF($A723="","",IFERROR(INDEX(Sheet1!$U:$U,MATCH($A723,Sheet1!$A:$A,0)),""))</f>
        <v/>
      </c>
      <c r="W723" s="81">
        <f>IF($A723="","",N723-_xll.BDP($A723&amp;" Corp","YAS_OAS_SPRD","SETTLE_DT",Company_desc!$A$1))</f>
        <v/>
      </c>
      <c r="X723" s="81">
        <f>IF($A723="","",N723-_xll.BDP($A723&amp;" Corp","YAS_OAS_SPRD","SETTLE_DT",Company_desc!$A$2))</f>
        <v/>
      </c>
      <c r="Y723" s="80">
        <f>IF($A723="","",N723-_xll.BDP($A723&amp;" Corp","YAS_OAS_SPRD","SETTLE_DT",Company_desc!$D$1))</f>
        <v/>
      </c>
      <c r="Z723" s="82">
        <f>IF($A723="","",K723-_xll.BDP($A723&amp;" Corp","YAS_BOND_YLD","YAS_YLD_FLAG=15","SETTLE_DT",Company_desc!$D$1))</f>
        <v/>
      </c>
      <c r="AA723" s="80">
        <f>IF($A723="","",_xll.BDP($A723&amp;" Corp","YAS_OAS_SPRD","SETTLE_DT",Company_desc!$D$1))</f>
        <v/>
      </c>
    </row>
    <row r="724">
      <c r="B724" s="75">
        <f>IF($A724="","",IFERROR(INDEX(Sheet1!$B:$B,MATCH($A724,Sheet1!$A:$A,0)),""))</f>
        <v/>
      </c>
      <c r="C724" s="75">
        <f>IF($A724="","",PROPER(_xll.BDP($A724&amp;" Corp","NAME")))</f>
        <v/>
      </c>
      <c r="D724" s="76">
        <f>IF($A724="","",_xll.BDP($A724&amp;" Corp","CPN"))</f>
        <v/>
      </c>
      <c r="E724" s="75">
        <f>IF($A724="","",_xll.BDP($A724&amp;" Corp","PAYMENT_RANK"))</f>
        <v/>
      </c>
      <c r="F724" s="100">
        <f>IF($A724="","",_xll.BDP($A724&amp;" Corp","MATURITY"))</f>
        <v/>
      </c>
      <c r="G724" s="75">
        <f>IF($A724="","",PROPER(_xll.BDP($A724&amp;" Corp","COUNTRY_FULL_NAME")))</f>
        <v/>
      </c>
      <c r="H724" s="75">
        <f>IF($A724="","",_xll.BDP($A724&amp;" Corp","INDUSTRY_SECTOR"))</f>
        <v/>
      </c>
      <c r="I724" s="101">
        <f>IF($A724="","",IFERROR(_xll.BDP($A724&amp;" Corp","MIN_PIECE")/1000,""))</f>
        <v/>
      </c>
      <c r="J724" s="31">
        <f>IF($A724="","",_xll.BDP($A724&amp;" Corp","PX_LAST"))</f>
        <v/>
      </c>
      <c r="K724" s="31">
        <f>IF($A724="","",_xll.BDP($A724&amp;" Corp","YAS_BOND_YLD","YAS_YLD_FLAG=15"))</f>
        <v/>
      </c>
      <c r="L724" s="31">
        <f>IF($A724="","",K724-_xll.BDP($A724&amp;" Corp","YAS_BOND_YLD","YAS_YLD_FLAG=15","SETTLE_DT",Company_desc!$A$1))</f>
        <v/>
      </c>
      <c r="M724" s="31">
        <f>IF($A724="","",K724-_xll.BDP($A724&amp;" Corp","YAS_BOND_YLD","YAS_YLD_FLAG=15","SETTLE_DT",Company_desc!$A$2))</f>
        <v/>
      </c>
      <c r="N724" s="79">
        <f>IF($A724="","",_xll.BDP($A724&amp;" Corp","YAS_OAS_SPRD"))</f>
        <v/>
      </c>
      <c r="O724" s="67">
        <f>IF($A724="","",_xll.BDP($A724&amp;" Corp","YAS_MOD_DUR"))</f>
        <v/>
      </c>
      <c r="P724" s="80">
        <f>IF($A724="","",IFERROR(INDEX(Sheet1!$P:$P,MATCH($A724,Sheet1!$A:$A,0)),""))</f>
        <v/>
      </c>
      <c r="Q724" s="75">
        <f>IF($A724="","",IFERROR(INDEX(Company_desc!$C:$C,MATCH($A724,Company_desc!$A:$A,0)),IFERROR(INDEX(Sheet1!$Q:$Q,MATCH($A724,Sheet1!$A:$A,0)),"")))</f>
        <v/>
      </c>
      <c r="R724" s="75">
        <f>IF($A724="","",_xll.BDP($A724&amp;" Corp","CRNCY"))</f>
        <v/>
      </c>
      <c r="S724" s="75">
        <f>IF($A724="","",IFERROR(INDEX(Sheet1!$S:$S,MATCH($A724,Sheet1!$A:$A,0)),""))</f>
        <v/>
      </c>
      <c r="T724" s="75">
        <f>IF($A724="","",IFERROR(INDEX(Sheet1!$T:$T,MATCH($A724,Sheet1!$A:$A,0)),_xll.BDP($A724&amp;" Corp","RTG_SP")))</f>
        <v/>
      </c>
      <c r="U724" s="75">
        <f>IF($A724="","",IFERROR(INDEX(Sheet1!$U:$U,MATCH($A724,Sheet1!$A:$A,0)),""))</f>
        <v/>
      </c>
      <c r="W724" s="81">
        <f>IF($A724="","",N724-_xll.BDP($A724&amp;" Corp","YAS_OAS_SPRD","SETTLE_DT",Company_desc!$A$1))</f>
        <v/>
      </c>
      <c r="X724" s="81">
        <f>IF($A724="","",N724-_xll.BDP($A724&amp;" Corp","YAS_OAS_SPRD","SETTLE_DT",Company_desc!$A$2))</f>
        <v/>
      </c>
      <c r="Y724" s="80">
        <f>IF($A724="","",N724-_xll.BDP($A724&amp;" Corp","YAS_OAS_SPRD","SETTLE_DT",Company_desc!$D$1))</f>
        <v/>
      </c>
      <c r="Z724" s="82">
        <f>IF($A724="","",K724-_xll.BDP($A724&amp;" Corp","YAS_BOND_YLD","YAS_YLD_FLAG=15","SETTLE_DT",Company_desc!$D$1))</f>
        <v/>
      </c>
      <c r="AA724" s="80">
        <f>IF($A724="","",_xll.BDP($A724&amp;" Corp","YAS_OAS_SPRD","SETTLE_DT",Company_desc!$D$1))</f>
        <v/>
      </c>
    </row>
    <row r="725">
      <c r="B725" s="75">
        <f>IF($A725="","",IFERROR(INDEX(Sheet1!$B:$B,MATCH($A725,Sheet1!$A:$A,0)),""))</f>
        <v/>
      </c>
      <c r="C725" s="75">
        <f>IF($A725="","",PROPER(_xll.BDP($A725&amp;" Corp","NAME")))</f>
        <v/>
      </c>
      <c r="D725" s="76">
        <f>IF($A725="","",_xll.BDP($A725&amp;" Corp","CPN"))</f>
        <v/>
      </c>
      <c r="E725" s="75">
        <f>IF($A725="","",_xll.BDP($A725&amp;" Corp","PAYMENT_RANK"))</f>
        <v/>
      </c>
      <c r="F725" s="100">
        <f>IF($A725="","",_xll.BDP($A725&amp;" Corp","MATURITY"))</f>
        <v/>
      </c>
      <c r="G725" s="75">
        <f>IF($A725="","",PROPER(_xll.BDP($A725&amp;" Corp","COUNTRY_FULL_NAME")))</f>
        <v/>
      </c>
      <c r="H725" s="75">
        <f>IF($A725="","",_xll.BDP($A725&amp;" Corp","INDUSTRY_SECTOR"))</f>
        <v/>
      </c>
      <c r="I725" s="101">
        <f>IF($A725="","",IFERROR(_xll.BDP($A725&amp;" Corp","MIN_PIECE")/1000,""))</f>
        <v/>
      </c>
      <c r="J725" s="31">
        <f>IF($A725="","",_xll.BDP($A725&amp;" Corp","PX_LAST"))</f>
        <v/>
      </c>
      <c r="K725" s="31">
        <f>IF($A725="","",_xll.BDP($A725&amp;" Corp","YAS_BOND_YLD","YAS_YLD_FLAG=15"))</f>
        <v/>
      </c>
      <c r="L725" s="31">
        <f>IF($A725="","",K725-_xll.BDP($A725&amp;" Corp","YAS_BOND_YLD","YAS_YLD_FLAG=15","SETTLE_DT",Company_desc!$A$1))</f>
        <v/>
      </c>
      <c r="M725" s="31">
        <f>IF($A725="","",K725-_xll.BDP($A725&amp;" Corp","YAS_BOND_YLD","YAS_YLD_FLAG=15","SETTLE_DT",Company_desc!$A$2))</f>
        <v/>
      </c>
      <c r="N725" s="79">
        <f>IF($A725="","",_xll.BDP($A725&amp;" Corp","YAS_OAS_SPRD"))</f>
        <v/>
      </c>
      <c r="O725" s="67">
        <f>IF($A725="","",_xll.BDP($A725&amp;" Corp","YAS_MOD_DUR"))</f>
        <v/>
      </c>
      <c r="P725" s="80">
        <f>IF($A725="","",IFERROR(INDEX(Sheet1!$P:$P,MATCH($A725,Sheet1!$A:$A,0)),""))</f>
        <v/>
      </c>
      <c r="Q725" s="75">
        <f>IF($A725="","",IFERROR(INDEX(Company_desc!$C:$C,MATCH($A725,Company_desc!$A:$A,0)),IFERROR(INDEX(Sheet1!$Q:$Q,MATCH($A725,Sheet1!$A:$A,0)),"")))</f>
        <v/>
      </c>
      <c r="R725" s="75">
        <f>IF($A725="","",_xll.BDP($A725&amp;" Corp","CRNCY"))</f>
        <v/>
      </c>
      <c r="S725" s="75">
        <f>IF($A725="","",IFERROR(INDEX(Sheet1!$S:$S,MATCH($A725,Sheet1!$A:$A,0)),""))</f>
        <v/>
      </c>
      <c r="T725" s="75">
        <f>IF($A725="","",IFERROR(INDEX(Sheet1!$T:$T,MATCH($A725,Sheet1!$A:$A,0)),_xll.BDP($A725&amp;" Corp","RTG_SP")))</f>
        <v/>
      </c>
      <c r="U725" s="75">
        <f>IF($A725="","",IFERROR(INDEX(Sheet1!$U:$U,MATCH($A725,Sheet1!$A:$A,0)),""))</f>
        <v/>
      </c>
      <c r="W725" s="81">
        <f>IF($A725="","",N725-_xll.BDP($A725&amp;" Corp","YAS_OAS_SPRD","SETTLE_DT",Company_desc!$A$1))</f>
        <v/>
      </c>
      <c r="X725" s="81">
        <f>IF($A725="","",N725-_xll.BDP($A725&amp;" Corp","YAS_OAS_SPRD","SETTLE_DT",Company_desc!$A$2))</f>
        <v/>
      </c>
      <c r="Y725" s="80">
        <f>IF($A725="","",N725-_xll.BDP($A725&amp;" Corp","YAS_OAS_SPRD","SETTLE_DT",Company_desc!$D$1))</f>
        <v/>
      </c>
      <c r="Z725" s="82">
        <f>IF($A725="","",K725-_xll.BDP($A725&amp;" Corp","YAS_BOND_YLD","YAS_YLD_FLAG=15","SETTLE_DT",Company_desc!$D$1))</f>
        <v/>
      </c>
      <c r="AA725" s="80">
        <f>IF($A725="","",_xll.BDP($A725&amp;" Corp","YAS_OAS_SPRD","SETTLE_DT",Company_desc!$D$1))</f>
        <v/>
      </c>
    </row>
    <row r="726">
      <c r="B726" s="75">
        <f>IF($A726="","",IFERROR(INDEX(Sheet1!$B:$B,MATCH($A726,Sheet1!$A:$A,0)),""))</f>
        <v/>
      </c>
      <c r="C726" s="75">
        <f>IF($A726="","",PROPER(_xll.BDP($A726&amp;" Corp","NAME")))</f>
        <v/>
      </c>
      <c r="D726" s="76">
        <f>IF($A726="","",_xll.BDP($A726&amp;" Corp","CPN"))</f>
        <v/>
      </c>
      <c r="E726" s="75">
        <f>IF($A726="","",_xll.BDP($A726&amp;" Corp","PAYMENT_RANK"))</f>
        <v/>
      </c>
      <c r="F726" s="100">
        <f>IF($A726="","",_xll.BDP($A726&amp;" Corp","MATURITY"))</f>
        <v/>
      </c>
      <c r="G726" s="75">
        <f>IF($A726="","",PROPER(_xll.BDP($A726&amp;" Corp","COUNTRY_FULL_NAME")))</f>
        <v/>
      </c>
      <c r="H726" s="75">
        <f>IF($A726="","",_xll.BDP($A726&amp;" Corp","INDUSTRY_SECTOR"))</f>
        <v/>
      </c>
      <c r="I726" s="101">
        <f>IF($A726="","",IFERROR(_xll.BDP($A726&amp;" Corp","MIN_PIECE")/1000,""))</f>
        <v/>
      </c>
      <c r="J726" s="31">
        <f>IF($A726="","",_xll.BDP($A726&amp;" Corp","PX_LAST"))</f>
        <v/>
      </c>
      <c r="K726" s="31">
        <f>IF($A726="","",_xll.BDP($A726&amp;" Corp","YAS_BOND_YLD","YAS_YLD_FLAG=15"))</f>
        <v/>
      </c>
      <c r="L726" s="31">
        <f>IF($A726="","",K726-_xll.BDP($A726&amp;" Corp","YAS_BOND_YLD","YAS_YLD_FLAG=15","SETTLE_DT",Company_desc!$A$1))</f>
        <v/>
      </c>
      <c r="M726" s="31">
        <f>IF($A726="","",K726-_xll.BDP($A726&amp;" Corp","YAS_BOND_YLD","YAS_YLD_FLAG=15","SETTLE_DT",Company_desc!$A$2))</f>
        <v/>
      </c>
      <c r="N726" s="79">
        <f>IF($A726="","",_xll.BDP($A726&amp;" Corp","YAS_OAS_SPRD"))</f>
        <v/>
      </c>
      <c r="O726" s="67">
        <f>IF($A726="","",_xll.BDP($A726&amp;" Corp","YAS_MOD_DUR"))</f>
        <v/>
      </c>
      <c r="P726" s="80">
        <f>IF($A726="","",IFERROR(INDEX(Sheet1!$P:$P,MATCH($A726,Sheet1!$A:$A,0)),""))</f>
        <v/>
      </c>
      <c r="Q726" s="75">
        <f>IF($A726="","",IFERROR(INDEX(Company_desc!$C:$C,MATCH($A726,Company_desc!$A:$A,0)),IFERROR(INDEX(Sheet1!$Q:$Q,MATCH($A726,Sheet1!$A:$A,0)),"")))</f>
        <v/>
      </c>
      <c r="R726" s="75">
        <f>IF($A726="","",_xll.BDP($A726&amp;" Corp","CRNCY"))</f>
        <v/>
      </c>
      <c r="S726" s="75">
        <f>IF($A726="","",IFERROR(INDEX(Sheet1!$S:$S,MATCH($A726,Sheet1!$A:$A,0)),""))</f>
        <v/>
      </c>
      <c r="T726" s="75">
        <f>IF($A726="","",IFERROR(INDEX(Sheet1!$T:$T,MATCH($A726,Sheet1!$A:$A,0)),_xll.BDP($A726&amp;" Corp","RTG_SP")))</f>
        <v/>
      </c>
      <c r="U726" s="75">
        <f>IF($A726="","",IFERROR(INDEX(Sheet1!$U:$U,MATCH($A726,Sheet1!$A:$A,0)),""))</f>
        <v/>
      </c>
      <c r="W726" s="81">
        <f>IF($A726="","",N726-_xll.BDP($A726&amp;" Corp","YAS_OAS_SPRD","SETTLE_DT",Company_desc!$A$1))</f>
        <v/>
      </c>
      <c r="X726" s="81">
        <f>IF($A726="","",N726-_xll.BDP($A726&amp;" Corp","YAS_OAS_SPRD","SETTLE_DT",Company_desc!$A$2))</f>
        <v/>
      </c>
      <c r="Y726" s="80">
        <f>IF($A726="","",N726-_xll.BDP($A726&amp;" Corp","YAS_OAS_SPRD","SETTLE_DT",Company_desc!$D$1))</f>
        <v/>
      </c>
      <c r="Z726" s="82">
        <f>IF($A726="","",K726-_xll.BDP($A726&amp;" Corp","YAS_BOND_YLD","YAS_YLD_FLAG=15","SETTLE_DT",Company_desc!$D$1))</f>
        <v/>
      </c>
      <c r="AA726" s="80">
        <f>IF($A726="","",_xll.BDP($A726&amp;" Corp","YAS_OAS_SPRD","SETTLE_DT",Company_desc!$D$1))</f>
        <v/>
      </c>
    </row>
    <row r="727">
      <c r="B727" s="75">
        <f>IF($A727="","",IFERROR(INDEX(Sheet1!$B:$B,MATCH($A727,Sheet1!$A:$A,0)),""))</f>
        <v/>
      </c>
      <c r="C727" s="75">
        <f>IF($A727="","",PROPER(_xll.BDP($A727&amp;" Corp","NAME")))</f>
        <v/>
      </c>
      <c r="D727" s="76">
        <f>IF($A727="","",_xll.BDP($A727&amp;" Corp","CPN"))</f>
        <v/>
      </c>
      <c r="E727" s="75">
        <f>IF($A727="","",_xll.BDP($A727&amp;" Corp","PAYMENT_RANK"))</f>
        <v/>
      </c>
      <c r="F727" s="100">
        <f>IF($A727="","",_xll.BDP($A727&amp;" Corp","MATURITY"))</f>
        <v/>
      </c>
      <c r="G727" s="75">
        <f>IF($A727="","",PROPER(_xll.BDP($A727&amp;" Corp","COUNTRY_FULL_NAME")))</f>
        <v/>
      </c>
      <c r="H727" s="75">
        <f>IF($A727="","",_xll.BDP($A727&amp;" Corp","INDUSTRY_SECTOR"))</f>
        <v/>
      </c>
      <c r="I727" s="101">
        <f>IF($A727="","",IFERROR(_xll.BDP($A727&amp;" Corp","MIN_PIECE")/1000,""))</f>
        <v/>
      </c>
      <c r="J727" s="31">
        <f>IF($A727="","",_xll.BDP($A727&amp;" Corp","PX_LAST"))</f>
        <v/>
      </c>
      <c r="K727" s="31">
        <f>IF($A727="","",_xll.BDP($A727&amp;" Corp","YAS_BOND_YLD","YAS_YLD_FLAG=15"))</f>
        <v/>
      </c>
      <c r="L727" s="31">
        <f>IF($A727="","",K727-_xll.BDP($A727&amp;" Corp","YAS_BOND_YLD","YAS_YLD_FLAG=15","SETTLE_DT",Company_desc!$A$1))</f>
        <v/>
      </c>
      <c r="M727" s="31">
        <f>IF($A727="","",K727-_xll.BDP($A727&amp;" Corp","YAS_BOND_YLD","YAS_YLD_FLAG=15","SETTLE_DT",Company_desc!$A$2))</f>
        <v/>
      </c>
      <c r="N727" s="79">
        <f>IF($A727="","",_xll.BDP($A727&amp;" Corp","YAS_OAS_SPRD"))</f>
        <v/>
      </c>
      <c r="O727" s="67">
        <f>IF($A727="","",_xll.BDP($A727&amp;" Corp","YAS_MOD_DUR"))</f>
        <v/>
      </c>
      <c r="P727" s="80">
        <f>IF($A727="","",IFERROR(INDEX(Sheet1!$P:$P,MATCH($A727,Sheet1!$A:$A,0)),""))</f>
        <v/>
      </c>
      <c r="Q727" s="75">
        <f>IF($A727="","",IFERROR(INDEX(Company_desc!$C:$C,MATCH($A727,Company_desc!$A:$A,0)),IFERROR(INDEX(Sheet1!$Q:$Q,MATCH($A727,Sheet1!$A:$A,0)),"")))</f>
        <v/>
      </c>
      <c r="R727" s="75">
        <f>IF($A727="","",_xll.BDP($A727&amp;" Corp","CRNCY"))</f>
        <v/>
      </c>
      <c r="S727" s="75">
        <f>IF($A727="","",IFERROR(INDEX(Sheet1!$S:$S,MATCH($A727,Sheet1!$A:$A,0)),""))</f>
        <v/>
      </c>
      <c r="T727" s="75">
        <f>IF($A727="","",IFERROR(INDEX(Sheet1!$T:$T,MATCH($A727,Sheet1!$A:$A,0)),_xll.BDP($A727&amp;" Corp","RTG_SP")))</f>
        <v/>
      </c>
      <c r="U727" s="75">
        <f>IF($A727="","",IFERROR(INDEX(Sheet1!$U:$U,MATCH($A727,Sheet1!$A:$A,0)),""))</f>
        <v/>
      </c>
      <c r="W727" s="81">
        <f>IF($A727="","",N727-_xll.BDP($A727&amp;" Corp","YAS_OAS_SPRD","SETTLE_DT",Company_desc!$A$1))</f>
        <v/>
      </c>
      <c r="X727" s="81">
        <f>IF($A727="","",N727-_xll.BDP($A727&amp;" Corp","YAS_OAS_SPRD","SETTLE_DT",Company_desc!$A$2))</f>
        <v/>
      </c>
      <c r="Y727" s="80">
        <f>IF($A727="","",N727-_xll.BDP($A727&amp;" Corp","YAS_OAS_SPRD","SETTLE_DT",Company_desc!$D$1))</f>
        <v/>
      </c>
      <c r="Z727" s="82">
        <f>IF($A727="","",K727-_xll.BDP($A727&amp;" Corp","YAS_BOND_YLD","YAS_YLD_FLAG=15","SETTLE_DT",Company_desc!$D$1))</f>
        <v/>
      </c>
      <c r="AA727" s="80">
        <f>IF($A727="","",_xll.BDP($A727&amp;" Corp","YAS_OAS_SPRD","SETTLE_DT",Company_desc!$D$1))</f>
        <v/>
      </c>
    </row>
    <row r="728">
      <c r="B728" s="75">
        <f>IF($A728="","",IFERROR(INDEX(Sheet1!$B:$B,MATCH($A728,Sheet1!$A:$A,0)),""))</f>
        <v/>
      </c>
      <c r="C728" s="75">
        <f>IF($A728="","",PROPER(_xll.BDP($A728&amp;" Corp","NAME")))</f>
        <v/>
      </c>
      <c r="D728" s="76">
        <f>IF($A728="","",_xll.BDP($A728&amp;" Corp","CPN"))</f>
        <v/>
      </c>
      <c r="E728" s="75">
        <f>IF($A728="","",_xll.BDP($A728&amp;" Corp","PAYMENT_RANK"))</f>
        <v/>
      </c>
      <c r="F728" s="100">
        <f>IF($A728="","",_xll.BDP($A728&amp;" Corp","MATURITY"))</f>
        <v/>
      </c>
      <c r="G728" s="75">
        <f>IF($A728="","",PROPER(_xll.BDP($A728&amp;" Corp","COUNTRY_FULL_NAME")))</f>
        <v/>
      </c>
      <c r="H728" s="75">
        <f>IF($A728="","",_xll.BDP($A728&amp;" Corp","INDUSTRY_SECTOR"))</f>
        <v/>
      </c>
      <c r="I728" s="101">
        <f>IF($A728="","",IFERROR(_xll.BDP($A728&amp;" Corp","MIN_PIECE")/1000,""))</f>
        <v/>
      </c>
      <c r="J728" s="31">
        <f>IF($A728="","",_xll.BDP($A728&amp;" Corp","PX_LAST"))</f>
        <v/>
      </c>
      <c r="K728" s="31">
        <f>IF($A728="","",_xll.BDP($A728&amp;" Corp","YAS_BOND_YLD","YAS_YLD_FLAG=15"))</f>
        <v/>
      </c>
      <c r="L728" s="31">
        <f>IF($A728="","",K728-_xll.BDP($A728&amp;" Corp","YAS_BOND_YLD","YAS_YLD_FLAG=15","SETTLE_DT",Company_desc!$A$1))</f>
        <v/>
      </c>
      <c r="M728" s="31">
        <f>IF($A728="","",K728-_xll.BDP($A728&amp;" Corp","YAS_BOND_YLD","YAS_YLD_FLAG=15","SETTLE_DT",Company_desc!$A$2))</f>
        <v/>
      </c>
      <c r="N728" s="79">
        <f>IF($A728="","",_xll.BDP($A728&amp;" Corp","YAS_OAS_SPRD"))</f>
        <v/>
      </c>
      <c r="O728" s="67">
        <f>IF($A728="","",_xll.BDP($A728&amp;" Corp","YAS_MOD_DUR"))</f>
        <v/>
      </c>
      <c r="P728" s="80">
        <f>IF($A728="","",IFERROR(INDEX(Sheet1!$P:$P,MATCH($A728,Sheet1!$A:$A,0)),""))</f>
        <v/>
      </c>
      <c r="Q728" s="75">
        <f>IF($A728="","",IFERROR(INDEX(Company_desc!$C:$C,MATCH($A728,Company_desc!$A:$A,0)),IFERROR(INDEX(Sheet1!$Q:$Q,MATCH($A728,Sheet1!$A:$A,0)),"")))</f>
        <v/>
      </c>
      <c r="R728" s="75">
        <f>IF($A728="","",_xll.BDP($A728&amp;" Corp","CRNCY"))</f>
        <v/>
      </c>
      <c r="S728" s="75">
        <f>IF($A728="","",IFERROR(INDEX(Sheet1!$S:$S,MATCH($A728,Sheet1!$A:$A,0)),""))</f>
        <v/>
      </c>
      <c r="T728" s="75">
        <f>IF($A728="","",IFERROR(INDEX(Sheet1!$T:$T,MATCH($A728,Sheet1!$A:$A,0)),_xll.BDP($A728&amp;" Corp","RTG_SP")))</f>
        <v/>
      </c>
      <c r="U728" s="75">
        <f>IF($A728="","",IFERROR(INDEX(Sheet1!$U:$U,MATCH($A728,Sheet1!$A:$A,0)),""))</f>
        <v/>
      </c>
      <c r="W728" s="81">
        <f>IF($A728="","",N728-_xll.BDP($A728&amp;" Corp","YAS_OAS_SPRD","SETTLE_DT",Company_desc!$A$1))</f>
        <v/>
      </c>
      <c r="X728" s="81">
        <f>IF($A728="","",N728-_xll.BDP($A728&amp;" Corp","YAS_OAS_SPRD","SETTLE_DT",Company_desc!$A$2))</f>
        <v/>
      </c>
      <c r="Y728" s="80">
        <f>IF($A728="","",N728-_xll.BDP($A728&amp;" Corp","YAS_OAS_SPRD","SETTLE_DT",Company_desc!$D$1))</f>
        <v/>
      </c>
      <c r="Z728" s="82">
        <f>IF($A728="","",K728-_xll.BDP($A728&amp;" Corp","YAS_BOND_YLD","YAS_YLD_FLAG=15","SETTLE_DT",Company_desc!$D$1))</f>
        <v/>
      </c>
      <c r="AA728" s="80">
        <f>IF($A728="","",_xll.BDP($A728&amp;" Corp","YAS_OAS_SPRD","SETTLE_DT",Company_desc!$D$1))</f>
        <v/>
      </c>
    </row>
    <row r="729">
      <c r="A729" s="42" t="n"/>
      <c r="B729" s="75">
        <f>IF($A729="","",IFERROR(INDEX(Sheet1!$B:$B,MATCH($A729,Sheet1!$A:$A,0)),""))</f>
        <v/>
      </c>
      <c r="C729" s="75">
        <f>IF($A729="","",PROPER(_xll.BDP($A729&amp;" Corp","NAME")))</f>
        <v/>
      </c>
      <c r="D729" s="76">
        <f>IF($A729="","",_xll.BDP($A729&amp;" Corp","CPN"))</f>
        <v/>
      </c>
      <c r="E729" s="75">
        <f>IF($A729="","",_xll.BDP($A729&amp;" Corp","PAYMENT_RANK"))</f>
        <v/>
      </c>
      <c r="F729" s="100">
        <f>IF($A729="","",_xll.BDP($A729&amp;" Corp","MATURITY"))</f>
        <v/>
      </c>
      <c r="G729" s="75">
        <f>IF($A729="","",PROPER(_xll.BDP($A729&amp;" Corp","COUNTRY_FULL_NAME")))</f>
        <v/>
      </c>
      <c r="H729" s="75">
        <f>IF($A729="","",_xll.BDP($A729&amp;" Corp","INDUSTRY_SECTOR"))</f>
        <v/>
      </c>
      <c r="I729" s="101">
        <f>IF($A729="","",IFERROR(_xll.BDP($A729&amp;" Corp","MIN_PIECE")/1000,""))</f>
        <v/>
      </c>
      <c r="J729" s="31">
        <f>IF($A729="","",_xll.BDP($A729&amp;" Corp","PX_LAST"))</f>
        <v/>
      </c>
      <c r="K729" s="31">
        <f>IF($A729="","",_xll.BDP($A729&amp;" Corp","YAS_BOND_YLD","YAS_YLD_FLAG=15"))</f>
        <v/>
      </c>
      <c r="L729" s="31">
        <f>IF($A729="","",K729-_xll.BDP($A729&amp;" Corp","YAS_BOND_YLD","YAS_YLD_FLAG=15","SETTLE_DT",Company_desc!$A$1))</f>
        <v/>
      </c>
      <c r="M729" s="31">
        <f>IF($A729="","",K729-_xll.BDP($A729&amp;" Corp","YAS_BOND_YLD","YAS_YLD_FLAG=15","SETTLE_DT",Company_desc!$A$2))</f>
        <v/>
      </c>
      <c r="N729" s="79">
        <f>IF($A729="","",_xll.BDP($A729&amp;" Corp","YAS_OAS_SPRD"))</f>
        <v/>
      </c>
      <c r="O729" s="67">
        <f>IF($A729="","",_xll.BDP($A729&amp;" Corp","YAS_MOD_DUR"))</f>
        <v/>
      </c>
      <c r="P729" s="80">
        <f>IF($A729="","",IFERROR(INDEX(Sheet1!$P:$P,MATCH($A729,Sheet1!$A:$A,0)),""))</f>
        <v/>
      </c>
      <c r="Q729" s="75">
        <f>IF($A729="","",IFERROR(INDEX(Company_desc!$C:$C,MATCH($A729,Company_desc!$A:$A,0)),IFERROR(INDEX(Sheet1!$Q:$Q,MATCH($A729,Sheet1!$A:$A,0)),"")))</f>
        <v/>
      </c>
      <c r="R729" s="75">
        <f>IF($A729="","",_xll.BDP($A729&amp;" Corp","CRNCY"))</f>
        <v/>
      </c>
      <c r="S729" s="75">
        <f>IF($A729="","",IFERROR(INDEX(Sheet1!$S:$S,MATCH($A729,Sheet1!$A:$A,0)),""))</f>
        <v/>
      </c>
      <c r="T729" s="75">
        <f>IF($A729="","",IFERROR(INDEX(Sheet1!$T:$T,MATCH($A729,Sheet1!$A:$A,0)),_xll.BDP($A729&amp;" Corp","RTG_SP")))</f>
        <v/>
      </c>
      <c r="U729" s="75">
        <f>IF($A729="","",IFERROR(INDEX(Sheet1!$U:$U,MATCH($A729,Sheet1!$A:$A,0)),""))</f>
        <v/>
      </c>
      <c r="W729" s="81">
        <f>IF($A729="","",N729-_xll.BDP($A729&amp;" Corp","YAS_OAS_SPRD","SETTLE_DT",Company_desc!$A$1))</f>
        <v/>
      </c>
      <c r="X729" s="81">
        <f>IF($A729="","",N729-_xll.BDP($A729&amp;" Corp","YAS_OAS_SPRD","SETTLE_DT",Company_desc!$A$2))</f>
        <v/>
      </c>
      <c r="Y729" s="80">
        <f>IF($A729="","",N729-_xll.BDP($A729&amp;" Corp","YAS_OAS_SPRD","SETTLE_DT",Company_desc!$D$1))</f>
        <v/>
      </c>
      <c r="Z729" s="82">
        <f>IF($A729="","",K729-_xll.BDP($A729&amp;" Corp","YAS_BOND_YLD","YAS_YLD_FLAG=15","SETTLE_DT",Company_desc!$D$1))</f>
        <v/>
      </c>
      <c r="AA729" s="80">
        <f>IF($A729="","",_xll.BDP($A729&amp;" Corp","YAS_OAS_SPRD","SETTLE_DT",Company_desc!$D$1))</f>
        <v/>
      </c>
    </row>
    <row r="730">
      <c r="B730" s="75">
        <f>IF($A730="","",IFERROR(INDEX(Sheet1!$B:$B,MATCH($A730,Sheet1!$A:$A,0)),""))</f>
        <v/>
      </c>
      <c r="C730" s="75">
        <f>IF($A730="","",PROPER(_xll.BDP($A730&amp;" Corp","NAME")))</f>
        <v/>
      </c>
      <c r="D730" s="76">
        <f>IF($A730="","",_xll.BDP($A730&amp;" Corp","CPN"))</f>
        <v/>
      </c>
      <c r="E730" s="75">
        <f>IF($A730="","",_xll.BDP($A730&amp;" Corp","PAYMENT_RANK"))</f>
        <v/>
      </c>
      <c r="F730" s="100">
        <f>IF($A730="","",_xll.BDP($A730&amp;" Corp","MATURITY"))</f>
        <v/>
      </c>
      <c r="G730" s="75">
        <f>IF($A730="","",PROPER(_xll.BDP($A730&amp;" Corp","COUNTRY_FULL_NAME")))</f>
        <v/>
      </c>
      <c r="H730" s="75">
        <f>IF($A730="","",_xll.BDP($A730&amp;" Corp","INDUSTRY_SECTOR"))</f>
        <v/>
      </c>
      <c r="I730" s="101">
        <f>IF($A730="","",IFERROR(_xll.BDP($A730&amp;" Corp","MIN_PIECE")/1000,""))</f>
        <v/>
      </c>
      <c r="J730" s="31">
        <f>IF($A730="","",_xll.BDP($A730&amp;" Corp","PX_LAST"))</f>
        <v/>
      </c>
      <c r="K730" s="31">
        <f>IF($A730="","",_xll.BDP($A730&amp;" Corp","YAS_BOND_YLD","YAS_YLD_FLAG=15"))</f>
        <v/>
      </c>
      <c r="L730" s="31">
        <f>IF($A730="","",K730-_xll.BDP($A730&amp;" Corp","YAS_BOND_YLD","YAS_YLD_FLAG=15","SETTLE_DT",Company_desc!$A$1))</f>
        <v/>
      </c>
      <c r="M730" s="31">
        <f>IF($A730="","",K730-_xll.BDP($A730&amp;" Corp","YAS_BOND_YLD","YAS_YLD_FLAG=15","SETTLE_DT",Company_desc!$A$2))</f>
        <v/>
      </c>
      <c r="N730" s="79">
        <f>IF($A730="","",_xll.BDP($A730&amp;" Corp","YAS_OAS_SPRD"))</f>
        <v/>
      </c>
      <c r="O730" s="67">
        <f>IF($A730="","",_xll.BDP($A730&amp;" Corp","YAS_MOD_DUR"))</f>
        <v/>
      </c>
      <c r="P730" s="80">
        <f>IF($A730="","",IFERROR(INDEX(Sheet1!$P:$P,MATCH($A730,Sheet1!$A:$A,0)),""))</f>
        <v/>
      </c>
      <c r="Q730" s="75">
        <f>IF($A730="","",IFERROR(INDEX(Company_desc!$C:$C,MATCH($A730,Company_desc!$A:$A,0)),IFERROR(INDEX(Sheet1!$Q:$Q,MATCH($A730,Sheet1!$A:$A,0)),"")))</f>
        <v/>
      </c>
      <c r="R730" s="75">
        <f>IF($A730="","",_xll.BDP($A730&amp;" Corp","CRNCY"))</f>
        <v/>
      </c>
      <c r="S730" s="75">
        <f>IF($A730="","",IFERROR(INDEX(Sheet1!$S:$S,MATCH($A730,Sheet1!$A:$A,0)),""))</f>
        <v/>
      </c>
      <c r="T730" s="75">
        <f>IF($A730="","",IFERROR(INDEX(Sheet1!$T:$T,MATCH($A730,Sheet1!$A:$A,0)),_xll.BDP($A730&amp;" Corp","RTG_SP")))</f>
        <v/>
      </c>
      <c r="U730" s="75">
        <f>IF($A730="","",IFERROR(INDEX(Sheet1!$U:$U,MATCH($A730,Sheet1!$A:$A,0)),""))</f>
        <v/>
      </c>
      <c r="W730" s="81">
        <f>IF($A730="","",N730-_xll.BDP($A730&amp;" Corp","YAS_OAS_SPRD","SETTLE_DT",Company_desc!$A$1))</f>
        <v/>
      </c>
      <c r="X730" s="81">
        <f>IF($A730="","",N730-_xll.BDP($A730&amp;" Corp","YAS_OAS_SPRD","SETTLE_DT",Company_desc!$A$2))</f>
        <v/>
      </c>
      <c r="Y730" s="80">
        <f>IF($A730="","",N730-_xll.BDP($A730&amp;" Corp","YAS_OAS_SPRD","SETTLE_DT",Company_desc!$D$1))</f>
        <v/>
      </c>
      <c r="Z730" s="82">
        <f>IF($A730="","",K730-_xll.BDP($A730&amp;" Corp","YAS_BOND_YLD","YAS_YLD_FLAG=15","SETTLE_DT",Company_desc!$D$1))</f>
        <v/>
      </c>
      <c r="AA730" s="80">
        <f>IF($A730="","",_xll.BDP($A730&amp;" Corp","YAS_OAS_SPRD","SETTLE_DT",Company_desc!$D$1))</f>
        <v/>
      </c>
    </row>
    <row r="731">
      <c r="B731" s="75">
        <f>IF($A731="","",IFERROR(INDEX(Sheet1!$B:$B,MATCH($A731,Sheet1!$A:$A,0)),""))</f>
        <v/>
      </c>
      <c r="C731" s="75">
        <f>IF($A731="","",PROPER(_xll.BDP($A731&amp;" Corp","NAME")))</f>
        <v/>
      </c>
      <c r="D731" s="76">
        <f>IF($A731="","",_xll.BDP($A731&amp;" Corp","CPN"))</f>
        <v/>
      </c>
      <c r="E731" s="75">
        <f>IF($A731="","",_xll.BDP($A731&amp;" Corp","PAYMENT_RANK"))</f>
        <v/>
      </c>
      <c r="F731" s="100">
        <f>IF($A731="","",_xll.BDP($A731&amp;" Corp","MATURITY"))</f>
        <v/>
      </c>
      <c r="G731" s="75">
        <f>IF($A731="","",PROPER(_xll.BDP($A731&amp;" Corp","COUNTRY_FULL_NAME")))</f>
        <v/>
      </c>
      <c r="H731" s="75">
        <f>IF($A731="","",_xll.BDP($A731&amp;" Corp","INDUSTRY_SECTOR"))</f>
        <v/>
      </c>
      <c r="I731" s="101">
        <f>IF($A731="","",IFERROR(_xll.BDP($A731&amp;" Corp","MIN_PIECE")/1000,""))</f>
        <v/>
      </c>
      <c r="J731" s="31">
        <f>IF($A731="","",_xll.BDP($A731&amp;" Corp","PX_LAST"))</f>
        <v/>
      </c>
      <c r="K731" s="31">
        <f>IF($A731="","",_xll.BDP($A731&amp;" Corp","YAS_BOND_YLD","YAS_YLD_FLAG=15"))</f>
        <v/>
      </c>
      <c r="L731" s="31">
        <f>IF($A731="","",K731-_xll.BDP($A731&amp;" Corp","YAS_BOND_YLD","YAS_YLD_FLAG=15","SETTLE_DT",Company_desc!$A$1))</f>
        <v/>
      </c>
      <c r="M731" s="31">
        <f>IF($A731="","",K731-_xll.BDP($A731&amp;" Corp","YAS_BOND_YLD","YAS_YLD_FLAG=15","SETTLE_DT",Company_desc!$A$2))</f>
        <v/>
      </c>
      <c r="N731" s="79">
        <f>IF($A731="","",_xll.BDP($A731&amp;" Corp","YAS_OAS_SPRD"))</f>
        <v/>
      </c>
      <c r="O731" s="67">
        <f>IF($A731="","",_xll.BDP($A731&amp;" Corp","YAS_MOD_DUR"))</f>
        <v/>
      </c>
      <c r="P731" s="80">
        <f>IF($A731="","",IFERROR(INDEX(Sheet1!$P:$P,MATCH($A731,Sheet1!$A:$A,0)),""))</f>
        <v/>
      </c>
      <c r="Q731" s="75">
        <f>IF($A731="","",IFERROR(INDEX(Company_desc!$C:$C,MATCH($A731,Company_desc!$A:$A,0)),IFERROR(INDEX(Sheet1!$Q:$Q,MATCH($A731,Sheet1!$A:$A,0)),"")))</f>
        <v/>
      </c>
      <c r="R731" s="75">
        <f>IF($A731="","",_xll.BDP($A731&amp;" Corp","CRNCY"))</f>
        <v/>
      </c>
      <c r="S731" s="75">
        <f>IF($A731="","",IFERROR(INDEX(Sheet1!$S:$S,MATCH($A731,Sheet1!$A:$A,0)),""))</f>
        <v/>
      </c>
      <c r="T731" s="75">
        <f>IF($A731="","",IFERROR(INDEX(Sheet1!$T:$T,MATCH($A731,Sheet1!$A:$A,0)),_xll.BDP($A731&amp;" Corp","RTG_SP")))</f>
        <v/>
      </c>
      <c r="U731" s="75">
        <f>IF($A731="","",IFERROR(INDEX(Sheet1!$U:$U,MATCH($A731,Sheet1!$A:$A,0)),""))</f>
        <v/>
      </c>
      <c r="W731" s="81">
        <f>IF($A731="","",N731-_xll.BDP($A731&amp;" Corp","YAS_OAS_SPRD","SETTLE_DT",Company_desc!$A$1))</f>
        <v/>
      </c>
      <c r="X731" s="81">
        <f>IF($A731="","",N731-_xll.BDP($A731&amp;" Corp","YAS_OAS_SPRD","SETTLE_DT",Company_desc!$A$2))</f>
        <v/>
      </c>
      <c r="Y731" s="80">
        <f>IF($A731="","",N731-_xll.BDP($A731&amp;" Corp","YAS_OAS_SPRD","SETTLE_DT",Company_desc!$D$1))</f>
        <v/>
      </c>
      <c r="Z731" s="82">
        <f>IF($A731="","",K731-_xll.BDP($A731&amp;" Corp","YAS_BOND_YLD","YAS_YLD_FLAG=15","SETTLE_DT",Company_desc!$D$1))</f>
        <v/>
      </c>
      <c r="AA731" s="80">
        <f>IF($A731="","",_xll.BDP($A731&amp;" Corp","YAS_OAS_SPRD","SETTLE_DT",Company_desc!$D$1))</f>
        <v/>
      </c>
    </row>
    <row r="732">
      <c r="B732" s="75">
        <f>IF($A732="","",IFERROR(INDEX(Sheet1!$B:$B,MATCH($A732,Sheet1!$A:$A,0)),""))</f>
        <v/>
      </c>
      <c r="C732" s="75">
        <f>IF($A732="","",PROPER(_xll.BDP($A732&amp;" Corp","NAME")))</f>
        <v/>
      </c>
      <c r="D732" s="76">
        <f>IF($A732="","",_xll.BDP($A732&amp;" Corp","CPN"))</f>
        <v/>
      </c>
      <c r="E732" s="75">
        <f>IF($A732="","",_xll.BDP($A732&amp;" Corp","PAYMENT_RANK"))</f>
        <v/>
      </c>
      <c r="F732" s="100">
        <f>IF($A732="","",_xll.BDP($A732&amp;" Corp","MATURITY"))</f>
        <v/>
      </c>
      <c r="G732" s="75">
        <f>IF($A732="","",PROPER(_xll.BDP($A732&amp;" Corp","COUNTRY_FULL_NAME")))</f>
        <v/>
      </c>
      <c r="H732" s="75">
        <f>IF($A732="","",_xll.BDP($A732&amp;" Corp","INDUSTRY_SECTOR"))</f>
        <v/>
      </c>
      <c r="I732" s="101">
        <f>IF($A732="","",IFERROR(_xll.BDP($A732&amp;" Corp","MIN_PIECE")/1000,""))</f>
        <v/>
      </c>
      <c r="J732" s="31">
        <f>IF($A732="","",_xll.BDP($A732&amp;" Corp","PX_LAST"))</f>
        <v/>
      </c>
      <c r="K732" s="31">
        <f>IF($A732="","",_xll.BDP($A732&amp;" Corp","YAS_BOND_YLD","YAS_YLD_FLAG=15"))</f>
        <v/>
      </c>
      <c r="L732" s="31">
        <f>IF($A732="","",K732-_xll.BDP($A732&amp;" Corp","YAS_BOND_YLD","YAS_YLD_FLAG=15","SETTLE_DT",Company_desc!$A$1))</f>
        <v/>
      </c>
      <c r="M732" s="31">
        <f>IF($A732="","",K732-_xll.BDP($A732&amp;" Corp","YAS_BOND_YLD","YAS_YLD_FLAG=15","SETTLE_DT",Company_desc!$A$2))</f>
        <v/>
      </c>
      <c r="N732" s="79">
        <f>IF($A732="","",_xll.BDP($A732&amp;" Corp","YAS_OAS_SPRD"))</f>
        <v/>
      </c>
      <c r="O732" s="67">
        <f>IF($A732="","",_xll.BDP($A732&amp;" Corp","YAS_MOD_DUR"))</f>
        <v/>
      </c>
      <c r="P732" s="80">
        <f>IF($A732="","",IFERROR(INDEX(Sheet1!$P:$P,MATCH($A732,Sheet1!$A:$A,0)),""))</f>
        <v/>
      </c>
      <c r="Q732" s="75">
        <f>IF($A732="","",IFERROR(INDEX(Company_desc!$C:$C,MATCH($A732,Company_desc!$A:$A,0)),IFERROR(INDEX(Sheet1!$Q:$Q,MATCH($A732,Sheet1!$A:$A,0)),"")))</f>
        <v/>
      </c>
      <c r="R732" s="75">
        <f>IF($A732="","",_xll.BDP($A732&amp;" Corp","CRNCY"))</f>
        <v/>
      </c>
      <c r="S732" s="75">
        <f>IF($A732="","",IFERROR(INDEX(Sheet1!$S:$S,MATCH($A732,Sheet1!$A:$A,0)),""))</f>
        <v/>
      </c>
      <c r="T732" s="75">
        <f>IF($A732="","",IFERROR(INDEX(Sheet1!$T:$T,MATCH($A732,Sheet1!$A:$A,0)),_xll.BDP($A732&amp;" Corp","RTG_SP")))</f>
        <v/>
      </c>
      <c r="U732" s="75">
        <f>IF($A732="","",IFERROR(INDEX(Sheet1!$U:$U,MATCH($A732,Sheet1!$A:$A,0)),""))</f>
        <v/>
      </c>
      <c r="W732" s="81">
        <f>IF($A732="","",N732-_xll.BDP($A732&amp;" Corp","YAS_OAS_SPRD","SETTLE_DT",Company_desc!$A$1))</f>
        <v/>
      </c>
      <c r="X732" s="81">
        <f>IF($A732="","",N732-_xll.BDP($A732&amp;" Corp","YAS_OAS_SPRD","SETTLE_DT",Company_desc!$A$2))</f>
        <v/>
      </c>
      <c r="Y732" s="80">
        <f>IF($A732="","",N732-_xll.BDP($A732&amp;" Corp","YAS_OAS_SPRD","SETTLE_DT",Company_desc!$D$1))</f>
        <v/>
      </c>
      <c r="Z732" s="82">
        <f>IF($A732="","",K732-_xll.BDP($A732&amp;" Corp","YAS_BOND_YLD","YAS_YLD_FLAG=15","SETTLE_DT",Company_desc!$D$1))</f>
        <v/>
      </c>
      <c r="AA732" s="80">
        <f>IF($A732="","",_xll.BDP($A732&amp;" Corp","YAS_OAS_SPRD","SETTLE_DT",Company_desc!$D$1))</f>
        <v/>
      </c>
    </row>
    <row r="733">
      <c r="B733" s="28">
        <f>IF($A733="","",IFERROR(INDEX(Sheet1!$B:$B,MATCH($A733,Sheet1!$A:$A,0)),""))</f>
        <v/>
      </c>
      <c r="C733" s="29">
        <f>IF($A733="","",PROPER(_xll.BDP($A733&amp;" Corp","NAME")))</f>
        <v/>
      </c>
      <c r="D733" s="84">
        <f>IF($A733="","",_xll.BDP($A733&amp;" Corp","CPN"))</f>
        <v/>
      </c>
      <c r="E733" s="84">
        <f>IF($A733="","",_xll.BDP($A733&amp;" Corp","PAYMENT_RANK"))</f>
        <v/>
      </c>
      <c r="F733" s="102">
        <f>IF($A733="","",_xll.BDP($A733&amp;" Corp","MATURITY"))</f>
        <v/>
      </c>
      <c r="G733" s="43">
        <f>IF($A733="","",PROPER(_xll.BDP($A733&amp;" Corp","COUNTRY_FULL_NAME")))</f>
        <v/>
      </c>
      <c r="H733" s="29">
        <f>IF($A733="","",_xll.BDP($A733&amp;" Corp","INDUSTRY_SECTOR"))</f>
        <v/>
      </c>
      <c r="I733" s="103">
        <f>IF($A733="","",IFERROR(_xll.BDP($A733&amp;" Corp","MIN_PIECE")/1000,""))</f>
        <v/>
      </c>
      <c r="J733" s="31">
        <f>IF($A733="","",_xll.BDP($A733&amp;" Corp","PX_LAST"))</f>
        <v/>
      </c>
      <c r="K733" s="31">
        <f>IF($A733="","",_xll.BDP($A733&amp;" Corp","YAS_BOND_YLD","YAS_YLD_FLAG=15"))</f>
        <v/>
      </c>
      <c r="L733" s="31">
        <f>IF($A733="","",K733-_xll.BDP($A733&amp;" Corp","YAS_BOND_YLD","YAS_YLD_FLAG=15","SETTLE_DT",Company_desc!$A$1))</f>
        <v/>
      </c>
      <c r="M733" s="31">
        <f>IF($A733="","",K733-_xll.BDP($A733&amp;" Corp","YAS_BOND_YLD","YAS_YLD_FLAG=15","SETTLE_DT",Company_desc!$A$2))</f>
        <v/>
      </c>
      <c r="N733" s="79">
        <f>IF($A733="","",_xll.BDP($A733&amp;" Corp","YAS_OAS_SPRD"))</f>
        <v/>
      </c>
      <c r="O733" s="67">
        <f>IF($A733="","",_xll.BDP($A733&amp;" Corp","YAS_MOD_DUR"))</f>
        <v/>
      </c>
      <c r="P733" s="79">
        <f>IF($A733="","",IFERROR(INDEX(Sheet1!$P:$P,MATCH($A733,Sheet1!$A:$A,0)),""))</f>
        <v/>
      </c>
      <c r="Q733" s="27">
        <f>IF($A733="","",IFERROR(INDEX(Company_desc!$C:$C,MATCH($A733,Company_desc!$A:$A,0)),IFERROR(INDEX(Sheet1!$Q:$Q,MATCH($A733,Sheet1!$A:$A,0)),"")))</f>
        <v/>
      </c>
      <c r="R733" s="27">
        <f>IF($A733="","",_xll.BDP($A733&amp;" Corp","CRNCY"))</f>
        <v/>
      </c>
      <c r="S733" s="27">
        <f>IF($A733="","",IFERROR(INDEX(Sheet1!$S:$S,MATCH($A733,Sheet1!$A:$A,0)),""))</f>
        <v/>
      </c>
      <c r="T733" s="47">
        <f>IF($A733="","",IFERROR(INDEX(Sheet1!$T:$T,MATCH($A733,Sheet1!$A:$A,0)),_xll.BDP($A733&amp;" Corp","RTG_SP")))</f>
        <v/>
      </c>
      <c r="U733" s="75">
        <f>IF($A733="","",IFERROR(INDEX(Sheet1!$U:$U,MATCH($A733,Sheet1!$A:$A,0)),""))</f>
        <v/>
      </c>
      <c r="W733" s="81">
        <f>IF($A733="","",N733-_xll.BDP($A733&amp;" Corp","YAS_OAS_SPRD","SETTLE_DT",Company_desc!$A$1))</f>
        <v/>
      </c>
      <c r="X733" s="81">
        <f>IF($A733="","",N733-_xll.BDP($A733&amp;" Corp","YAS_OAS_SPRD","SETTLE_DT",Company_desc!$A$2))</f>
        <v/>
      </c>
      <c r="Y733" s="80">
        <f>IF($A733="","",N733-_xll.BDP($A733&amp;" Corp","YAS_OAS_SPRD","SETTLE_DT",Company_desc!$D$1))</f>
        <v/>
      </c>
      <c r="Z733" s="82">
        <f>IF($A733="","",K733-_xll.BDP($A733&amp;" Corp","YAS_BOND_YLD","YAS_YLD_FLAG=15","SETTLE_DT",Company_desc!$D$1))</f>
        <v/>
      </c>
      <c r="AA733" s="80">
        <f>IF($A733="","",_xll.BDP($A733&amp;" Corp","YAS_OAS_SPRD","SETTLE_DT",Company_desc!$D$1))</f>
        <v/>
      </c>
    </row>
    <row r="734">
      <c r="B734" s="75">
        <f>IF($A734="","",IFERROR(INDEX(Sheet1!$B:$B,MATCH($A734,Sheet1!$A:$A,0)),""))</f>
        <v/>
      </c>
      <c r="C734" s="75">
        <f>IF($A734="","",PROPER(_xll.BDP($A734&amp;" Corp","NAME")))</f>
        <v/>
      </c>
      <c r="D734" s="76">
        <f>IF($A734="","",_xll.BDP($A734&amp;" Corp","CPN"))</f>
        <v/>
      </c>
      <c r="E734" s="75">
        <f>IF($A734="","",_xll.BDP($A734&amp;" Corp","PAYMENT_RANK"))</f>
        <v/>
      </c>
      <c r="F734" s="100">
        <f>IF($A734="","",_xll.BDP($A734&amp;" Corp","MATURITY"))</f>
        <v/>
      </c>
      <c r="G734" s="75">
        <f>IF($A734="","",PROPER(_xll.BDP($A734&amp;" Corp","COUNTRY_FULL_NAME")))</f>
        <v/>
      </c>
      <c r="H734" s="75">
        <f>IF($A734="","",_xll.BDP($A734&amp;" Corp","INDUSTRY_SECTOR"))</f>
        <v/>
      </c>
      <c r="I734" s="101">
        <f>IF($A734="","",IFERROR(_xll.BDP($A734&amp;" Corp","MIN_PIECE")/1000,""))</f>
        <v/>
      </c>
      <c r="J734" s="31">
        <f>IF($A734="","",_xll.BDP($A734&amp;" Corp","PX_LAST"))</f>
        <v/>
      </c>
      <c r="K734" s="31">
        <f>IF($A734="","",_xll.BDP($A734&amp;" Corp","YAS_BOND_YLD","YAS_YLD_FLAG=15"))</f>
        <v/>
      </c>
      <c r="L734" s="31">
        <f>IF($A734="","",K734-_xll.BDP($A734&amp;" Corp","YAS_BOND_YLD","YAS_YLD_FLAG=15","SETTLE_DT",Company_desc!$A$1))</f>
        <v/>
      </c>
      <c r="M734" s="31">
        <f>IF($A734="","",K734-_xll.BDP($A734&amp;" Corp","YAS_BOND_YLD","YAS_YLD_FLAG=15","SETTLE_DT",Company_desc!$A$2))</f>
        <v/>
      </c>
      <c r="N734" s="79">
        <f>IF($A734="","",_xll.BDP($A734&amp;" Corp","YAS_OAS_SPRD"))</f>
        <v/>
      </c>
      <c r="O734" s="67">
        <f>IF($A734="","",_xll.BDP($A734&amp;" Corp","YAS_MOD_DUR"))</f>
        <v/>
      </c>
      <c r="P734" s="80">
        <f>IF($A734="","",IFERROR(INDEX(Sheet1!$P:$P,MATCH($A734,Sheet1!$A:$A,0)),""))</f>
        <v/>
      </c>
      <c r="Q734" s="75">
        <f>IF($A734="","",IFERROR(INDEX(Company_desc!$C:$C,MATCH($A734,Company_desc!$A:$A,0)),IFERROR(INDEX(Sheet1!$Q:$Q,MATCH($A734,Sheet1!$A:$A,0)),"")))</f>
        <v/>
      </c>
      <c r="R734" s="75">
        <f>IF($A734="","",_xll.BDP($A734&amp;" Corp","CRNCY"))</f>
        <v/>
      </c>
      <c r="S734" s="75">
        <f>IF($A734="","",IFERROR(INDEX(Sheet1!$S:$S,MATCH($A734,Sheet1!$A:$A,0)),""))</f>
        <v/>
      </c>
      <c r="T734" s="75">
        <f>IF($A734="","",IFERROR(INDEX(Sheet1!$T:$T,MATCH($A734,Sheet1!$A:$A,0)),_xll.BDP($A734&amp;" Corp","RTG_SP")))</f>
        <v/>
      </c>
      <c r="U734" s="75">
        <f>IF($A734="","",IFERROR(INDEX(Sheet1!$U:$U,MATCH($A734,Sheet1!$A:$A,0)),""))</f>
        <v/>
      </c>
      <c r="W734" s="81">
        <f>IF($A734="","",N734-_xll.BDP($A734&amp;" Corp","YAS_OAS_SPRD","SETTLE_DT",Company_desc!$A$1))</f>
        <v/>
      </c>
      <c r="X734" s="81">
        <f>IF($A734="","",N734-_xll.BDP($A734&amp;" Corp","YAS_OAS_SPRD","SETTLE_DT",Company_desc!$A$2))</f>
        <v/>
      </c>
      <c r="Y734" s="80">
        <f>IF($A734="","",N734-_xll.BDP($A734&amp;" Corp","YAS_OAS_SPRD","SETTLE_DT",Company_desc!$D$1))</f>
        <v/>
      </c>
      <c r="Z734" s="82">
        <f>IF($A734="","",K734-_xll.BDP($A734&amp;" Corp","YAS_BOND_YLD","YAS_YLD_FLAG=15","SETTLE_DT",Company_desc!$D$1))</f>
        <v/>
      </c>
      <c r="AA734" s="80">
        <f>IF($A734="","",_xll.BDP($A734&amp;" Corp","YAS_OAS_SPRD","SETTLE_DT",Company_desc!$D$1))</f>
        <v/>
      </c>
    </row>
    <row r="735">
      <c r="B735" s="75">
        <f>IF($A735="","",IFERROR(INDEX(Sheet1!$B:$B,MATCH($A735,Sheet1!$A:$A,0)),""))</f>
        <v/>
      </c>
      <c r="C735" s="75">
        <f>IF($A735="","",PROPER(_xll.BDP($A735&amp;" Corp","NAME")))</f>
        <v/>
      </c>
      <c r="D735" s="76">
        <f>IF($A735="","",_xll.BDP($A735&amp;" Corp","CPN"))</f>
        <v/>
      </c>
      <c r="E735" s="75">
        <f>IF($A735="","",_xll.BDP($A735&amp;" Corp","PAYMENT_RANK"))</f>
        <v/>
      </c>
      <c r="F735" s="100">
        <f>IF($A735="","",_xll.BDP($A735&amp;" Corp","MATURITY"))</f>
        <v/>
      </c>
      <c r="G735" s="75">
        <f>IF($A735="","",PROPER(_xll.BDP($A735&amp;" Corp","COUNTRY_FULL_NAME")))</f>
        <v/>
      </c>
      <c r="H735" s="75">
        <f>IF($A735="","",_xll.BDP($A735&amp;" Corp","INDUSTRY_SECTOR"))</f>
        <v/>
      </c>
      <c r="I735" s="101">
        <f>IF($A735="","",IFERROR(_xll.BDP($A735&amp;" Corp","MIN_PIECE")/1000,""))</f>
        <v/>
      </c>
      <c r="J735" s="31">
        <f>IF($A735="","",_xll.BDP($A735&amp;" Corp","PX_LAST"))</f>
        <v/>
      </c>
      <c r="K735" s="31">
        <f>IF($A735="","",_xll.BDP($A735&amp;" Corp","YAS_BOND_YLD","YAS_YLD_FLAG=15"))</f>
        <v/>
      </c>
      <c r="L735" s="31">
        <f>IF($A735="","",K735-_xll.BDP($A735&amp;" Corp","YAS_BOND_YLD","YAS_YLD_FLAG=15","SETTLE_DT",Company_desc!$A$1))</f>
        <v/>
      </c>
      <c r="M735" s="31">
        <f>IF($A735="","",K735-_xll.BDP($A735&amp;" Corp","YAS_BOND_YLD","YAS_YLD_FLAG=15","SETTLE_DT",Company_desc!$A$2))</f>
        <v/>
      </c>
      <c r="N735" s="79">
        <f>IF($A735="","",_xll.BDP($A735&amp;" Corp","YAS_OAS_SPRD"))</f>
        <v/>
      </c>
      <c r="O735" s="67">
        <f>IF($A735="","",_xll.BDP($A735&amp;" Corp","YAS_MOD_DUR"))</f>
        <v/>
      </c>
      <c r="P735" s="80">
        <f>IF($A735="","",IFERROR(INDEX(Sheet1!$P:$P,MATCH($A735,Sheet1!$A:$A,0)),""))</f>
        <v/>
      </c>
      <c r="Q735" s="75">
        <f>IF($A735="","",IFERROR(INDEX(Company_desc!$C:$C,MATCH($A735,Company_desc!$A:$A,0)),IFERROR(INDEX(Sheet1!$Q:$Q,MATCH($A735,Sheet1!$A:$A,0)),"")))</f>
        <v/>
      </c>
      <c r="R735" s="75">
        <f>IF($A735="","",_xll.BDP($A735&amp;" Corp","CRNCY"))</f>
        <v/>
      </c>
      <c r="S735" s="75">
        <f>IF($A735="","",IFERROR(INDEX(Sheet1!$S:$S,MATCH($A735,Sheet1!$A:$A,0)),""))</f>
        <v/>
      </c>
      <c r="T735" s="75">
        <f>IF($A735="","",IFERROR(INDEX(Sheet1!$T:$T,MATCH($A735,Sheet1!$A:$A,0)),_xll.BDP($A735&amp;" Corp","RTG_SP")))</f>
        <v/>
      </c>
      <c r="U735" s="75">
        <f>IF($A735="","",IFERROR(INDEX(Sheet1!$U:$U,MATCH($A735,Sheet1!$A:$A,0)),""))</f>
        <v/>
      </c>
      <c r="W735" s="81">
        <f>IF($A735="","",N735-_xll.BDP($A735&amp;" Corp","YAS_OAS_SPRD","SETTLE_DT",Company_desc!$A$1))</f>
        <v/>
      </c>
      <c r="X735" s="81">
        <f>IF($A735="","",N735-_xll.BDP($A735&amp;" Corp","YAS_OAS_SPRD","SETTLE_DT",Company_desc!$A$2))</f>
        <v/>
      </c>
      <c r="Y735" s="80">
        <f>IF($A735="","",N735-_xll.BDP($A735&amp;" Corp","YAS_OAS_SPRD","SETTLE_DT",Company_desc!$D$1))</f>
        <v/>
      </c>
      <c r="Z735" s="82">
        <f>IF($A735="","",K735-_xll.BDP($A735&amp;" Corp","YAS_BOND_YLD","YAS_YLD_FLAG=15","SETTLE_DT",Company_desc!$D$1))</f>
        <v/>
      </c>
      <c r="AA735" s="80">
        <f>IF($A735="","",_xll.BDP($A735&amp;" Corp","YAS_OAS_SPRD","SETTLE_DT",Company_desc!$D$1))</f>
        <v/>
      </c>
    </row>
    <row r="736">
      <c r="B736" s="75">
        <f>IF($A736="","",IFERROR(INDEX(Sheet1!$B:$B,MATCH($A736,Sheet1!$A:$A,0)),""))</f>
        <v/>
      </c>
      <c r="C736" s="75">
        <f>IF($A736="","",PROPER(_xll.BDP($A736&amp;" Corp","NAME")))</f>
        <v/>
      </c>
      <c r="D736" s="76">
        <f>IF($A736="","",_xll.BDP($A736&amp;" Corp","CPN"))</f>
        <v/>
      </c>
      <c r="E736" s="75">
        <f>IF($A736="","",_xll.BDP($A736&amp;" Corp","PAYMENT_RANK"))</f>
        <v/>
      </c>
      <c r="F736" s="100">
        <f>IF($A736="","",_xll.BDP($A736&amp;" Corp","MATURITY"))</f>
        <v/>
      </c>
      <c r="G736" s="75">
        <f>IF($A736="","",PROPER(_xll.BDP($A736&amp;" Corp","COUNTRY_FULL_NAME")))</f>
        <v/>
      </c>
      <c r="H736" s="75">
        <f>IF($A736="","",_xll.BDP($A736&amp;" Corp","INDUSTRY_SECTOR"))</f>
        <v/>
      </c>
      <c r="I736" s="101">
        <f>IF($A736="","",IFERROR(_xll.BDP($A736&amp;" Corp","MIN_PIECE")/1000,""))</f>
        <v/>
      </c>
      <c r="J736" s="31">
        <f>IF($A736="","",_xll.BDP($A736&amp;" Corp","PX_LAST"))</f>
        <v/>
      </c>
      <c r="K736" s="31">
        <f>IF($A736="","",_xll.BDP($A736&amp;" Corp","YAS_BOND_YLD","YAS_YLD_FLAG=15"))</f>
        <v/>
      </c>
      <c r="L736" s="31">
        <f>IF($A736="","",K736-_xll.BDP($A736&amp;" Corp","YAS_BOND_YLD","YAS_YLD_FLAG=15","SETTLE_DT",Company_desc!$A$1))</f>
        <v/>
      </c>
      <c r="M736" s="31">
        <f>IF($A736="","",K736-_xll.BDP($A736&amp;" Corp","YAS_BOND_YLD","YAS_YLD_FLAG=15","SETTLE_DT",Company_desc!$A$2))</f>
        <v/>
      </c>
      <c r="N736" s="79">
        <f>IF($A736="","",_xll.BDP($A736&amp;" Corp","YAS_OAS_SPRD"))</f>
        <v/>
      </c>
      <c r="O736" s="67">
        <f>IF($A736="","",_xll.BDP($A736&amp;" Corp","YAS_MOD_DUR"))</f>
        <v/>
      </c>
      <c r="P736" s="80">
        <f>IF($A736="","",IFERROR(INDEX(Sheet1!$P:$P,MATCH($A736,Sheet1!$A:$A,0)),""))</f>
        <v/>
      </c>
      <c r="Q736" s="75">
        <f>IF($A736="","",IFERROR(INDEX(Company_desc!$C:$C,MATCH($A736,Company_desc!$A:$A,0)),IFERROR(INDEX(Sheet1!$Q:$Q,MATCH($A736,Sheet1!$A:$A,0)),"")))</f>
        <v/>
      </c>
      <c r="R736" s="75">
        <f>IF($A736="","",_xll.BDP($A736&amp;" Corp","CRNCY"))</f>
        <v/>
      </c>
      <c r="S736" s="75">
        <f>IF($A736="","",IFERROR(INDEX(Sheet1!$S:$S,MATCH($A736,Sheet1!$A:$A,0)),""))</f>
        <v/>
      </c>
      <c r="T736" s="75">
        <f>IF($A736="","",IFERROR(INDEX(Sheet1!$T:$T,MATCH($A736,Sheet1!$A:$A,0)),_xll.BDP($A736&amp;" Corp","RTG_SP")))</f>
        <v/>
      </c>
      <c r="U736" s="75">
        <f>IF($A736="","",IFERROR(INDEX(Sheet1!$U:$U,MATCH($A736,Sheet1!$A:$A,0)),""))</f>
        <v/>
      </c>
      <c r="W736" s="81">
        <f>IF($A736="","",N736-_xll.BDP($A736&amp;" Corp","YAS_OAS_SPRD","SETTLE_DT",Company_desc!$A$1))</f>
        <v/>
      </c>
      <c r="X736" s="81">
        <f>IF($A736="","",N736-_xll.BDP($A736&amp;" Corp","YAS_OAS_SPRD","SETTLE_DT",Company_desc!$A$2))</f>
        <v/>
      </c>
      <c r="Y736" s="80">
        <f>IF($A736="","",N736-_xll.BDP($A736&amp;" Corp","YAS_OAS_SPRD","SETTLE_DT",Company_desc!$D$1))</f>
        <v/>
      </c>
      <c r="Z736" s="82">
        <f>IF($A736="","",K736-_xll.BDP($A736&amp;" Corp","YAS_BOND_YLD","YAS_YLD_FLAG=15","SETTLE_DT",Company_desc!$D$1))</f>
        <v/>
      </c>
      <c r="AA736" s="80">
        <f>IF($A736="","",_xll.BDP($A736&amp;" Corp","YAS_OAS_SPRD","SETTLE_DT",Company_desc!$D$1))</f>
        <v/>
      </c>
    </row>
    <row r="737">
      <c r="B737" s="75">
        <f>IF($A737="","",IFERROR(INDEX(Sheet1!$B:$B,MATCH($A737,Sheet1!$A:$A,0)),""))</f>
        <v/>
      </c>
      <c r="C737" s="75">
        <f>IF($A737="","",PROPER(_xll.BDP($A737&amp;" Corp","NAME")))</f>
        <v/>
      </c>
      <c r="D737" s="76">
        <f>IF($A737="","",_xll.BDP($A737&amp;" Corp","CPN"))</f>
        <v/>
      </c>
      <c r="E737" s="75">
        <f>IF($A737="","",_xll.BDP($A737&amp;" Corp","PAYMENT_RANK"))</f>
        <v/>
      </c>
      <c r="F737" s="100">
        <f>IF($A737="","",_xll.BDP($A737&amp;" Corp","MATURITY"))</f>
        <v/>
      </c>
      <c r="G737" s="75">
        <f>IF($A737="","",PROPER(_xll.BDP($A737&amp;" Corp","COUNTRY_FULL_NAME")))</f>
        <v/>
      </c>
      <c r="H737" s="75">
        <f>IF($A737="","",_xll.BDP($A737&amp;" Corp","INDUSTRY_SECTOR"))</f>
        <v/>
      </c>
      <c r="I737" s="101">
        <f>IF($A737="","",IFERROR(_xll.BDP($A737&amp;" Corp","MIN_PIECE")/1000,""))</f>
        <v/>
      </c>
      <c r="J737" s="31">
        <f>IF($A737="","",_xll.BDP($A737&amp;" Corp","PX_LAST"))</f>
        <v/>
      </c>
      <c r="K737" s="31">
        <f>IF($A737="","",_xll.BDP($A737&amp;" Corp","YAS_BOND_YLD","YAS_YLD_FLAG=15"))</f>
        <v/>
      </c>
      <c r="L737" s="31">
        <f>IF($A737="","",K737-_xll.BDP($A737&amp;" Corp","YAS_BOND_YLD","YAS_YLD_FLAG=15","SETTLE_DT",Company_desc!$A$1))</f>
        <v/>
      </c>
      <c r="M737" s="31">
        <f>IF($A737="","",K737-_xll.BDP($A737&amp;" Corp","YAS_BOND_YLD","YAS_YLD_FLAG=15","SETTLE_DT",Company_desc!$A$2))</f>
        <v/>
      </c>
      <c r="N737" s="79">
        <f>IF($A737="","",_xll.BDP($A737&amp;" Corp","YAS_OAS_SPRD"))</f>
        <v/>
      </c>
      <c r="O737" s="67">
        <f>IF($A737="","",_xll.BDP($A737&amp;" Corp","YAS_MOD_DUR"))</f>
        <v/>
      </c>
      <c r="P737" s="80">
        <f>IF($A737="","",IFERROR(INDEX(Sheet1!$P:$P,MATCH($A737,Sheet1!$A:$A,0)),""))</f>
        <v/>
      </c>
      <c r="Q737" s="75">
        <f>IF($A737="","",IFERROR(INDEX(Company_desc!$C:$C,MATCH($A737,Company_desc!$A:$A,0)),IFERROR(INDEX(Sheet1!$Q:$Q,MATCH($A737,Sheet1!$A:$A,0)),"")))</f>
        <v/>
      </c>
      <c r="R737" s="75">
        <f>IF($A737="","",_xll.BDP($A737&amp;" Corp","CRNCY"))</f>
        <v/>
      </c>
      <c r="S737" s="75">
        <f>IF($A737="","",IFERROR(INDEX(Sheet1!$S:$S,MATCH($A737,Sheet1!$A:$A,0)),""))</f>
        <v/>
      </c>
      <c r="T737" s="75">
        <f>IF($A737="","",IFERROR(INDEX(Sheet1!$T:$T,MATCH($A737,Sheet1!$A:$A,0)),_xll.BDP($A737&amp;" Corp","RTG_SP")))</f>
        <v/>
      </c>
      <c r="U737" s="75">
        <f>IF($A737="","",IFERROR(INDEX(Sheet1!$U:$U,MATCH($A737,Sheet1!$A:$A,0)),""))</f>
        <v/>
      </c>
      <c r="W737" s="81">
        <f>IF($A737="","",N737-_xll.BDP($A737&amp;" Corp","YAS_OAS_SPRD","SETTLE_DT",Company_desc!$A$1))</f>
        <v/>
      </c>
      <c r="X737" s="81">
        <f>IF($A737="","",N737-_xll.BDP($A737&amp;" Corp","YAS_OAS_SPRD","SETTLE_DT",Company_desc!$A$2))</f>
        <v/>
      </c>
      <c r="Y737" s="80">
        <f>IF($A737="","",N737-_xll.BDP($A737&amp;" Corp","YAS_OAS_SPRD","SETTLE_DT",Company_desc!$D$1))</f>
        <v/>
      </c>
      <c r="Z737" s="82">
        <f>IF($A737="","",K737-_xll.BDP($A737&amp;" Corp","YAS_BOND_YLD","YAS_YLD_FLAG=15","SETTLE_DT",Company_desc!$D$1))</f>
        <v/>
      </c>
      <c r="AA737" s="80">
        <f>IF($A737="","",_xll.BDP($A737&amp;" Corp","YAS_OAS_SPRD","SETTLE_DT",Company_desc!$D$1))</f>
        <v/>
      </c>
    </row>
    <row r="738">
      <c r="B738" s="75">
        <f>IF($A738="","",IFERROR(INDEX(Sheet1!$B:$B,MATCH($A738,Sheet1!$A:$A,0)),""))</f>
        <v/>
      </c>
      <c r="C738" s="75">
        <f>IF($A738="","",PROPER(_xll.BDP($A738&amp;" Corp","NAME")))</f>
        <v/>
      </c>
      <c r="D738" s="76">
        <f>IF($A738="","",_xll.BDP($A738&amp;" Corp","CPN"))</f>
        <v/>
      </c>
      <c r="E738" s="75">
        <f>IF($A738="","",_xll.BDP($A738&amp;" Corp","PAYMENT_RANK"))</f>
        <v/>
      </c>
      <c r="F738" s="100">
        <f>IF($A738="","",_xll.BDP($A738&amp;" Corp","MATURITY"))</f>
        <v/>
      </c>
      <c r="G738" s="75">
        <f>IF($A738="","",PROPER(_xll.BDP($A738&amp;" Corp","COUNTRY_FULL_NAME")))</f>
        <v/>
      </c>
      <c r="H738" s="75">
        <f>IF($A738="","",_xll.BDP($A738&amp;" Corp","INDUSTRY_SECTOR"))</f>
        <v/>
      </c>
      <c r="I738" s="101">
        <f>IF($A738="","",IFERROR(_xll.BDP($A738&amp;" Corp","MIN_PIECE")/1000,""))</f>
        <v/>
      </c>
      <c r="J738" s="31">
        <f>IF($A738="","",_xll.BDP($A738&amp;" Corp","PX_LAST"))</f>
        <v/>
      </c>
      <c r="K738" s="31">
        <f>IF($A738="","",_xll.BDP($A738&amp;" Corp","YAS_BOND_YLD","YAS_YLD_FLAG=15"))</f>
        <v/>
      </c>
      <c r="L738" s="31">
        <f>IF($A738="","",K738-_xll.BDP($A738&amp;" Corp","YAS_BOND_YLD","YAS_YLD_FLAG=15","SETTLE_DT",Company_desc!$A$1))</f>
        <v/>
      </c>
      <c r="M738" s="31">
        <f>IF($A738="","",K738-_xll.BDP($A738&amp;" Corp","YAS_BOND_YLD","YAS_YLD_FLAG=15","SETTLE_DT",Company_desc!$A$2))</f>
        <v/>
      </c>
      <c r="N738" s="79">
        <f>IF($A738="","",_xll.BDP($A738&amp;" Corp","YAS_OAS_SPRD"))</f>
        <v/>
      </c>
      <c r="O738" s="67">
        <f>IF($A738="","",_xll.BDP($A738&amp;" Corp","YAS_MOD_DUR"))</f>
        <v/>
      </c>
      <c r="P738" s="80">
        <f>IF($A738="","",IFERROR(INDEX(Sheet1!$P:$P,MATCH($A738,Sheet1!$A:$A,0)),""))</f>
        <v/>
      </c>
      <c r="Q738" s="75">
        <f>IF($A738="","",IFERROR(INDEX(Company_desc!$C:$C,MATCH($A738,Company_desc!$A:$A,0)),IFERROR(INDEX(Sheet1!$Q:$Q,MATCH($A738,Sheet1!$A:$A,0)),"")))</f>
        <v/>
      </c>
      <c r="R738" s="75">
        <f>IF($A738="","",_xll.BDP($A738&amp;" Corp","CRNCY"))</f>
        <v/>
      </c>
      <c r="S738" s="75">
        <f>IF($A738="","",IFERROR(INDEX(Sheet1!$S:$S,MATCH($A738,Sheet1!$A:$A,0)),""))</f>
        <v/>
      </c>
      <c r="T738" s="75">
        <f>IF($A738="","",IFERROR(INDEX(Sheet1!$T:$T,MATCH($A738,Sheet1!$A:$A,0)),_xll.BDP($A738&amp;" Corp","RTG_SP")))</f>
        <v/>
      </c>
      <c r="U738" s="75">
        <f>IF($A738="","",IFERROR(INDEX(Sheet1!$U:$U,MATCH($A738,Sheet1!$A:$A,0)),""))</f>
        <v/>
      </c>
      <c r="W738" s="81">
        <f>IF($A738="","",N738-_xll.BDP($A738&amp;" Corp","YAS_OAS_SPRD","SETTLE_DT",Company_desc!$A$1))</f>
        <v/>
      </c>
      <c r="X738" s="81">
        <f>IF($A738="","",N738-_xll.BDP($A738&amp;" Corp","YAS_OAS_SPRD","SETTLE_DT",Company_desc!$A$2))</f>
        <v/>
      </c>
      <c r="Y738" s="80">
        <f>IF($A738="","",N738-_xll.BDP($A738&amp;" Corp","YAS_OAS_SPRD","SETTLE_DT",Company_desc!$D$1))</f>
        <v/>
      </c>
      <c r="Z738" s="82">
        <f>IF($A738="","",K738-_xll.BDP($A738&amp;" Corp","YAS_BOND_YLD","YAS_YLD_FLAG=15","SETTLE_DT",Company_desc!$D$1))</f>
        <v/>
      </c>
      <c r="AA738" s="80">
        <f>IF($A738="","",_xll.BDP($A738&amp;" Corp","YAS_OAS_SPRD","SETTLE_DT",Company_desc!$D$1))</f>
        <v/>
      </c>
    </row>
    <row r="739">
      <c r="B739" s="75">
        <f>IF($A739="","",IFERROR(INDEX(Sheet1!$B:$B,MATCH($A739,Sheet1!$A:$A,0)),""))</f>
        <v/>
      </c>
      <c r="C739" s="75">
        <f>IF($A739="","",PROPER(_xll.BDP($A739&amp;" Corp","NAME")))</f>
        <v/>
      </c>
      <c r="D739" s="76">
        <f>IF($A739="","",_xll.BDP($A739&amp;" Corp","CPN"))</f>
        <v/>
      </c>
      <c r="E739" s="75">
        <f>IF($A739="","",_xll.BDP($A739&amp;" Corp","PAYMENT_RANK"))</f>
        <v/>
      </c>
      <c r="F739" s="100">
        <f>IF($A739="","",_xll.BDP($A739&amp;" Corp","MATURITY"))</f>
        <v/>
      </c>
      <c r="G739" s="75">
        <f>IF($A739="","",PROPER(_xll.BDP($A739&amp;" Corp","COUNTRY_FULL_NAME")))</f>
        <v/>
      </c>
      <c r="H739" s="75">
        <f>IF($A739="","",_xll.BDP($A739&amp;" Corp","INDUSTRY_SECTOR"))</f>
        <v/>
      </c>
      <c r="I739" s="101">
        <f>IF($A739="","",IFERROR(_xll.BDP($A739&amp;" Corp","MIN_PIECE")/1000,""))</f>
        <v/>
      </c>
      <c r="J739" s="31">
        <f>IF($A739="","",_xll.BDP($A739&amp;" Corp","PX_LAST"))</f>
        <v/>
      </c>
      <c r="K739" s="31">
        <f>IF($A739="","",_xll.BDP($A739&amp;" Corp","YAS_BOND_YLD","YAS_YLD_FLAG=15"))</f>
        <v/>
      </c>
      <c r="L739" s="31">
        <f>IF($A739="","",K739-_xll.BDP($A739&amp;" Corp","YAS_BOND_YLD","YAS_YLD_FLAG=15","SETTLE_DT",Company_desc!$A$1))</f>
        <v/>
      </c>
      <c r="M739" s="31">
        <f>IF($A739="","",K739-_xll.BDP($A739&amp;" Corp","YAS_BOND_YLD","YAS_YLD_FLAG=15","SETTLE_DT",Company_desc!$A$2))</f>
        <v/>
      </c>
      <c r="N739" s="79">
        <f>IF($A739="","",_xll.BDP($A739&amp;" Corp","YAS_OAS_SPRD"))</f>
        <v/>
      </c>
      <c r="O739" s="67">
        <f>IF($A739="","",_xll.BDP($A739&amp;" Corp","YAS_MOD_DUR"))</f>
        <v/>
      </c>
      <c r="P739" s="80">
        <f>IF($A739="","",IFERROR(INDEX(Sheet1!$P:$P,MATCH($A739,Sheet1!$A:$A,0)),""))</f>
        <v/>
      </c>
      <c r="Q739" s="75">
        <f>IF($A739="","",IFERROR(INDEX(Company_desc!$C:$C,MATCH($A739,Company_desc!$A:$A,0)),IFERROR(INDEX(Sheet1!$Q:$Q,MATCH($A739,Sheet1!$A:$A,0)),"")))</f>
        <v/>
      </c>
      <c r="R739" s="75">
        <f>IF($A739="","",_xll.BDP($A739&amp;" Corp","CRNCY"))</f>
        <v/>
      </c>
      <c r="S739" s="75">
        <f>IF($A739="","",IFERROR(INDEX(Sheet1!$S:$S,MATCH($A739,Sheet1!$A:$A,0)),""))</f>
        <v/>
      </c>
      <c r="T739" s="75">
        <f>IF($A739="","",IFERROR(INDEX(Sheet1!$T:$T,MATCH($A739,Sheet1!$A:$A,0)),_xll.BDP($A739&amp;" Corp","RTG_SP")))</f>
        <v/>
      </c>
      <c r="U739" s="75">
        <f>IF($A739="","",IFERROR(INDEX(Sheet1!$U:$U,MATCH($A739,Sheet1!$A:$A,0)),""))</f>
        <v/>
      </c>
      <c r="W739" s="81">
        <f>IF($A739="","",N739-_xll.BDP($A739&amp;" Corp","YAS_OAS_SPRD","SETTLE_DT",Company_desc!$A$1))</f>
        <v/>
      </c>
      <c r="X739" s="81">
        <f>IF($A739="","",N739-_xll.BDP($A739&amp;" Corp","YAS_OAS_SPRD","SETTLE_DT",Company_desc!$A$2))</f>
        <v/>
      </c>
      <c r="Y739" s="80">
        <f>IF($A739="","",N739-_xll.BDP($A739&amp;" Corp","YAS_OAS_SPRD","SETTLE_DT",Company_desc!$D$1))</f>
        <v/>
      </c>
      <c r="Z739" s="82">
        <f>IF($A739="","",K739-_xll.BDP($A739&amp;" Corp","YAS_BOND_YLD","YAS_YLD_FLAG=15","SETTLE_DT",Company_desc!$D$1))</f>
        <v/>
      </c>
      <c r="AA739" s="80">
        <f>IF($A739="","",_xll.BDP($A739&amp;" Corp","YAS_OAS_SPRD","SETTLE_DT",Company_desc!$D$1))</f>
        <v/>
      </c>
    </row>
    <row r="740">
      <c r="B740" s="75">
        <f>IF($A740="","",IFERROR(INDEX(Sheet1!$B:$B,MATCH($A740,Sheet1!$A:$A,0)),""))</f>
        <v/>
      </c>
      <c r="C740" s="75">
        <f>IF($A740="","",PROPER(_xll.BDP($A740&amp;" Corp","NAME")))</f>
        <v/>
      </c>
      <c r="D740" s="76">
        <f>IF($A740="","",_xll.BDP($A740&amp;" Corp","CPN"))</f>
        <v/>
      </c>
      <c r="E740" s="75">
        <f>IF($A740="","",_xll.BDP($A740&amp;" Corp","PAYMENT_RANK"))</f>
        <v/>
      </c>
      <c r="F740" s="100">
        <f>IF($A740="","",_xll.BDP($A740&amp;" Corp","MATURITY"))</f>
        <v/>
      </c>
      <c r="G740" s="75">
        <f>IF($A740="","",PROPER(_xll.BDP($A740&amp;" Corp","COUNTRY_FULL_NAME")))</f>
        <v/>
      </c>
      <c r="H740" s="75">
        <f>IF($A740="","",_xll.BDP($A740&amp;" Corp","INDUSTRY_SECTOR"))</f>
        <v/>
      </c>
      <c r="I740" s="101">
        <f>IF($A740="","",IFERROR(_xll.BDP($A740&amp;" Corp","MIN_PIECE")/1000,""))</f>
        <v/>
      </c>
      <c r="J740" s="31">
        <f>IF($A740="","",_xll.BDP($A740&amp;" Corp","PX_LAST"))</f>
        <v/>
      </c>
      <c r="K740" s="31">
        <f>IF($A740="","",_xll.BDP($A740&amp;" Corp","YAS_BOND_YLD","YAS_YLD_FLAG=15"))</f>
        <v/>
      </c>
      <c r="L740" s="31">
        <f>IF($A740="","",K740-_xll.BDP($A740&amp;" Corp","YAS_BOND_YLD","YAS_YLD_FLAG=15","SETTLE_DT",Company_desc!$A$1))</f>
        <v/>
      </c>
      <c r="M740" s="31">
        <f>IF($A740="","",K740-_xll.BDP($A740&amp;" Corp","YAS_BOND_YLD","YAS_YLD_FLAG=15","SETTLE_DT",Company_desc!$A$2))</f>
        <v/>
      </c>
      <c r="N740" s="79">
        <f>IF($A740="","",_xll.BDP($A740&amp;" Corp","YAS_OAS_SPRD"))</f>
        <v/>
      </c>
      <c r="O740" s="67">
        <f>IF($A740="","",_xll.BDP($A740&amp;" Corp","YAS_MOD_DUR"))</f>
        <v/>
      </c>
      <c r="P740" s="80">
        <f>IF($A740="","",IFERROR(INDEX(Sheet1!$P:$P,MATCH($A740,Sheet1!$A:$A,0)),""))</f>
        <v/>
      </c>
      <c r="Q740" s="75">
        <f>IF($A740="","",IFERROR(INDEX(Company_desc!$C:$C,MATCH($A740,Company_desc!$A:$A,0)),IFERROR(INDEX(Sheet1!$Q:$Q,MATCH($A740,Sheet1!$A:$A,0)),"")))</f>
        <v/>
      </c>
      <c r="R740" s="75">
        <f>IF($A740="","",_xll.BDP($A740&amp;" Corp","CRNCY"))</f>
        <v/>
      </c>
      <c r="S740" s="75">
        <f>IF($A740="","",IFERROR(INDEX(Sheet1!$S:$S,MATCH($A740,Sheet1!$A:$A,0)),""))</f>
        <v/>
      </c>
      <c r="T740" s="75">
        <f>IF($A740="","",IFERROR(INDEX(Sheet1!$T:$T,MATCH($A740,Sheet1!$A:$A,0)),_xll.BDP($A740&amp;" Corp","RTG_SP")))</f>
        <v/>
      </c>
      <c r="U740" s="75">
        <f>IF($A740="","",IFERROR(INDEX(Sheet1!$U:$U,MATCH($A740,Sheet1!$A:$A,0)),""))</f>
        <v/>
      </c>
      <c r="W740" s="81">
        <f>IF($A740="","",N740-_xll.BDP($A740&amp;" Corp","YAS_OAS_SPRD","SETTLE_DT",Company_desc!$A$1))</f>
        <v/>
      </c>
      <c r="X740" s="81">
        <f>IF($A740="","",N740-_xll.BDP($A740&amp;" Corp","YAS_OAS_SPRD","SETTLE_DT",Company_desc!$A$2))</f>
        <v/>
      </c>
      <c r="Y740" s="80">
        <f>IF($A740="","",N740-_xll.BDP($A740&amp;" Corp","YAS_OAS_SPRD","SETTLE_DT",Company_desc!$D$1))</f>
        <v/>
      </c>
      <c r="Z740" s="82">
        <f>IF($A740="","",K740-_xll.BDP($A740&amp;" Corp","YAS_BOND_YLD","YAS_YLD_FLAG=15","SETTLE_DT",Company_desc!$D$1))</f>
        <v/>
      </c>
      <c r="AA740" s="80">
        <f>IF($A740="","",_xll.BDP($A740&amp;" Corp","YAS_OAS_SPRD","SETTLE_DT",Company_desc!$D$1))</f>
        <v/>
      </c>
    </row>
    <row r="741">
      <c r="B741" s="75">
        <f>IF($A741="","",IFERROR(INDEX(Sheet1!$B:$B,MATCH($A741,Sheet1!$A:$A,0)),""))</f>
        <v/>
      </c>
      <c r="C741" s="75">
        <f>IF($A741="","",PROPER(_xll.BDP($A741&amp;" Corp","NAME")))</f>
        <v/>
      </c>
      <c r="D741" s="76">
        <f>IF($A741="","",_xll.BDP($A741&amp;" Corp","CPN"))</f>
        <v/>
      </c>
      <c r="E741" s="75">
        <f>IF($A741="","",_xll.BDP($A741&amp;" Corp","PAYMENT_RANK"))</f>
        <v/>
      </c>
      <c r="F741" s="100">
        <f>IF($A741="","",_xll.BDP($A741&amp;" Corp","MATURITY"))</f>
        <v/>
      </c>
      <c r="G741" s="75">
        <f>IF($A741="","",PROPER(_xll.BDP($A741&amp;" Corp","COUNTRY_FULL_NAME")))</f>
        <v/>
      </c>
      <c r="H741" s="75">
        <f>IF($A741="","",_xll.BDP($A741&amp;" Corp","INDUSTRY_SECTOR"))</f>
        <v/>
      </c>
      <c r="I741" s="101">
        <f>IF($A741="","",IFERROR(_xll.BDP($A741&amp;" Corp","MIN_PIECE")/1000,""))</f>
        <v/>
      </c>
      <c r="J741" s="31">
        <f>IF($A741="","",_xll.BDP($A741&amp;" Corp","PX_LAST"))</f>
        <v/>
      </c>
      <c r="K741" s="31">
        <f>IF($A741="","",_xll.BDP($A741&amp;" Corp","YAS_BOND_YLD","YAS_YLD_FLAG=15"))</f>
        <v/>
      </c>
      <c r="L741" s="31">
        <f>IF($A741="","",K741-_xll.BDP($A741&amp;" Corp","YAS_BOND_YLD","YAS_YLD_FLAG=15","SETTLE_DT",Company_desc!$A$1))</f>
        <v/>
      </c>
      <c r="M741" s="31">
        <f>IF($A741="","",K741-_xll.BDP($A741&amp;" Corp","YAS_BOND_YLD","YAS_YLD_FLAG=15","SETTLE_DT",Company_desc!$A$2))</f>
        <v/>
      </c>
      <c r="N741" s="79">
        <f>IF($A741="","",_xll.BDP($A741&amp;" Corp","YAS_OAS_SPRD"))</f>
        <v/>
      </c>
      <c r="O741" s="67">
        <f>IF($A741="","",_xll.BDP($A741&amp;" Corp","YAS_MOD_DUR"))</f>
        <v/>
      </c>
      <c r="P741" s="80">
        <f>IF($A741="","",IFERROR(INDEX(Sheet1!$P:$P,MATCH($A741,Sheet1!$A:$A,0)),""))</f>
        <v/>
      </c>
      <c r="Q741" s="75">
        <f>IF($A741="","",IFERROR(INDEX(Company_desc!$C:$C,MATCH($A741,Company_desc!$A:$A,0)),IFERROR(INDEX(Sheet1!$Q:$Q,MATCH($A741,Sheet1!$A:$A,0)),"")))</f>
        <v/>
      </c>
      <c r="R741" s="75">
        <f>IF($A741="","",_xll.BDP($A741&amp;" Corp","CRNCY"))</f>
        <v/>
      </c>
      <c r="S741" s="75">
        <f>IF($A741="","",IFERROR(INDEX(Sheet1!$S:$S,MATCH($A741,Sheet1!$A:$A,0)),""))</f>
        <v/>
      </c>
      <c r="T741" s="75">
        <f>IF($A741="","",IFERROR(INDEX(Sheet1!$T:$T,MATCH($A741,Sheet1!$A:$A,0)),_xll.BDP($A741&amp;" Corp","RTG_SP")))</f>
        <v/>
      </c>
      <c r="U741" s="75">
        <f>IF($A741="","",IFERROR(INDEX(Sheet1!$U:$U,MATCH($A741,Sheet1!$A:$A,0)),""))</f>
        <v/>
      </c>
      <c r="W741" s="81">
        <f>IF($A741="","",N741-_xll.BDP($A741&amp;" Corp","YAS_OAS_SPRD","SETTLE_DT",Company_desc!$A$1))</f>
        <v/>
      </c>
      <c r="X741" s="81">
        <f>IF($A741="","",N741-_xll.BDP($A741&amp;" Corp","YAS_OAS_SPRD","SETTLE_DT",Company_desc!$A$2))</f>
        <v/>
      </c>
      <c r="Y741" s="80">
        <f>IF($A741="","",N741-_xll.BDP($A741&amp;" Corp","YAS_OAS_SPRD","SETTLE_DT",Company_desc!$D$1))</f>
        <v/>
      </c>
      <c r="Z741" s="82">
        <f>IF($A741="","",K741-_xll.BDP($A741&amp;" Corp","YAS_BOND_YLD","YAS_YLD_FLAG=15","SETTLE_DT",Company_desc!$D$1))</f>
        <v/>
      </c>
      <c r="AA741" s="80">
        <f>IF($A741="","",_xll.BDP($A741&amp;" Corp","YAS_OAS_SPRD","SETTLE_DT",Company_desc!$D$1))</f>
        <v/>
      </c>
    </row>
    <row r="742">
      <c r="B742" s="75">
        <f>IF($A742="","",IFERROR(INDEX(Sheet1!$B:$B,MATCH($A742,Sheet1!$A:$A,0)),""))</f>
        <v/>
      </c>
      <c r="C742" s="75">
        <f>IF($A742="","",PROPER(_xll.BDP($A742&amp;" Corp","NAME")))</f>
        <v/>
      </c>
      <c r="D742" s="76">
        <f>IF($A742="","",_xll.BDP($A742&amp;" Corp","CPN"))</f>
        <v/>
      </c>
      <c r="E742" s="75">
        <f>IF($A742="","",_xll.BDP($A742&amp;" Corp","PAYMENT_RANK"))</f>
        <v/>
      </c>
      <c r="F742" s="100">
        <f>IF($A742="","",_xll.BDP($A742&amp;" Corp","MATURITY"))</f>
        <v/>
      </c>
      <c r="G742" s="75">
        <f>IF($A742="","",PROPER(_xll.BDP($A742&amp;" Corp","COUNTRY_FULL_NAME")))</f>
        <v/>
      </c>
      <c r="H742" s="75">
        <f>IF($A742="","",_xll.BDP($A742&amp;" Corp","INDUSTRY_SECTOR"))</f>
        <v/>
      </c>
      <c r="I742" s="101">
        <f>IF($A742="","",IFERROR(_xll.BDP($A742&amp;" Corp","MIN_PIECE")/1000,""))</f>
        <v/>
      </c>
      <c r="J742" s="31">
        <f>IF($A742="","",_xll.BDP($A742&amp;" Corp","PX_LAST"))</f>
        <v/>
      </c>
      <c r="K742" s="31">
        <f>IF($A742="","",_xll.BDP($A742&amp;" Corp","YAS_BOND_YLD","YAS_YLD_FLAG=15"))</f>
        <v/>
      </c>
      <c r="L742" s="31">
        <f>IF($A742="","",K742-_xll.BDP($A742&amp;" Corp","YAS_BOND_YLD","YAS_YLD_FLAG=15","SETTLE_DT",Company_desc!$A$1))</f>
        <v/>
      </c>
      <c r="M742" s="31">
        <f>IF($A742="","",K742-_xll.BDP($A742&amp;" Corp","YAS_BOND_YLD","YAS_YLD_FLAG=15","SETTLE_DT",Company_desc!$A$2))</f>
        <v/>
      </c>
      <c r="N742" s="79">
        <f>IF($A742="","",_xll.BDP($A742&amp;" Corp","YAS_OAS_SPRD"))</f>
        <v/>
      </c>
      <c r="O742" s="82">
        <f>IF($A742="","",_xll.BDP($A742&amp;" Corp","YAS_MOD_DUR"))</f>
        <v/>
      </c>
      <c r="P742" s="80">
        <f>IF($A742="","",IFERROR(INDEX(Sheet1!$P:$P,MATCH($A742,Sheet1!$A:$A,0)),""))</f>
        <v/>
      </c>
      <c r="Q742" s="75">
        <f>IF($A742="","",IFERROR(INDEX(Company_desc!$C:$C,MATCH($A742,Company_desc!$A:$A,0)),IFERROR(INDEX(Sheet1!$Q:$Q,MATCH($A742,Sheet1!$A:$A,0)),"")))</f>
        <v/>
      </c>
      <c r="R742" s="75">
        <f>IF($A742="","",_xll.BDP($A742&amp;" Corp","CRNCY"))</f>
        <v/>
      </c>
      <c r="S742" s="75">
        <f>IF($A742="","",IFERROR(INDEX(Sheet1!$S:$S,MATCH($A742,Sheet1!$A:$A,0)),""))</f>
        <v/>
      </c>
      <c r="T742" s="75">
        <f>IF($A742="","",IFERROR(INDEX(Sheet1!$T:$T,MATCH($A742,Sheet1!$A:$A,0)),_xll.BDP($A742&amp;" Corp","RTG_SP")))</f>
        <v/>
      </c>
      <c r="U742" s="75">
        <f>IF($A742="","",IFERROR(INDEX(Sheet1!$U:$U,MATCH($A742,Sheet1!$A:$A,0)),""))</f>
        <v/>
      </c>
      <c r="W742" s="81">
        <f>IF($A742="","",N742-_xll.BDP($A742&amp;" Corp","YAS_OAS_SPRD","SETTLE_DT",Company_desc!$A$1))</f>
        <v/>
      </c>
      <c r="X742" s="81">
        <f>IF($A742="","",N742-_xll.BDP($A742&amp;" Corp","YAS_OAS_SPRD","SETTLE_DT",Company_desc!$A$2))</f>
        <v/>
      </c>
      <c r="Y742" s="80">
        <f>IF($A742="","",N742-_xll.BDP($A742&amp;" Corp","YAS_OAS_SPRD","SETTLE_DT",Company_desc!$D$1))</f>
        <v/>
      </c>
      <c r="Z742" s="82">
        <f>IF($A742="","",K742-_xll.BDP($A742&amp;" Corp","YAS_BOND_YLD","YAS_YLD_FLAG=15","SETTLE_DT",Company_desc!$D$1))</f>
        <v/>
      </c>
      <c r="AA742" s="80">
        <f>IF($A742="","",_xll.BDP($A742&amp;" Corp","YAS_OAS_SPRD","SETTLE_DT",Company_desc!$D$1))</f>
        <v/>
      </c>
    </row>
    <row r="743">
      <c r="B743" s="75">
        <f>IF($A743="","",IFERROR(INDEX(Sheet1!$B:$B,MATCH($A743,Sheet1!$A:$A,0)),""))</f>
        <v/>
      </c>
      <c r="C743" s="75">
        <f>IF($A743="","",PROPER(_xll.BDP($A743&amp;" Corp","NAME")))</f>
        <v/>
      </c>
      <c r="D743" s="76">
        <f>IF($A743="","",_xll.BDP($A743&amp;" Corp","CPN"))</f>
        <v/>
      </c>
      <c r="E743" s="75">
        <f>IF($A743="","",_xll.BDP($A743&amp;" Corp","PAYMENT_RANK"))</f>
        <v/>
      </c>
      <c r="F743" s="100">
        <f>IF($A743="","",_xll.BDP($A743&amp;" Corp","MATURITY"))</f>
        <v/>
      </c>
      <c r="G743" s="75">
        <f>IF($A743="","",PROPER(_xll.BDP($A743&amp;" Corp","COUNTRY_FULL_NAME")))</f>
        <v/>
      </c>
      <c r="H743" s="75">
        <f>IF($A743="","",_xll.BDP($A743&amp;" Corp","INDUSTRY_SECTOR"))</f>
        <v/>
      </c>
      <c r="I743" s="101">
        <f>IF($A743="","",IFERROR(_xll.BDP($A743&amp;" Corp","MIN_PIECE")/1000,""))</f>
        <v/>
      </c>
      <c r="J743" s="31">
        <f>IF($A743="","",_xll.BDP($A743&amp;" Corp","PX_LAST"))</f>
        <v/>
      </c>
      <c r="K743" s="31">
        <f>IF($A743="","",_xll.BDP($A743&amp;" Corp","YAS_BOND_YLD","YAS_YLD_FLAG=15"))</f>
        <v/>
      </c>
      <c r="L743" s="31">
        <f>IF($A743="","",K743-_xll.BDP($A743&amp;" Corp","YAS_BOND_YLD","YAS_YLD_FLAG=15","SETTLE_DT",Company_desc!$A$1))</f>
        <v/>
      </c>
      <c r="M743" s="31">
        <f>IF($A743="","",K743-_xll.BDP($A743&amp;" Corp","YAS_BOND_YLD","YAS_YLD_FLAG=15","SETTLE_DT",Company_desc!$A$2))</f>
        <v/>
      </c>
      <c r="N743" s="79">
        <f>IF($A743="","",_xll.BDP($A743&amp;" Corp","YAS_OAS_SPRD"))</f>
        <v/>
      </c>
      <c r="O743" s="67">
        <f>IF($A743="","",_xll.BDP($A743&amp;" Corp","YAS_MOD_DUR"))</f>
        <v/>
      </c>
      <c r="P743" s="80">
        <f>IF($A743="","",IFERROR(INDEX(Sheet1!$P:$P,MATCH($A743,Sheet1!$A:$A,0)),""))</f>
        <v/>
      </c>
      <c r="Q743" s="75">
        <f>IF($A743="","",IFERROR(INDEX(Company_desc!$C:$C,MATCH($A743,Company_desc!$A:$A,0)),IFERROR(INDEX(Sheet1!$Q:$Q,MATCH($A743,Sheet1!$A:$A,0)),"")))</f>
        <v/>
      </c>
      <c r="R743" s="75">
        <f>IF($A743="","",_xll.BDP($A743&amp;" Corp","CRNCY"))</f>
        <v/>
      </c>
      <c r="S743" s="75">
        <f>IF($A743="","",IFERROR(INDEX(Sheet1!$S:$S,MATCH($A743,Sheet1!$A:$A,0)),""))</f>
        <v/>
      </c>
      <c r="T743" s="75">
        <f>IF($A743="","",IFERROR(INDEX(Sheet1!$T:$T,MATCH($A743,Sheet1!$A:$A,0)),_xll.BDP($A743&amp;" Corp","RTG_SP")))</f>
        <v/>
      </c>
      <c r="U743" s="75">
        <f>IF($A743="","",IFERROR(INDEX(Sheet1!$U:$U,MATCH($A743,Sheet1!$A:$A,0)),""))</f>
        <v/>
      </c>
      <c r="W743" s="81">
        <f>IF($A743="","",N743-_xll.BDP($A743&amp;" Corp","YAS_OAS_SPRD","SETTLE_DT",Company_desc!$A$1))</f>
        <v/>
      </c>
      <c r="X743" s="81">
        <f>IF($A743="","",N743-_xll.BDP($A743&amp;" Corp","YAS_OAS_SPRD","SETTLE_DT",Company_desc!$A$2))</f>
        <v/>
      </c>
      <c r="Y743" s="80">
        <f>IF($A743="","",N743-_xll.BDP($A743&amp;" Corp","YAS_OAS_SPRD","SETTLE_DT",Company_desc!$D$1))</f>
        <v/>
      </c>
      <c r="Z743" s="82">
        <f>IF($A743="","",K743-_xll.BDP($A743&amp;" Corp","YAS_BOND_YLD","YAS_YLD_FLAG=15","SETTLE_DT",Company_desc!$D$1))</f>
        <v/>
      </c>
      <c r="AA743" s="80">
        <f>IF($A743="","",_xll.BDP($A743&amp;" Corp","YAS_OAS_SPRD","SETTLE_DT",Company_desc!$D$1))</f>
        <v/>
      </c>
    </row>
    <row r="744">
      <c r="B744" s="75">
        <f>IF($A744="","",IFERROR(INDEX(Sheet1!$B:$B,MATCH($A744,Sheet1!$A:$A,0)),""))</f>
        <v/>
      </c>
      <c r="C744" s="75">
        <f>IF($A744="","",PROPER(_xll.BDP($A744&amp;" Corp","NAME")))</f>
        <v/>
      </c>
      <c r="D744" s="76">
        <f>IF($A744="","",_xll.BDP($A744&amp;" Corp","CPN"))</f>
        <v/>
      </c>
      <c r="E744" s="75">
        <f>IF($A744="","",_xll.BDP($A744&amp;" Corp","PAYMENT_RANK"))</f>
        <v/>
      </c>
      <c r="F744" s="100">
        <f>IF($A744="","",_xll.BDP($A744&amp;" Corp","MATURITY"))</f>
        <v/>
      </c>
      <c r="G744" s="75">
        <f>IF($A744="","",PROPER(_xll.BDP($A744&amp;" Corp","COUNTRY_FULL_NAME")))</f>
        <v/>
      </c>
      <c r="H744" s="75">
        <f>IF($A744="","",_xll.BDP($A744&amp;" Corp","INDUSTRY_SECTOR"))</f>
        <v/>
      </c>
      <c r="I744" s="101">
        <f>IF($A744="","",IFERROR(_xll.BDP($A744&amp;" Corp","MIN_PIECE")/1000,""))</f>
        <v/>
      </c>
      <c r="J744" s="31">
        <f>IF($A744="","",_xll.BDP($A744&amp;" Corp","PX_LAST"))</f>
        <v/>
      </c>
      <c r="K744" s="31">
        <f>IF($A744="","",_xll.BDP($A744&amp;" Corp","YAS_BOND_YLD","YAS_YLD_FLAG=15"))</f>
        <v/>
      </c>
      <c r="L744" s="31">
        <f>IF($A744="","",K744-_xll.BDP($A744&amp;" Corp","YAS_BOND_YLD","YAS_YLD_FLAG=15","SETTLE_DT",Company_desc!$A$1))</f>
        <v/>
      </c>
      <c r="M744" s="31">
        <f>IF($A744="","",K744-_xll.BDP($A744&amp;" Corp","YAS_BOND_YLD","YAS_YLD_FLAG=15","SETTLE_DT",Company_desc!$A$2))</f>
        <v/>
      </c>
      <c r="N744" s="79">
        <f>IF($A744="","",_xll.BDP($A744&amp;" Corp","YAS_OAS_SPRD"))</f>
        <v/>
      </c>
      <c r="O744" s="82">
        <f>IF($A744="","",_xll.BDP($A744&amp;" Corp","YAS_MOD_DUR"))</f>
        <v/>
      </c>
      <c r="P744" s="80">
        <f>IF($A744="","",IFERROR(INDEX(Sheet1!$P:$P,MATCH($A744,Sheet1!$A:$A,0)),""))</f>
        <v/>
      </c>
      <c r="Q744" s="75">
        <f>IF($A744="","",IFERROR(INDEX(Company_desc!$C:$C,MATCH($A744,Company_desc!$A:$A,0)),IFERROR(INDEX(Sheet1!$Q:$Q,MATCH($A744,Sheet1!$A:$A,0)),"")))</f>
        <v/>
      </c>
      <c r="R744" s="75">
        <f>IF($A744="","",_xll.BDP($A744&amp;" Corp","CRNCY"))</f>
        <v/>
      </c>
      <c r="S744" s="75">
        <f>IF($A744="","",IFERROR(INDEX(Sheet1!$S:$S,MATCH($A744,Sheet1!$A:$A,0)),""))</f>
        <v/>
      </c>
      <c r="T744" s="75">
        <f>IF($A744="","",IFERROR(INDEX(Sheet1!$T:$T,MATCH($A744,Sheet1!$A:$A,0)),_xll.BDP($A744&amp;" Corp","RTG_SP")))</f>
        <v/>
      </c>
      <c r="U744" s="75">
        <f>IF($A744="","",IFERROR(INDEX(Sheet1!$U:$U,MATCH($A744,Sheet1!$A:$A,0)),""))</f>
        <v/>
      </c>
      <c r="W744" s="81">
        <f>IF($A744="","",N744-_xll.BDP($A744&amp;" Corp","YAS_OAS_SPRD","SETTLE_DT",Company_desc!$A$1))</f>
        <v/>
      </c>
      <c r="X744" s="81">
        <f>IF($A744="","",N744-_xll.BDP($A744&amp;" Corp","YAS_OAS_SPRD","SETTLE_DT",Company_desc!$A$2))</f>
        <v/>
      </c>
      <c r="Y744" s="80">
        <f>IF($A744="","",N744-_xll.BDP($A744&amp;" Corp","YAS_OAS_SPRD","SETTLE_DT",Company_desc!$D$1))</f>
        <v/>
      </c>
      <c r="Z744" s="82">
        <f>IF($A744="","",K744-_xll.BDP($A744&amp;" Corp","YAS_BOND_YLD","YAS_YLD_FLAG=15","SETTLE_DT",Company_desc!$D$1))</f>
        <v/>
      </c>
      <c r="AA744" s="80">
        <f>IF($A744="","",_xll.BDP($A744&amp;" Corp","YAS_OAS_SPRD","SETTLE_DT",Company_desc!$D$1))</f>
        <v/>
      </c>
    </row>
    <row r="745">
      <c r="B745" s="75">
        <f>IF($A745="","",IFERROR(INDEX(Sheet1!$B:$B,MATCH($A745,Sheet1!$A:$A,0)),""))</f>
        <v/>
      </c>
      <c r="C745" s="75">
        <f>IF($A745="","",PROPER(_xll.BDP($A745&amp;" Corp","NAME")))</f>
        <v/>
      </c>
      <c r="D745" s="76">
        <f>IF($A745="","",_xll.BDP($A745&amp;" Corp","CPN"))</f>
        <v/>
      </c>
      <c r="E745" s="75">
        <f>IF($A745="","",_xll.BDP($A745&amp;" Corp","PAYMENT_RANK"))</f>
        <v/>
      </c>
      <c r="F745" s="100">
        <f>IF($A745="","",_xll.BDP($A745&amp;" Corp","MATURITY"))</f>
        <v/>
      </c>
      <c r="G745" s="75">
        <f>IF($A745="","",PROPER(_xll.BDP($A745&amp;" Corp","COUNTRY_FULL_NAME")))</f>
        <v/>
      </c>
      <c r="H745" s="75">
        <f>IF($A745="","",_xll.BDP($A745&amp;" Corp","INDUSTRY_SECTOR"))</f>
        <v/>
      </c>
      <c r="I745" s="101">
        <f>IF($A745="","",IFERROR(_xll.BDP($A745&amp;" Corp","MIN_PIECE")/1000,""))</f>
        <v/>
      </c>
      <c r="J745" s="31">
        <f>IF($A745="","",_xll.BDP($A745&amp;" Corp","PX_LAST"))</f>
        <v/>
      </c>
      <c r="K745" s="31">
        <f>IF($A745="","",_xll.BDP($A745&amp;" Corp","YAS_BOND_YLD","YAS_YLD_FLAG=15"))</f>
        <v/>
      </c>
      <c r="L745" s="31">
        <f>IF($A745="","",K745-_xll.BDP($A745&amp;" Corp","YAS_BOND_YLD","YAS_YLD_FLAG=15","SETTLE_DT",Company_desc!$A$1))</f>
        <v/>
      </c>
      <c r="M745" s="31">
        <f>IF($A745="","",K745-_xll.BDP($A745&amp;" Corp","YAS_BOND_YLD","YAS_YLD_FLAG=15","SETTLE_DT",Company_desc!$A$2))</f>
        <v/>
      </c>
      <c r="N745" s="79">
        <f>IF($A745="","",_xll.BDP($A745&amp;" Corp","YAS_OAS_SPRD"))</f>
        <v/>
      </c>
      <c r="O745" s="67">
        <f>IF($A745="","",_xll.BDP($A745&amp;" Corp","YAS_MOD_DUR"))</f>
        <v/>
      </c>
      <c r="P745" s="80">
        <f>IF($A745="","",IFERROR(INDEX(Sheet1!$P:$P,MATCH($A745,Sheet1!$A:$A,0)),""))</f>
        <v/>
      </c>
      <c r="Q745" s="75">
        <f>IF($A745="","",IFERROR(INDEX(Company_desc!$C:$C,MATCH($A745,Company_desc!$A:$A,0)),IFERROR(INDEX(Sheet1!$Q:$Q,MATCH($A745,Sheet1!$A:$A,0)),"")))</f>
        <v/>
      </c>
      <c r="R745" s="75">
        <f>IF($A745="","",_xll.BDP($A745&amp;" Corp","CRNCY"))</f>
        <v/>
      </c>
      <c r="S745" s="75">
        <f>IF($A745="","",IFERROR(INDEX(Sheet1!$S:$S,MATCH($A745,Sheet1!$A:$A,0)),""))</f>
        <v/>
      </c>
      <c r="T745" s="75">
        <f>IF($A745="","",IFERROR(INDEX(Sheet1!$T:$T,MATCH($A745,Sheet1!$A:$A,0)),_xll.BDP($A745&amp;" Corp","RTG_SP")))</f>
        <v/>
      </c>
      <c r="U745" s="75">
        <f>IF($A745="","",IFERROR(INDEX(Sheet1!$U:$U,MATCH($A745,Sheet1!$A:$A,0)),""))</f>
        <v/>
      </c>
      <c r="W745" s="81">
        <f>IF($A745="","",N745-_xll.BDP($A745&amp;" Corp","YAS_OAS_SPRD","SETTLE_DT",Company_desc!$A$1))</f>
        <v/>
      </c>
      <c r="X745" s="81">
        <f>IF($A745="","",N745-_xll.BDP($A745&amp;" Corp","YAS_OAS_SPRD","SETTLE_DT",Company_desc!$A$2))</f>
        <v/>
      </c>
      <c r="Y745" s="80">
        <f>IF($A745="","",N745-_xll.BDP($A745&amp;" Corp","YAS_OAS_SPRD","SETTLE_DT",Company_desc!$D$1))</f>
        <v/>
      </c>
      <c r="Z745" s="82">
        <f>IF($A745="","",K745-_xll.BDP($A745&amp;" Corp","YAS_BOND_YLD","YAS_YLD_FLAG=15","SETTLE_DT",Company_desc!$D$1))</f>
        <v/>
      </c>
      <c r="AA745" s="80">
        <f>IF($A745="","",_xll.BDP($A745&amp;" Corp","YAS_OAS_SPRD","SETTLE_DT",Company_desc!$D$1))</f>
        <v/>
      </c>
    </row>
    <row r="746">
      <c r="B746" s="75">
        <f>IF($A746="","",IFERROR(INDEX(Sheet1!$B:$B,MATCH($A746,Sheet1!$A:$A,0)),""))</f>
        <v/>
      </c>
      <c r="C746" s="75">
        <f>IF($A746="","",PROPER(_xll.BDP($A746&amp;" Corp","NAME")))</f>
        <v/>
      </c>
      <c r="D746" s="76">
        <f>IF($A746="","",_xll.BDP($A746&amp;" Corp","CPN"))</f>
        <v/>
      </c>
      <c r="E746" s="75">
        <f>IF($A746="","",_xll.BDP($A746&amp;" Corp","PAYMENT_RANK"))</f>
        <v/>
      </c>
      <c r="F746" s="100">
        <f>IF($A746="","",_xll.BDP($A746&amp;" Corp","MATURITY"))</f>
        <v/>
      </c>
      <c r="G746" s="75">
        <f>IF($A746="","",PROPER(_xll.BDP($A746&amp;" Corp","COUNTRY_FULL_NAME")))</f>
        <v/>
      </c>
      <c r="H746" s="75">
        <f>IF($A746="","",_xll.BDP($A746&amp;" Corp","INDUSTRY_SECTOR"))</f>
        <v/>
      </c>
      <c r="I746" s="101">
        <f>IF($A746="","",IFERROR(_xll.BDP($A746&amp;" Corp","MIN_PIECE")/1000,""))</f>
        <v/>
      </c>
      <c r="J746" s="31">
        <f>IF($A746="","",_xll.BDP($A746&amp;" Corp","PX_LAST"))</f>
        <v/>
      </c>
      <c r="K746" s="31">
        <f>IF($A746="","",_xll.BDP($A746&amp;" Corp","YAS_BOND_YLD","YAS_YLD_FLAG=15"))</f>
        <v/>
      </c>
      <c r="L746" s="31">
        <f>IF($A746="","",K746-_xll.BDP($A746&amp;" Corp","YAS_BOND_YLD","YAS_YLD_FLAG=15","SETTLE_DT",Company_desc!$A$1))</f>
        <v/>
      </c>
      <c r="M746" s="31">
        <f>IF($A746="","",K746-_xll.BDP($A746&amp;" Corp","YAS_BOND_YLD","YAS_YLD_FLAG=15","SETTLE_DT",Company_desc!$A$2))</f>
        <v/>
      </c>
      <c r="N746" s="79">
        <f>IF($A746="","",_xll.BDP($A746&amp;" Corp","YAS_OAS_SPRD"))</f>
        <v/>
      </c>
      <c r="O746" s="67">
        <f>IF($A746="","",_xll.BDP($A746&amp;" Corp","YAS_MOD_DUR"))</f>
        <v/>
      </c>
      <c r="P746" s="80">
        <f>IF($A746="","",IFERROR(INDEX(Sheet1!$P:$P,MATCH($A746,Sheet1!$A:$A,0)),""))</f>
        <v/>
      </c>
      <c r="Q746" s="75">
        <f>IF($A746="","",IFERROR(INDEX(Company_desc!$C:$C,MATCH($A746,Company_desc!$A:$A,0)),IFERROR(INDEX(Sheet1!$Q:$Q,MATCH($A746,Sheet1!$A:$A,0)),"")))</f>
        <v/>
      </c>
      <c r="R746" s="75">
        <f>IF($A746="","",_xll.BDP($A746&amp;" Corp","CRNCY"))</f>
        <v/>
      </c>
      <c r="S746" s="75">
        <f>IF($A746="","",IFERROR(INDEX(Sheet1!$S:$S,MATCH($A746,Sheet1!$A:$A,0)),""))</f>
        <v/>
      </c>
      <c r="T746" s="75">
        <f>IF($A746="","",IFERROR(INDEX(Sheet1!$T:$T,MATCH($A746,Sheet1!$A:$A,0)),_xll.BDP($A746&amp;" Corp","RTG_SP")))</f>
        <v/>
      </c>
      <c r="U746" s="75">
        <f>IF($A746="","",IFERROR(INDEX(Sheet1!$U:$U,MATCH($A746,Sheet1!$A:$A,0)),""))</f>
        <v/>
      </c>
      <c r="W746" s="81">
        <f>IF($A746="","",N746-_xll.BDP($A746&amp;" Corp","YAS_OAS_SPRD","SETTLE_DT",Company_desc!$A$1))</f>
        <v/>
      </c>
      <c r="X746" s="81">
        <f>IF($A746="","",N746-_xll.BDP($A746&amp;" Corp","YAS_OAS_SPRD","SETTLE_DT",Company_desc!$A$2))</f>
        <v/>
      </c>
      <c r="Y746" s="80">
        <f>IF($A746="","",N746-_xll.BDP($A746&amp;" Corp","YAS_OAS_SPRD","SETTLE_DT",Company_desc!$D$1))</f>
        <v/>
      </c>
      <c r="Z746" s="82">
        <f>IF($A746="","",K746-_xll.BDP($A746&amp;" Corp","YAS_BOND_YLD","YAS_YLD_FLAG=15","SETTLE_DT",Company_desc!$D$1))</f>
        <v/>
      </c>
      <c r="AA746" s="80">
        <f>IF($A746="","",_xll.BDP($A746&amp;" Corp","YAS_OAS_SPRD","SETTLE_DT",Company_desc!$D$1))</f>
        <v/>
      </c>
    </row>
    <row r="747">
      <c r="B747" s="75">
        <f>IF($A747="","",IFERROR(INDEX(Sheet1!$B:$B,MATCH($A747,Sheet1!$A:$A,0)),""))</f>
        <v/>
      </c>
      <c r="C747" s="75">
        <f>IF($A747="","",PROPER(_xll.BDP($A747&amp;" Corp","NAME")))</f>
        <v/>
      </c>
      <c r="D747" s="76">
        <f>IF($A747="","",_xll.BDP($A747&amp;" Corp","CPN"))</f>
        <v/>
      </c>
      <c r="E747" s="75">
        <f>IF($A747="","",_xll.BDP($A747&amp;" Corp","PAYMENT_RANK"))</f>
        <v/>
      </c>
      <c r="F747" s="100">
        <f>IF($A747="","",_xll.BDP($A747&amp;" Corp","MATURITY"))</f>
        <v/>
      </c>
      <c r="G747" s="75">
        <f>IF($A747="","",PROPER(_xll.BDP($A747&amp;" Corp","COUNTRY_FULL_NAME")))</f>
        <v/>
      </c>
      <c r="H747" s="75">
        <f>IF($A747="","",_xll.BDP($A747&amp;" Corp","INDUSTRY_SECTOR"))</f>
        <v/>
      </c>
      <c r="I747" s="101">
        <f>IF($A747="","",IFERROR(_xll.BDP($A747&amp;" Corp","MIN_PIECE")/1000,""))</f>
        <v/>
      </c>
      <c r="J747" s="31">
        <f>IF($A747="","",_xll.BDP($A747&amp;" Corp","PX_LAST"))</f>
        <v/>
      </c>
      <c r="K747" s="31">
        <f>IF($A747="","",_xll.BDP($A747&amp;" Corp","YAS_BOND_YLD","YAS_YLD_FLAG=15"))</f>
        <v/>
      </c>
      <c r="L747" s="31">
        <f>IF($A747="","",K747-_xll.BDP($A747&amp;" Corp","YAS_BOND_YLD","YAS_YLD_FLAG=15","SETTLE_DT",Company_desc!$A$1))</f>
        <v/>
      </c>
      <c r="M747" s="31">
        <f>IF($A747="","",K747-_xll.BDP($A747&amp;" Corp","YAS_BOND_YLD","YAS_YLD_FLAG=15","SETTLE_DT",Company_desc!$A$2))</f>
        <v/>
      </c>
      <c r="N747" s="79">
        <f>IF($A747="","",_xll.BDP($A747&amp;" Corp","YAS_OAS_SPRD"))</f>
        <v/>
      </c>
      <c r="O747" s="67">
        <f>IF($A747="","",_xll.BDP($A747&amp;" Corp","YAS_MOD_DUR"))</f>
        <v/>
      </c>
      <c r="P747" s="80">
        <f>IF($A747="","",IFERROR(INDEX(Sheet1!$P:$P,MATCH($A747,Sheet1!$A:$A,0)),""))</f>
        <v/>
      </c>
      <c r="Q747" s="75">
        <f>IF($A747="","",IFERROR(INDEX(Company_desc!$C:$C,MATCH($A747,Company_desc!$A:$A,0)),IFERROR(INDEX(Sheet1!$Q:$Q,MATCH($A747,Sheet1!$A:$A,0)),"")))</f>
        <v/>
      </c>
      <c r="R747" s="75">
        <f>IF($A747="","",_xll.BDP($A747&amp;" Corp","CRNCY"))</f>
        <v/>
      </c>
      <c r="S747" s="75">
        <f>IF($A747="","",IFERROR(INDEX(Sheet1!$S:$S,MATCH($A747,Sheet1!$A:$A,0)),""))</f>
        <v/>
      </c>
      <c r="T747" s="75">
        <f>IF($A747="","",IFERROR(INDEX(Sheet1!$T:$T,MATCH($A747,Sheet1!$A:$A,0)),_xll.BDP($A747&amp;" Corp","RTG_SP")))</f>
        <v/>
      </c>
      <c r="U747" s="75">
        <f>IF($A747="","",IFERROR(INDEX(Sheet1!$U:$U,MATCH($A747,Sheet1!$A:$A,0)),""))</f>
        <v/>
      </c>
      <c r="W747" s="81">
        <f>IF($A747="","",N747-_xll.BDP($A747&amp;" Corp","YAS_OAS_SPRD","SETTLE_DT",Company_desc!$A$1))</f>
        <v/>
      </c>
      <c r="X747" s="81">
        <f>IF($A747="","",N747-_xll.BDP($A747&amp;" Corp","YAS_OAS_SPRD","SETTLE_DT",Company_desc!$A$2))</f>
        <v/>
      </c>
      <c r="Y747" s="80">
        <f>IF($A747="","",N747-_xll.BDP($A747&amp;" Corp","YAS_OAS_SPRD","SETTLE_DT",Company_desc!$D$1))</f>
        <v/>
      </c>
      <c r="Z747" s="82">
        <f>IF($A747="","",K747-_xll.BDP($A747&amp;" Corp","YAS_BOND_YLD","YAS_YLD_FLAG=15","SETTLE_DT",Company_desc!$D$1))</f>
        <v/>
      </c>
      <c r="AA747" s="80">
        <f>IF($A747="","",_xll.BDP($A747&amp;" Corp","YAS_OAS_SPRD","SETTLE_DT",Company_desc!$D$1))</f>
        <v/>
      </c>
    </row>
    <row r="748">
      <c r="B748" s="75">
        <f>IF($A748="","",IFERROR(INDEX(Sheet1!$B:$B,MATCH($A748,Sheet1!$A:$A,0)),""))</f>
        <v/>
      </c>
      <c r="C748" s="75">
        <f>IF($A748="","",PROPER(_xll.BDP($A748&amp;" Corp","NAME")))</f>
        <v/>
      </c>
      <c r="D748" s="76">
        <f>IF($A748="","",_xll.BDP($A748&amp;" Corp","CPN"))</f>
        <v/>
      </c>
      <c r="E748" s="75">
        <f>IF($A748="","",_xll.BDP($A748&amp;" Corp","PAYMENT_RANK"))</f>
        <v/>
      </c>
      <c r="F748" s="100">
        <f>IF($A748="","",_xll.BDP($A748&amp;" Corp","MATURITY"))</f>
        <v/>
      </c>
      <c r="G748" s="75">
        <f>IF($A748="","",PROPER(_xll.BDP($A748&amp;" Corp","COUNTRY_FULL_NAME")))</f>
        <v/>
      </c>
      <c r="H748" s="75">
        <f>IF($A748="","",_xll.BDP($A748&amp;" Corp","INDUSTRY_SECTOR"))</f>
        <v/>
      </c>
      <c r="I748" s="101">
        <f>IF($A748="","",IFERROR(_xll.BDP($A748&amp;" Corp","MIN_PIECE")/1000,""))</f>
        <v/>
      </c>
      <c r="J748" s="31">
        <f>IF($A748="","",_xll.BDP($A748&amp;" Corp","PX_LAST"))</f>
        <v/>
      </c>
      <c r="K748" s="31">
        <f>IF($A748="","",_xll.BDP($A748&amp;" Corp","YAS_BOND_YLD","YAS_YLD_FLAG=15"))</f>
        <v/>
      </c>
      <c r="L748" s="31">
        <f>IF($A748="","",K748-_xll.BDP($A748&amp;" Corp","YAS_BOND_YLD","YAS_YLD_FLAG=15","SETTLE_DT",Company_desc!$A$1))</f>
        <v/>
      </c>
      <c r="M748" s="31">
        <f>IF($A748="","",K748-_xll.BDP($A748&amp;" Corp","YAS_BOND_YLD","YAS_YLD_FLAG=15","SETTLE_DT",Company_desc!$A$2))</f>
        <v/>
      </c>
      <c r="N748" s="79">
        <f>IF($A748="","",_xll.BDP($A748&amp;" Corp","YAS_OAS_SPRD"))</f>
        <v/>
      </c>
      <c r="O748" s="67">
        <f>IF($A748="","",_xll.BDP($A748&amp;" Corp","YAS_MOD_DUR"))</f>
        <v/>
      </c>
      <c r="P748" s="80">
        <f>IF($A748="","",IFERROR(INDEX(Sheet1!$P:$P,MATCH($A748,Sheet1!$A:$A,0)),""))</f>
        <v/>
      </c>
      <c r="Q748" s="75">
        <f>IF($A748="","",IFERROR(INDEX(Company_desc!$C:$C,MATCH($A748,Company_desc!$A:$A,0)),IFERROR(INDEX(Sheet1!$Q:$Q,MATCH($A748,Sheet1!$A:$A,0)),"")))</f>
        <v/>
      </c>
      <c r="R748" s="75">
        <f>IF($A748="","",_xll.BDP($A748&amp;" Corp","CRNCY"))</f>
        <v/>
      </c>
      <c r="S748" s="75">
        <f>IF($A748="","",IFERROR(INDEX(Sheet1!$S:$S,MATCH($A748,Sheet1!$A:$A,0)),""))</f>
        <v/>
      </c>
      <c r="T748" s="75">
        <f>IF($A748="","",IFERROR(INDEX(Sheet1!$T:$T,MATCH($A748,Sheet1!$A:$A,0)),_xll.BDP($A748&amp;" Corp","RTG_SP")))</f>
        <v/>
      </c>
      <c r="U748" s="75">
        <f>IF($A748="","",IFERROR(INDEX(Sheet1!$U:$U,MATCH($A748,Sheet1!$A:$A,0)),""))</f>
        <v/>
      </c>
      <c r="W748" s="81">
        <f>IF($A748="","",N748-_xll.BDP($A748&amp;" Corp","YAS_OAS_SPRD","SETTLE_DT",Company_desc!$A$1))</f>
        <v/>
      </c>
      <c r="X748" s="81">
        <f>IF($A748="","",N748-_xll.BDP($A748&amp;" Corp","YAS_OAS_SPRD","SETTLE_DT",Company_desc!$A$2))</f>
        <v/>
      </c>
      <c r="Y748" s="80">
        <f>IF($A748="","",N748-_xll.BDP($A748&amp;" Corp","YAS_OAS_SPRD","SETTLE_DT",Company_desc!$D$1))</f>
        <v/>
      </c>
      <c r="Z748" s="82">
        <f>IF($A748="","",K748-_xll.BDP($A748&amp;" Corp","YAS_BOND_YLD","YAS_YLD_FLAG=15","SETTLE_DT",Company_desc!$D$1))</f>
        <v/>
      </c>
      <c r="AA748" s="80">
        <f>IF($A748="","",_xll.BDP($A748&amp;" Corp","YAS_OAS_SPRD","SETTLE_DT",Company_desc!$D$1))</f>
        <v/>
      </c>
    </row>
    <row r="749">
      <c r="B749" s="75">
        <f>IF($A749="","",IFERROR(INDEX(Sheet1!$B:$B,MATCH($A749,Sheet1!$A:$A,0)),""))</f>
        <v/>
      </c>
      <c r="C749" s="75">
        <f>IF($A749="","",PROPER(_xll.BDP($A749&amp;" Corp","NAME")))</f>
        <v/>
      </c>
      <c r="D749" s="76">
        <f>IF($A749="","",_xll.BDP($A749&amp;" Corp","CPN"))</f>
        <v/>
      </c>
      <c r="E749" s="75">
        <f>IF($A749="","",_xll.BDP($A749&amp;" Corp","PAYMENT_RANK"))</f>
        <v/>
      </c>
      <c r="F749" s="100">
        <f>IF($A749="","",_xll.BDP($A749&amp;" Corp","MATURITY"))</f>
        <v/>
      </c>
      <c r="G749" s="75">
        <f>IF($A749="","",PROPER(_xll.BDP($A749&amp;" Corp","COUNTRY_FULL_NAME")))</f>
        <v/>
      </c>
      <c r="H749" s="75">
        <f>IF($A749="","",_xll.BDP($A749&amp;" Corp","INDUSTRY_SECTOR"))</f>
        <v/>
      </c>
      <c r="I749" s="101">
        <f>IF($A749="","",IFERROR(_xll.BDP($A749&amp;" Corp","MIN_PIECE")/1000,""))</f>
        <v/>
      </c>
      <c r="J749" s="31">
        <f>IF($A749="","",_xll.BDP($A749&amp;" Corp","PX_LAST"))</f>
        <v/>
      </c>
      <c r="K749" s="31">
        <f>IF($A749="","",_xll.BDP($A749&amp;" Corp","YAS_BOND_YLD","YAS_YLD_FLAG=15"))</f>
        <v/>
      </c>
      <c r="L749" s="31">
        <f>IF($A749="","",K749-_xll.BDP($A749&amp;" Corp","YAS_BOND_YLD","YAS_YLD_FLAG=15","SETTLE_DT",Company_desc!$A$1))</f>
        <v/>
      </c>
      <c r="M749" s="31">
        <f>IF($A749="","",K749-_xll.BDP($A749&amp;" Corp","YAS_BOND_YLD","YAS_YLD_FLAG=15","SETTLE_DT",Company_desc!$A$2))</f>
        <v/>
      </c>
      <c r="N749" s="79">
        <f>IF($A749="","",_xll.BDP($A749&amp;" Corp","YAS_OAS_SPRD"))</f>
        <v/>
      </c>
      <c r="O749" s="82">
        <f>IF($A749="","",_xll.BDP($A749&amp;" Corp","YAS_MOD_DUR"))</f>
        <v/>
      </c>
      <c r="P749" s="80">
        <f>IF($A749="","",IFERROR(INDEX(Sheet1!$P:$P,MATCH($A749,Sheet1!$A:$A,0)),""))</f>
        <v/>
      </c>
      <c r="Q749" s="75">
        <f>IF($A749="","",IFERROR(INDEX(Company_desc!$C:$C,MATCH($A749,Company_desc!$A:$A,0)),IFERROR(INDEX(Sheet1!$Q:$Q,MATCH($A749,Sheet1!$A:$A,0)),"")))</f>
        <v/>
      </c>
      <c r="R749" s="75">
        <f>IF($A749="","",_xll.BDP($A749&amp;" Corp","CRNCY"))</f>
        <v/>
      </c>
      <c r="S749" s="75">
        <f>IF($A749="","",IFERROR(INDEX(Sheet1!$S:$S,MATCH($A749,Sheet1!$A:$A,0)),""))</f>
        <v/>
      </c>
      <c r="T749" s="75">
        <f>IF($A749="","",IFERROR(INDEX(Sheet1!$T:$T,MATCH($A749,Sheet1!$A:$A,0)),_xll.BDP($A749&amp;" Corp","RTG_SP")))</f>
        <v/>
      </c>
      <c r="U749" s="75">
        <f>IF($A749="","",IFERROR(INDEX(Sheet1!$U:$U,MATCH($A749,Sheet1!$A:$A,0)),""))</f>
        <v/>
      </c>
      <c r="W749" s="81">
        <f>IF($A749="","",N749-_xll.BDP($A749&amp;" Corp","YAS_OAS_SPRD","SETTLE_DT",Company_desc!$A$1))</f>
        <v/>
      </c>
      <c r="X749" s="81">
        <f>IF($A749="","",N749-_xll.BDP($A749&amp;" Corp","YAS_OAS_SPRD","SETTLE_DT",Company_desc!$A$2))</f>
        <v/>
      </c>
      <c r="Y749" s="80">
        <f>IF($A749="","",N749-_xll.BDP($A749&amp;" Corp","YAS_OAS_SPRD","SETTLE_DT",Company_desc!$D$1))</f>
        <v/>
      </c>
      <c r="Z749" s="82">
        <f>IF($A749="","",K749-_xll.BDP($A749&amp;" Corp","YAS_BOND_YLD","YAS_YLD_FLAG=15","SETTLE_DT",Company_desc!$D$1))</f>
        <v/>
      </c>
      <c r="AA749" s="80">
        <f>IF($A749="","",_xll.BDP($A749&amp;" Corp","YAS_OAS_SPRD","SETTLE_DT",Company_desc!$D$1))</f>
        <v/>
      </c>
    </row>
    <row r="750">
      <c r="B750" s="75">
        <f>IF($A750="","",IFERROR(INDEX(Sheet1!$B:$B,MATCH($A750,Sheet1!$A:$A,0)),""))</f>
        <v/>
      </c>
      <c r="C750" s="75">
        <f>IF($A750="","",PROPER(_xll.BDP($A750&amp;" Corp","NAME")))</f>
        <v/>
      </c>
      <c r="D750" s="76">
        <f>IF($A750="","",_xll.BDP($A750&amp;" Corp","CPN"))</f>
        <v/>
      </c>
      <c r="E750" s="75">
        <f>IF($A750="","",_xll.BDP($A750&amp;" Corp","PAYMENT_RANK"))</f>
        <v/>
      </c>
      <c r="F750" s="100">
        <f>IF($A750="","",_xll.BDP($A750&amp;" Corp","MATURITY"))</f>
        <v/>
      </c>
      <c r="G750" s="75">
        <f>IF($A750="","",PROPER(_xll.BDP($A750&amp;" Corp","COUNTRY_FULL_NAME")))</f>
        <v/>
      </c>
      <c r="H750" s="75">
        <f>IF($A750="","",_xll.BDP($A750&amp;" Corp","INDUSTRY_SECTOR"))</f>
        <v/>
      </c>
      <c r="I750" s="101">
        <f>IF($A750="","",IFERROR(_xll.BDP($A750&amp;" Corp","MIN_PIECE")/1000,""))</f>
        <v/>
      </c>
      <c r="J750" s="31">
        <f>IF($A750="","",_xll.BDP($A750&amp;" Corp","PX_LAST"))</f>
        <v/>
      </c>
      <c r="K750" s="31">
        <f>IF($A750="","",_xll.BDP($A750&amp;" Corp","YAS_BOND_YLD","YAS_YLD_FLAG=15"))</f>
        <v/>
      </c>
      <c r="L750" s="31">
        <f>IF($A750="","",K750-_xll.BDP($A750&amp;" Corp","YAS_BOND_YLD","YAS_YLD_FLAG=15","SETTLE_DT",Company_desc!$A$1))</f>
        <v/>
      </c>
      <c r="M750" s="31">
        <f>IF($A750="","",K750-_xll.BDP($A750&amp;" Corp","YAS_BOND_YLD","YAS_YLD_FLAG=15","SETTLE_DT",Company_desc!$A$2))</f>
        <v/>
      </c>
      <c r="N750" s="79">
        <f>IF($A750="","",_xll.BDP($A750&amp;" Corp","YAS_OAS_SPRD"))</f>
        <v/>
      </c>
      <c r="O750" s="82">
        <f>IF($A750="","",_xll.BDP($A750&amp;" Corp","YAS_MOD_DUR"))</f>
        <v/>
      </c>
      <c r="P750" s="80">
        <f>IF($A750="","",IFERROR(INDEX(Sheet1!$P:$P,MATCH($A750,Sheet1!$A:$A,0)),""))</f>
        <v/>
      </c>
      <c r="Q750" s="75">
        <f>IF($A750="","",IFERROR(INDEX(Company_desc!$C:$C,MATCH($A750,Company_desc!$A:$A,0)),IFERROR(INDEX(Sheet1!$Q:$Q,MATCH($A750,Sheet1!$A:$A,0)),"")))</f>
        <v/>
      </c>
      <c r="R750" s="75">
        <f>IF($A750="","",_xll.BDP($A750&amp;" Corp","CRNCY"))</f>
        <v/>
      </c>
      <c r="S750" s="75">
        <f>IF($A750="","",IFERROR(INDEX(Sheet1!$S:$S,MATCH($A750,Sheet1!$A:$A,0)),""))</f>
        <v/>
      </c>
      <c r="T750" s="75">
        <f>IF($A750="","",IFERROR(INDEX(Sheet1!$T:$T,MATCH($A750,Sheet1!$A:$A,0)),_xll.BDP($A750&amp;" Corp","RTG_SP")))</f>
        <v/>
      </c>
      <c r="U750" s="75">
        <f>IF($A750="","",IFERROR(INDEX(Sheet1!$U:$U,MATCH($A750,Sheet1!$A:$A,0)),""))</f>
        <v/>
      </c>
      <c r="W750" s="81">
        <f>IF($A750="","",N750-_xll.BDP($A750&amp;" Corp","YAS_OAS_SPRD","SETTLE_DT",Company_desc!$A$1))</f>
        <v/>
      </c>
      <c r="X750" s="81">
        <f>IF($A750="","",N750-_xll.BDP($A750&amp;" Corp","YAS_OAS_SPRD","SETTLE_DT",Company_desc!$A$2))</f>
        <v/>
      </c>
      <c r="Y750" s="80">
        <f>IF($A750="","",N750-_xll.BDP($A750&amp;" Corp","YAS_OAS_SPRD","SETTLE_DT",Company_desc!$D$1))</f>
        <v/>
      </c>
      <c r="Z750" s="82">
        <f>IF($A750="","",K750-_xll.BDP($A750&amp;" Corp","YAS_BOND_YLD","YAS_YLD_FLAG=15","SETTLE_DT",Company_desc!$D$1))</f>
        <v/>
      </c>
      <c r="AA750" s="80">
        <f>IF($A750="","",_xll.BDP($A750&amp;" Corp","YAS_OAS_SPRD","SETTLE_DT",Company_desc!$D$1))</f>
        <v/>
      </c>
    </row>
    <row r="751">
      <c r="B751" s="75">
        <f>IF($A751="","",IFERROR(INDEX(Sheet1!$B:$B,MATCH($A751,Sheet1!$A:$A,0)),""))</f>
        <v/>
      </c>
      <c r="C751" s="75">
        <f>IF($A751="","",PROPER(_xll.BDP($A751&amp;" Corp","NAME")))</f>
        <v/>
      </c>
      <c r="D751" s="76">
        <f>IF($A751="","",_xll.BDP($A751&amp;" Corp","CPN"))</f>
        <v/>
      </c>
      <c r="E751" s="75">
        <f>IF($A751="","",_xll.BDP($A751&amp;" Corp","PAYMENT_RANK"))</f>
        <v/>
      </c>
      <c r="F751" s="100">
        <f>IF($A751="","",_xll.BDP($A751&amp;" Corp","MATURITY"))</f>
        <v/>
      </c>
      <c r="G751" s="75">
        <f>IF($A751="","",PROPER(_xll.BDP($A751&amp;" Corp","COUNTRY_FULL_NAME")))</f>
        <v/>
      </c>
      <c r="H751" s="75">
        <f>IF($A751="","",_xll.BDP($A751&amp;" Corp","INDUSTRY_SECTOR"))</f>
        <v/>
      </c>
      <c r="I751" s="101">
        <f>IF($A751="","",IFERROR(_xll.BDP($A751&amp;" Corp","MIN_PIECE")/1000,""))</f>
        <v/>
      </c>
      <c r="J751" s="31">
        <f>IF($A751="","",_xll.BDP($A751&amp;" Corp","PX_LAST"))</f>
        <v/>
      </c>
      <c r="K751" s="31">
        <f>IF($A751="","",_xll.BDP($A751&amp;" Corp","YAS_BOND_YLD","YAS_YLD_FLAG=15"))</f>
        <v/>
      </c>
      <c r="L751" s="31">
        <f>IF($A751="","",K751-_xll.BDP($A751&amp;" Corp","YAS_BOND_YLD","YAS_YLD_FLAG=15","SETTLE_DT",Company_desc!$A$1))</f>
        <v/>
      </c>
      <c r="M751" s="31">
        <f>IF($A751="","",K751-_xll.BDP($A751&amp;" Corp","YAS_BOND_YLD","YAS_YLD_FLAG=15","SETTLE_DT",Company_desc!$A$2))</f>
        <v/>
      </c>
      <c r="N751" s="79">
        <f>IF($A751="","",_xll.BDP($A751&amp;" Corp","YAS_OAS_SPRD"))</f>
        <v/>
      </c>
      <c r="O751" s="82">
        <f>IF($A751="","",_xll.BDP($A751&amp;" Corp","YAS_MOD_DUR"))</f>
        <v/>
      </c>
      <c r="P751" s="80">
        <f>IF($A751="","",IFERROR(INDEX(Sheet1!$P:$P,MATCH($A751,Sheet1!$A:$A,0)),""))</f>
        <v/>
      </c>
      <c r="Q751" s="75">
        <f>IF($A751="","",IFERROR(INDEX(Company_desc!$C:$C,MATCH($A751,Company_desc!$A:$A,0)),IFERROR(INDEX(Sheet1!$Q:$Q,MATCH($A751,Sheet1!$A:$A,0)),"")))</f>
        <v/>
      </c>
      <c r="R751" s="75">
        <f>IF($A751="","",_xll.BDP($A751&amp;" Corp","CRNCY"))</f>
        <v/>
      </c>
      <c r="S751" s="75">
        <f>IF($A751="","",IFERROR(INDEX(Sheet1!$S:$S,MATCH($A751,Sheet1!$A:$A,0)),""))</f>
        <v/>
      </c>
      <c r="T751" s="75">
        <f>IF($A751="","",IFERROR(INDEX(Sheet1!$T:$T,MATCH($A751,Sheet1!$A:$A,0)),_xll.BDP($A751&amp;" Corp","RTG_SP")))</f>
        <v/>
      </c>
      <c r="U751" s="75">
        <f>IF($A751="","",IFERROR(INDEX(Sheet1!$U:$U,MATCH($A751,Sheet1!$A:$A,0)),""))</f>
        <v/>
      </c>
      <c r="W751" s="81">
        <f>IF($A751="","",N751-_xll.BDP($A751&amp;" Corp","YAS_OAS_SPRD","SETTLE_DT",Company_desc!$A$1))</f>
        <v/>
      </c>
      <c r="X751" s="81">
        <f>IF($A751="","",N751-_xll.BDP($A751&amp;" Corp","YAS_OAS_SPRD","SETTLE_DT",Company_desc!$A$2))</f>
        <v/>
      </c>
      <c r="Y751" s="80">
        <f>IF($A751="","",N751-_xll.BDP($A751&amp;" Corp","YAS_OAS_SPRD","SETTLE_DT",Company_desc!$D$1))</f>
        <v/>
      </c>
      <c r="Z751" s="82">
        <f>IF($A751="","",K751-_xll.BDP($A751&amp;" Corp","YAS_BOND_YLD","YAS_YLD_FLAG=15","SETTLE_DT",Company_desc!$D$1))</f>
        <v/>
      </c>
      <c r="AA751" s="80">
        <f>IF($A751="","",_xll.BDP($A751&amp;" Corp","YAS_OAS_SPRD","SETTLE_DT",Company_desc!$D$1))</f>
        <v/>
      </c>
    </row>
    <row r="752">
      <c r="B752" s="75">
        <f>IF($A752="","",IFERROR(INDEX(Sheet1!$B:$B,MATCH($A752,Sheet1!$A:$A,0)),""))</f>
        <v/>
      </c>
      <c r="C752" s="75">
        <f>IF($A752="","",PROPER(_xll.BDP($A752&amp;" Corp","NAME")))</f>
        <v/>
      </c>
      <c r="D752" s="76">
        <f>IF($A752="","",_xll.BDP($A752&amp;" Corp","CPN"))</f>
        <v/>
      </c>
      <c r="E752" s="75">
        <f>IF($A752="","",_xll.BDP($A752&amp;" Corp","PAYMENT_RANK"))</f>
        <v/>
      </c>
      <c r="F752" s="100">
        <f>IF($A752="","",_xll.BDP($A752&amp;" Corp","MATURITY"))</f>
        <v/>
      </c>
      <c r="G752" s="75">
        <f>IF($A752="","",PROPER(_xll.BDP($A752&amp;" Corp","COUNTRY_FULL_NAME")))</f>
        <v/>
      </c>
      <c r="H752" s="75">
        <f>IF($A752="","",_xll.BDP($A752&amp;" Corp","INDUSTRY_SECTOR"))</f>
        <v/>
      </c>
      <c r="I752" s="101">
        <f>IF($A752="","",IFERROR(_xll.BDP($A752&amp;" Corp","MIN_PIECE")/1000,""))</f>
        <v/>
      </c>
      <c r="J752" s="31">
        <f>IF($A752="","",_xll.BDP($A752&amp;" Corp","PX_LAST"))</f>
        <v/>
      </c>
      <c r="K752" s="31">
        <f>IF($A752="","",_xll.BDP($A752&amp;" Corp","YAS_BOND_YLD","YAS_YLD_FLAG=15"))</f>
        <v/>
      </c>
      <c r="L752" s="31">
        <f>IF($A752="","",K752-_xll.BDP($A752&amp;" Corp","YAS_BOND_YLD","YAS_YLD_FLAG=15","SETTLE_DT",Company_desc!$A$1))</f>
        <v/>
      </c>
      <c r="M752" s="31">
        <f>IF($A752="","",K752-_xll.BDP($A752&amp;" Corp","YAS_BOND_YLD","YAS_YLD_FLAG=15","SETTLE_DT",Company_desc!$A$2))</f>
        <v/>
      </c>
      <c r="N752" s="79">
        <f>IF($A752="","",_xll.BDP($A752&amp;" Corp","YAS_OAS_SPRD"))</f>
        <v/>
      </c>
      <c r="O752" s="82">
        <f>IF($A752="","",_xll.BDP($A752&amp;" Corp","YAS_MOD_DUR"))</f>
        <v/>
      </c>
      <c r="P752" s="80">
        <f>IF($A752="","",IFERROR(INDEX(Sheet1!$P:$P,MATCH($A752,Sheet1!$A:$A,0)),""))</f>
        <v/>
      </c>
      <c r="Q752" s="75">
        <f>IF($A752="","",IFERROR(INDEX(Company_desc!$C:$C,MATCH($A752,Company_desc!$A:$A,0)),IFERROR(INDEX(Sheet1!$Q:$Q,MATCH($A752,Sheet1!$A:$A,0)),"")))</f>
        <v/>
      </c>
      <c r="R752" s="75">
        <f>IF($A752="","",_xll.BDP($A752&amp;" Corp","CRNCY"))</f>
        <v/>
      </c>
      <c r="S752" s="75">
        <f>IF($A752="","",IFERROR(INDEX(Sheet1!$S:$S,MATCH($A752,Sheet1!$A:$A,0)),""))</f>
        <v/>
      </c>
      <c r="T752" s="75">
        <f>IF($A752="","",IFERROR(INDEX(Sheet1!$T:$T,MATCH($A752,Sheet1!$A:$A,0)),_xll.BDP($A752&amp;" Corp","RTG_SP")))</f>
        <v/>
      </c>
      <c r="U752" s="75">
        <f>IF($A752="","",IFERROR(INDEX(Sheet1!$U:$U,MATCH($A752,Sheet1!$A:$A,0)),""))</f>
        <v/>
      </c>
      <c r="W752" s="81">
        <f>IF($A752="","",N752-_xll.BDP($A752&amp;" Corp","YAS_OAS_SPRD","SETTLE_DT",Company_desc!$A$1))</f>
        <v/>
      </c>
      <c r="X752" s="81">
        <f>IF($A752="","",N752-_xll.BDP($A752&amp;" Corp","YAS_OAS_SPRD","SETTLE_DT",Company_desc!$A$2))</f>
        <v/>
      </c>
      <c r="Y752" s="80">
        <f>IF($A752="","",N752-_xll.BDP($A752&amp;" Corp","YAS_OAS_SPRD","SETTLE_DT",Company_desc!$D$1))</f>
        <v/>
      </c>
      <c r="Z752" s="82">
        <f>IF($A752="","",K752-_xll.BDP($A752&amp;" Corp","YAS_BOND_YLD","YAS_YLD_FLAG=15","SETTLE_DT",Company_desc!$D$1))</f>
        <v/>
      </c>
      <c r="AA752" s="80">
        <f>IF($A752="","",_xll.BDP($A752&amp;" Corp","YAS_OAS_SPRD","SETTLE_DT",Company_desc!$D$1))</f>
        <v/>
      </c>
    </row>
    <row r="753">
      <c r="B753" s="75">
        <f>IF($A753="","",IFERROR(INDEX(Sheet1!$B:$B,MATCH($A753,Sheet1!$A:$A,0)),""))</f>
        <v/>
      </c>
      <c r="C753" s="75">
        <f>IF($A753="","",PROPER(_xll.BDP($A753&amp;" Corp","NAME")))</f>
        <v/>
      </c>
      <c r="D753" s="76">
        <f>IF($A753="","",_xll.BDP($A753&amp;" Corp","CPN"))</f>
        <v/>
      </c>
      <c r="E753" s="75">
        <f>IF($A753="","",_xll.BDP($A753&amp;" Corp","PAYMENT_RANK"))</f>
        <v/>
      </c>
      <c r="F753" s="100">
        <f>IF($A753="","",_xll.BDP($A753&amp;" Corp","MATURITY"))</f>
        <v/>
      </c>
      <c r="G753" s="75">
        <f>IF($A753="","",PROPER(_xll.BDP($A753&amp;" Corp","COUNTRY_FULL_NAME")))</f>
        <v/>
      </c>
      <c r="H753" s="75">
        <f>IF($A753="","",_xll.BDP($A753&amp;" Corp","INDUSTRY_SECTOR"))</f>
        <v/>
      </c>
      <c r="I753" s="101">
        <f>IF($A753="","",IFERROR(_xll.BDP($A753&amp;" Corp","MIN_PIECE")/1000,""))</f>
        <v/>
      </c>
      <c r="J753" s="31">
        <f>IF($A753="","",_xll.BDP($A753&amp;" Corp","PX_LAST"))</f>
        <v/>
      </c>
      <c r="K753" s="31">
        <f>IF($A753="","",_xll.BDP($A753&amp;" Corp","YAS_BOND_YLD","YAS_YLD_FLAG=15"))</f>
        <v/>
      </c>
      <c r="L753" s="31">
        <f>IF($A753="","",K753-_xll.BDP($A753&amp;" Corp","YAS_BOND_YLD","YAS_YLD_FLAG=15","SETTLE_DT",Company_desc!$A$1))</f>
        <v/>
      </c>
      <c r="M753" s="31">
        <f>IF($A753="","",K753-_xll.BDP($A753&amp;" Corp","YAS_BOND_YLD","YAS_YLD_FLAG=15","SETTLE_DT",Company_desc!$A$2))</f>
        <v/>
      </c>
      <c r="N753" s="79">
        <f>IF($A753="","",_xll.BDP($A753&amp;" Corp","YAS_OAS_SPRD"))</f>
        <v/>
      </c>
      <c r="O753" s="82">
        <f>IF($A753="","",_xll.BDP($A753&amp;" Corp","YAS_MOD_DUR"))</f>
        <v/>
      </c>
      <c r="P753" s="80">
        <f>IF($A753="","",IFERROR(INDEX(Sheet1!$P:$P,MATCH($A753,Sheet1!$A:$A,0)),""))</f>
        <v/>
      </c>
      <c r="Q753" s="75">
        <f>IF($A753="","",IFERROR(INDEX(Company_desc!$C:$C,MATCH($A753,Company_desc!$A:$A,0)),IFERROR(INDEX(Sheet1!$Q:$Q,MATCH($A753,Sheet1!$A:$A,0)),"")))</f>
        <v/>
      </c>
      <c r="R753" s="75">
        <f>IF($A753="","",_xll.BDP($A753&amp;" Corp","CRNCY"))</f>
        <v/>
      </c>
      <c r="S753" s="75">
        <f>IF($A753="","",IFERROR(INDEX(Sheet1!$S:$S,MATCH($A753,Sheet1!$A:$A,0)),""))</f>
        <v/>
      </c>
      <c r="T753" s="75">
        <f>IF($A753="","",IFERROR(INDEX(Sheet1!$T:$T,MATCH($A753,Sheet1!$A:$A,0)),_xll.BDP($A753&amp;" Corp","RTG_SP")))</f>
        <v/>
      </c>
      <c r="U753" s="75">
        <f>IF($A753="","",IFERROR(INDEX(Sheet1!$U:$U,MATCH($A753,Sheet1!$A:$A,0)),""))</f>
        <v/>
      </c>
      <c r="W753" s="81">
        <f>IF($A753="","",N753-_xll.BDP($A753&amp;" Corp","YAS_OAS_SPRD","SETTLE_DT",Company_desc!$A$1))</f>
        <v/>
      </c>
      <c r="X753" s="81">
        <f>IF($A753="","",N753-_xll.BDP($A753&amp;" Corp","YAS_OAS_SPRD","SETTLE_DT",Company_desc!$A$2))</f>
        <v/>
      </c>
      <c r="Y753" s="80">
        <f>IF($A753="","",N753-_xll.BDP($A753&amp;" Corp","YAS_OAS_SPRD","SETTLE_DT",Company_desc!$D$1))</f>
        <v/>
      </c>
      <c r="Z753" s="82">
        <f>IF($A753="","",K753-_xll.BDP($A753&amp;" Corp","YAS_BOND_YLD","YAS_YLD_FLAG=15","SETTLE_DT",Company_desc!$D$1))</f>
        <v/>
      </c>
      <c r="AA753" s="80">
        <f>IF($A753="","",_xll.BDP($A753&amp;" Corp","YAS_OAS_SPRD","SETTLE_DT",Company_desc!$D$1))</f>
        <v/>
      </c>
    </row>
    <row r="754">
      <c r="B754" s="75">
        <f>IF($A754="","",IFERROR(INDEX(Sheet1!$B:$B,MATCH($A754,Sheet1!$A:$A,0)),""))</f>
        <v/>
      </c>
      <c r="C754" s="75">
        <f>IF($A754="","",PROPER(_xll.BDP($A754&amp;" Corp","NAME")))</f>
        <v/>
      </c>
      <c r="D754" s="76">
        <f>IF($A754="","",_xll.BDP($A754&amp;" Corp","CPN"))</f>
        <v/>
      </c>
      <c r="E754" s="75">
        <f>IF($A754="","",_xll.BDP($A754&amp;" Corp","PAYMENT_RANK"))</f>
        <v/>
      </c>
      <c r="F754" s="100">
        <f>IF($A754="","",_xll.BDP($A754&amp;" Corp","MATURITY"))</f>
        <v/>
      </c>
      <c r="G754" s="75">
        <f>IF($A754="","",PROPER(_xll.BDP($A754&amp;" Corp","COUNTRY_FULL_NAME")))</f>
        <v/>
      </c>
      <c r="H754" s="75">
        <f>IF($A754="","",_xll.BDP($A754&amp;" Corp","INDUSTRY_SECTOR"))</f>
        <v/>
      </c>
      <c r="I754" s="101">
        <f>IF($A754="","",IFERROR(_xll.BDP($A754&amp;" Corp","MIN_PIECE")/1000,""))</f>
        <v/>
      </c>
      <c r="J754" s="31">
        <f>IF($A754="","",_xll.BDP($A754&amp;" Corp","PX_LAST"))</f>
        <v/>
      </c>
      <c r="K754" s="31">
        <f>IF($A754="","",_xll.BDP($A754&amp;" Corp","YAS_BOND_YLD","YAS_YLD_FLAG=15"))</f>
        <v/>
      </c>
      <c r="L754" s="31">
        <f>IF($A754="","",K754-_xll.BDP($A754&amp;" Corp","YAS_BOND_YLD","YAS_YLD_FLAG=15","SETTLE_DT",Company_desc!$A$1))</f>
        <v/>
      </c>
      <c r="M754" s="31">
        <f>IF($A754="","",K754-_xll.BDP($A754&amp;" Corp","YAS_BOND_YLD","YAS_YLD_FLAG=15","SETTLE_DT",Company_desc!$A$2))</f>
        <v/>
      </c>
      <c r="N754" s="79">
        <f>IF($A754="","",_xll.BDP($A754&amp;" Corp","YAS_OAS_SPRD"))</f>
        <v/>
      </c>
      <c r="O754" s="82">
        <f>IF($A754="","",_xll.BDP($A754&amp;" Corp","YAS_MOD_DUR"))</f>
        <v/>
      </c>
      <c r="P754" s="80">
        <f>IF($A754="","",IFERROR(INDEX(Sheet1!$P:$P,MATCH($A754,Sheet1!$A:$A,0)),""))</f>
        <v/>
      </c>
      <c r="Q754" s="75">
        <f>IF($A754="","",IFERROR(INDEX(Company_desc!$C:$C,MATCH($A754,Company_desc!$A:$A,0)),IFERROR(INDEX(Sheet1!$Q:$Q,MATCH($A754,Sheet1!$A:$A,0)),"")))</f>
        <v/>
      </c>
      <c r="R754" s="75">
        <f>IF($A754="","",_xll.BDP($A754&amp;" Corp","CRNCY"))</f>
        <v/>
      </c>
      <c r="S754" s="75">
        <f>IF($A754="","",IFERROR(INDEX(Sheet1!$S:$S,MATCH($A754,Sheet1!$A:$A,0)),""))</f>
        <v/>
      </c>
      <c r="T754" s="75">
        <f>IF($A754="","",IFERROR(INDEX(Sheet1!$T:$T,MATCH($A754,Sheet1!$A:$A,0)),_xll.BDP($A754&amp;" Corp","RTG_SP")))</f>
        <v/>
      </c>
      <c r="U754" s="75">
        <f>IF($A754="","",IFERROR(INDEX(Sheet1!$U:$U,MATCH($A754,Sheet1!$A:$A,0)),""))</f>
        <v/>
      </c>
      <c r="W754" s="81">
        <f>IF($A754="","",N754-_xll.BDP($A754&amp;" Corp","YAS_OAS_SPRD","SETTLE_DT",Company_desc!$A$1))</f>
        <v/>
      </c>
      <c r="X754" s="81">
        <f>IF($A754="","",N754-_xll.BDP($A754&amp;" Corp","YAS_OAS_SPRD","SETTLE_DT",Company_desc!$A$2))</f>
        <v/>
      </c>
      <c r="Y754" s="80">
        <f>IF($A754="","",N754-_xll.BDP($A754&amp;" Corp","YAS_OAS_SPRD","SETTLE_DT",Company_desc!$D$1))</f>
        <v/>
      </c>
      <c r="Z754" s="82">
        <f>IF($A754="","",K754-_xll.BDP($A754&amp;" Corp","YAS_BOND_YLD","YAS_YLD_FLAG=15","SETTLE_DT",Company_desc!$D$1))</f>
        <v/>
      </c>
      <c r="AA754" s="80">
        <f>IF($A754="","",_xll.BDP($A754&amp;" Corp","YAS_OAS_SPRD","SETTLE_DT",Company_desc!$D$1))</f>
        <v/>
      </c>
    </row>
    <row r="755">
      <c r="B755" s="75">
        <f>IF($A755="","",IFERROR(INDEX(Sheet1!$B:$B,MATCH($A755,Sheet1!$A:$A,0)),""))</f>
        <v/>
      </c>
      <c r="C755" s="75">
        <f>IF($A755="","",PROPER(_xll.BDP($A755&amp;" Corp","NAME")))</f>
        <v/>
      </c>
      <c r="D755" s="76">
        <f>IF($A755="","",_xll.BDP($A755&amp;" Corp","CPN"))</f>
        <v/>
      </c>
      <c r="E755" s="75">
        <f>IF($A755="","",_xll.BDP($A755&amp;" Corp","PAYMENT_RANK"))</f>
        <v/>
      </c>
      <c r="F755" s="100">
        <f>IF($A755="","",_xll.BDP($A755&amp;" Corp","MATURITY"))</f>
        <v/>
      </c>
      <c r="G755" s="75">
        <f>IF($A755="","",PROPER(_xll.BDP($A755&amp;" Corp","COUNTRY_FULL_NAME")))</f>
        <v/>
      </c>
      <c r="H755" s="75">
        <f>IF($A755="","",_xll.BDP($A755&amp;" Corp","INDUSTRY_SECTOR"))</f>
        <v/>
      </c>
      <c r="I755" s="101">
        <f>IF($A755="","",IFERROR(_xll.BDP($A755&amp;" Corp","MIN_PIECE")/1000,""))</f>
        <v/>
      </c>
      <c r="J755" s="31">
        <f>IF($A755="","",_xll.BDP($A755&amp;" Corp","PX_LAST"))</f>
        <v/>
      </c>
      <c r="K755" s="31">
        <f>IF($A755="","",_xll.BDP($A755&amp;" Corp","YAS_BOND_YLD","YAS_YLD_FLAG=15"))</f>
        <v/>
      </c>
      <c r="L755" s="31">
        <f>IF($A755="","",K755-_xll.BDP($A755&amp;" Corp","YAS_BOND_YLD","YAS_YLD_FLAG=15","SETTLE_DT",Company_desc!$A$1))</f>
        <v/>
      </c>
      <c r="M755" s="31">
        <f>IF($A755="","",K755-_xll.BDP($A755&amp;" Corp","YAS_BOND_YLD","YAS_YLD_FLAG=15","SETTLE_DT",Company_desc!$A$2))</f>
        <v/>
      </c>
      <c r="N755" s="79">
        <f>IF($A755="","",_xll.BDP($A755&amp;" Corp","YAS_OAS_SPRD"))</f>
        <v/>
      </c>
      <c r="O755" s="82">
        <f>IF($A755="","",_xll.BDP($A755&amp;" Corp","YAS_MOD_DUR"))</f>
        <v/>
      </c>
      <c r="P755" s="80">
        <f>IF($A755="","",IFERROR(INDEX(Sheet1!$P:$P,MATCH($A755,Sheet1!$A:$A,0)),""))</f>
        <v/>
      </c>
      <c r="Q755" s="75">
        <f>IF($A755="","",IFERROR(INDEX(Company_desc!$C:$C,MATCH($A755,Company_desc!$A:$A,0)),IFERROR(INDEX(Sheet1!$Q:$Q,MATCH($A755,Sheet1!$A:$A,0)),"")))</f>
        <v/>
      </c>
      <c r="R755" s="75">
        <f>IF($A755="","",_xll.BDP($A755&amp;" Corp","CRNCY"))</f>
        <v/>
      </c>
      <c r="S755" s="75">
        <f>IF($A755="","",IFERROR(INDEX(Sheet1!$S:$S,MATCH($A755,Sheet1!$A:$A,0)),""))</f>
        <v/>
      </c>
      <c r="T755" s="75">
        <f>IF($A755="","",IFERROR(INDEX(Sheet1!$T:$T,MATCH($A755,Sheet1!$A:$A,0)),_xll.BDP($A755&amp;" Corp","RTG_SP")))</f>
        <v/>
      </c>
      <c r="U755" s="75">
        <f>IF($A755="","",IFERROR(INDEX(Sheet1!$U:$U,MATCH($A755,Sheet1!$A:$A,0)),""))</f>
        <v/>
      </c>
      <c r="W755" s="81">
        <f>IF($A755="","",N755-_xll.BDP($A755&amp;" Corp","YAS_OAS_SPRD","SETTLE_DT",Company_desc!$A$1))</f>
        <v/>
      </c>
      <c r="X755" s="81">
        <f>IF($A755="","",N755-_xll.BDP($A755&amp;" Corp","YAS_OAS_SPRD","SETTLE_DT",Company_desc!$A$2))</f>
        <v/>
      </c>
      <c r="Y755" s="80">
        <f>IF($A755="","",N755-_xll.BDP($A755&amp;" Corp","YAS_OAS_SPRD","SETTLE_DT",Company_desc!$D$1))</f>
        <v/>
      </c>
      <c r="Z755" s="82">
        <f>IF($A755="","",K755-_xll.BDP($A755&amp;" Corp","YAS_BOND_YLD","YAS_YLD_FLAG=15","SETTLE_DT",Company_desc!$D$1))</f>
        <v/>
      </c>
      <c r="AA755" s="80">
        <f>IF($A755="","",_xll.BDP($A755&amp;" Corp","YAS_OAS_SPRD","SETTLE_DT",Company_desc!$D$1))</f>
        <v/>
      </c>
    </row>
    <row r="756">
      <c r="B756" s="75">
        <f>IF($A756="","",IFERROR(INDEX(Sheet1!$B:$B,MATCH($A756,Sheet1!$A:$A,0)),""))</f>
        <v/>
      </c>
      <c r="C756" s="75">
        <f>IF($A756="","",PROPER(_xll.BDP($A756&amp;" Corp","NAME")))</f>
        <v/>
      </c>
      <c r="D756" s="76">
        <f>IF($A756="","",_xll.BDP($A756&amp;" Corp","CPN"))</f>
        <v/>
      </c>
      <c r="E756" s="75">
        <f>IF($A756="","",_xll.BDP($A756&amp;" Corp","PAYMENT_RANK"))</f>
        <v/>
      </c>
      <c r="F756" s="100">
        <f>IF($A756="","",_xll.BDP($A756&amp;" Corp","MATURITY"))</f>
        <v/>
      </c>
      <c r="G756" s="75">
        <f>IF($A756="","",PROPER(_xll.BDP($A756&amp;" Corp","COUNTRY_FULL_NAME")))</f>
        <v/>
      </c>
      <c r="H756" s="75">
        <f>IF($A756="","",_xll.BDP($A756&amp;" Corp","INDUSTRY_SECTOR"))</f>
        <v/>
      </c>
      <c r="I756" s="101">
        <f>IF($A756="","",IFERROR(_xll.BDP($A756&amp;" Corp","MIN_PIECE")/1000,""))</f>
        <v/>
      </c>
      <c r="J756" s="31">
        <f>IF($A756="","",_xll.BDP($A756&amp;" Corp","PX_LAST"))</f>
        <v/>
      </c>
      <c r="K756" s="31">
        <f>IF($A756="","",_xll.BDP($A756&amp;" Corp","YAS_BOND_YLD","YAS_YLD_FLAG=15"))</f>
        <v/>
      </c>
      <c r="L756" s="31">
        <f>IF($A756="","",K756-_xll.BDP($A756&amp;" Corp","YAS_BOND_YLD","YAS_YLD_FLAG=15","SETTLE_DT",Company_desc!$A$1))</f>
        <v/>
      </c>
      <c r="M756" s="31">
        <f>IF($A756="","",K756-_xll.BDP($A756&amp;" Corp","YAS_BOND_YLD","YAS_YLD_FLAG=15","SETTLE_DT",Company_desc!$A$2))</f>
        <v/>
      </c>
      <c r="N756" s="79">
        <f>IF($A756="","",_xll.BDP($A756&amp;" Corp","YAS_OAS_SPRD"))</f>
        <v/>
      </c>
      <c r="O756" s="82">
        <f>IF($A756="","",_xll.BDP($A756&amp;" Corp","YAS_MOD_DUR"))</f>
        <v/>
      </c>
      <c r="P756" s="80">
        <f>IF($A756="","",IFERROR(INDEX(Sheet1!$P:$P,MATCH($A756,Sheet1!$A:$A,0)),""))</f>
        <v/>
      </c>
      <c r="Q756" s="75">
        <f>IF($A756="","",IFERROR(INDEX(Company_desc!$C:$C,MATCH($A756,Company_desc!$A:$A,0)),IFERROR(INDEX(Sheet1!$Q:$Q,MATCH($A756,Sheet1!$A:$A,0)),"")))</f>
        <v/>
      </c>
      <c r="R756" s="75">
        <f>IF($A756="","",_xll.BDP($A756&amp;" Corp","CRNCY"))</f>
        <v/>
      </c>
      <c r="S756" s="75">
        <f>IF($A756="","",IFERROR(INDEX(Sheet1!$S:$S,MATCH($A756,Sheet1!$A:$A,0)),""))</f>
        <v/>
      </c>
      <c r="T756" s="75">
        <f>IF($A756="","",IFERROR(INDEX(Sheet1!$T:$T,MATCH($A756,Sheet1!$A:$A,0)),_xll.BDP($A756&amp;" Corp","RTG_SP")))</f>
        <v/>
      </c>
      <c r="U756" s="75">
        <f>IF($A756="","",IFERROR(INDEX(Sheet1!$U:$U,MATCH($A756,Sheet1!$A:$A,0)),""))</f>
        <v/>
      </c>
      <c r="W756" s="81">
        <f>IF($A756="","",N756-_xll.BDP($A756&amp;" Corp","YAS_OAS_SPRD","SETTLE_DT",Company_desc!$A$1))</f>
        <v/>
      </c>
      <c r="X756" s="81">
        <f>IF($A756="","",N756-_xll.BDP($A756&amp;" Corp","YAS_OAS_SPRD","SETTLE_DT",Company_desc!$A$2))</f>
        <v/>
      </c>
      <c r="Y756" s="80">
        <f>IF($A756="","",N756-_xll.BDP($A756&amp;" Corp","YAS_OAS_SPRD","SETTLE_DT",Company_desc!$D$1))</f>
        <v/>
      </c>
      <c r="Z756" s="82">
        <f>IF($A756="","",K756-_xll.BDP($A756&amp;" Corp","YAS_BOND_YLD","YAS_YLD_FLAG=15","SETTLE_DT",Company_desc!$D$1))</f>
        <v/>
      </c>
      <c r="AA756" s="80">
        <f>IF($A756="","",_xll.BDP($A756&amp;" Corp","YAS_OAS_SPRD","SETTLE_DT",Company_desc!$D$1))</f>
        <v/>
      </c>
    </row>
    <row r="757">
      <c r="B757" s="75">
        <f>IF($A757="","",IFERROR(INDEX(Sheet1!$B:$B,MATCH($A757,Sheet1!$A:$A,0)),""))</f>
        <v/>
      </c>
      <c r="C757" s="75">
        <f>IF($A757="","",PROPER(_xll.BDP($A757&amp;" Corp","NAME")))</f>
        <v/>
      </c>
      <c r="D757" s="76">
        <f>IF($A757="","",_xll.BDP($A757&amp;" Corp","CPN"))</f>
        <v/>
      </c>
      <c r="E757" s="75">
        <f>IF($A757="","",_xll.BDP($A757&amp;" Corp","PAYMENT_RANK"))</f>
        <v/>
      </c>
      <c r="F757" s="100">
        <f>IF($A757="","",_xll.BDP($A757&amp;" Corp","MATURITY"))</f>
        <v/>
      </c>
      <c r="G757" s="75">
        <f>IF($A757="","",PROPER(_xll.BDP($A757&amp;" Corp","COUNTRY_FULL_NAME")))</f>
        <v/>
      </c>
      <c r="H757" s="75">
        <f>IF($A757="","",_xll.BDP($A757&amp;" Corp","INDUSTRY_SECTOR"))</f>
        <v/>
      </c>
      <c r="I757" s="101">
        <f>IF($A757="","",IFERROR(_xll.BDP($A757&amp;" Corp","MIN_PIECE")/1000,""))</f>
        <v/>
      </c>
      <c r="J757" s="31">
        <f>IF($A757="","",_xll.BDP($A757&amp;" Corp","PX_LAST"))</f>
        <v/>
      </c>
      <c r="K757" s="31">
        <f>IF($A757="","",_xll.BDP($A757&amp;" Corp","YAS_BOND_YLD","YAS_YLD_FLAG=15"))</f>
        <v/>
      </c>
      <c r="L757" s="31">
        <f>IF($A757="","",K757-_xll.BDP($A757&amp;" Corp","YAS_BOND_YLD","YAS_YLD_FLAG=15","SETTLE_DT",Company_desc!$A$1))</f>
        <v/>
      </c>
      <c r="M757" s="31">
        <f>IF($A757="","",K757-_xll.BDP($A757&amp;" Corp","YAS_BOND_YLD","YAS_YLD_FLAG=15","SETTLE_DT",Company_desc!$A$2))</f>
        <v/>
      </c>
      <c r="N757" s="79">
        <f>IF($A757="","",_xll.BDP($A757&amp;" Corp","YAS_OAS_SPRD"))</f>
        <v/>
      </c>
      <c r="O757" s="82">
        <f>IF($A757="","",_xll.BDP($A757&amp;" Corp","YAS_MOD_DUR"))</f>
        <v/>
      </c>
      <c r="P757" s="80">
        <f>IF($A757="","",IFERROR(INDEX(Sheet1!$P:$P,MATCH($A757,Sheet1!$A:$A,0)),""))</f>
        <v/>
      </c>
      <c r="Q757" s="75">
        <f>IF($A757="","",IFERROR(INDEX(Company_desc!$C:$C,MATCH($A757,Company_desc!$A:$A,0)),IFERROR(INDEX(Sheet1!$Q:$Q,MATCH($A757,Sheet1!$A:$A,0)),"")))</f>
        <v/>
      </c>
      <c r="R757" s="75">
        <f>IF($A757="","",_xll.BDP($A757&amp;" Corp","CRNCY"))</f>
        <v/>
      </c>
      <c r="S757" s="75">
        <f>IF($A757="","",IFERROR(INDEX(Sheet1!$S:$S,MATCH($A757,Sheet1!$A:$A,0)),""))</f>
        <v/>
      </c>
      <c r="T757" s="75">
        <f>IF($A757="","",IFERROR(INDEX(Sheet1!$T:$T,MATCH($A757,Sheet1!$A:$A,0)),_xll.BDP($A757&amp;" Corp","RTG_SP")))</f>
        <v/>
      </c>
      <c r="U757" s="75">
        <f>IF($A757="","",IFERROR(INDEX(Sheet1!$U:$U,MATCH($A757,Sheet1!$A:$A,0)),""))</f>
        <v/>
      </c>
      <c r="W757" s="81">
        <f>IF($A757="","",N757-_xll.BDP($A757&amp;" Corp","YAS_OAS_SPRD","SETTLE_DT",Company_desc!$A$1))</f>
        <v/>
      </c>
      <c r="X757" s="81">
        <f>IF($A757="","",N757-_xll.BDP($A757&amp;" Corp","YAS_OAS_SPRD","SETTLE_DT",Company_desc!$A$2))</f>
        <v/>
      </c>
      <c r="Y757" s="80">
        <f>IF($A757="","",N757-_xll.BDP($A757&amp;" Corp","YAS_OAS_SPRD","SETTLE_DT",Company_desc!$D$1))</f>
        <v/>
      </c>
      <c r="Z757" s="82">
        <f>IF($A757="","",K757-_xll.BDP($A757&amp;" Corp","YAS_BOND_YLD","YAS_YLD_FLAG=15","SETTLE_DT",Company_desc!$D$1))</f>
        <v/>
      </c>
      <c r="AA757" s="80">
        <f>IF($A757="","",_xll.BDP($A757&amp;" Corp","YAS_OAS_SPRD","SETTLE_DT",Company_desc!$D$1))</f>
        <v/>
      </c>
    </row>
    <row r="758">
      <c r="B758" s="75">
        <f>IF($A758="","",IFERROR(INDEX(Sheet1!$B:$B,MATCH($A758,Sheet1!$A:$A,0)),""))</f>
        <v/>
      </c>
      <c r="C758" s="75">
        <f>IF($A758="","",PROPER(_xll.BDP($A758&amp;" Corp","NAME")))</f>
        <v/>
      </c>
      <c r="D758" s="76">
        <f>IF($A758="","",_xll.BDP($A758&amp;" Corp","CPN"))</f>
        <v/>
      </c>
      <c r="E758" s="75">
        <f>IF($A758="","",_xll.BDP($A758&amp;" Corp","PAYMENT_RANK"))</f>
        <v/>
      </c>
      <c r="F758" s="100">
        <f>IF($A758="","",_xll.BDP($A758&amp;" Corp","MATURITY"))</f>
        <v/>
      </c>
      <c r="G758" s="75">
        <f>IF($A758="","",PROPER(_xll.BDP($A758&amp;" Corp","COUNTRY_FULL_NAME")))</f>
        <v/>
      </c>
      <c r="H758" s="75">
        <f>IF($A758="","",_xll.BDP($A758&amp;" Corp","INDUSTRY_SECTOR"))</f>
        <v/>
      </c>
      <c r="I758" s="101">
        <f>IF($A758="","",IFERROR(_xll.BDP($A758&amp;" Corp","MIN_PIECE")/1000,""))</f>
        <v/>
      </c>
      <c r="J758" s="31">
        <f>IF($A758="","",_xll.BDP($A758&amp;" Corp","PX_LAST"))</f>
        <v/>
      </c>
      <c r="K758" s="31">
        <f>IF($A758="","",_xll.BDP($A758&amp;" Corp","YAS_BOND_YLD","YAS_YLD_FLAG=15"))</f>
        <v/>
      </c>
      <c r="L758" s="31">
        <f>IF($A758="","",K758-_xll.BDP($A758&amp;" Corp","YAS_BOND_YLD","YAS_YLD_FLAG=15","SETTLE_DT",Company_desc!$A$1))</f>
        <v/>
      </c>
      <c r="M758" s="31">
        <f>IF($A758="","",K758-_xll.BDP($A758&amp;" Corp","YAS_BOND_YLD","YAS_YLD_FLAG=15","SETTLE_DT",Company_desc!$A$2))</f>
        <v/>
      </c>
      <c r="N758" s="79">
        <f>IF($A758="","",_xll.BDP($A758&amp;" Corp","YAS_OAS_SPRD"))</f>
        <v/>
      </c>
      <c r="O758" s="82">
        <f>IF($A758="","",_xll.BDP($A758&amp;" Corp","YAS_MOD_DUR"))</f>
        <v/>
      </c>
      <c r="P758" s="80">
        <f>IF($A758="","",IFERROR(INDEX(Sheet1!$P:$P,MATCH($A758,Sheet1!$A:$A,0)),""))</f>
        <v/>
      </c>
      <c r="Q758" s="75">
        <f>IF($A758="","",IFERROR(INDEX(Company_desc!$C:$C,MATCH($A758,Company_desc!$A:$A,0)),IFERROR(INDEX(Sheet1!$Q:$Q,MATCH($A758,Sheet1!$A:$A,0)),"")))</f>
        <v/>
      </c>
      <c r="R758" s="75">
        <f>IF($A758="","",_xll.BDP($A758&amp;" Corp","CRNCY"))</f>
        <v/>
      </c>
      <c r="S758" s="75">
        <f>IF($A758="","",IFERROR(INDEX(Sheet1!$S:$S,MATCH($A758,Sheet1!$A:$A,0)),""))</f>
        <v/>
      </c>
      <c r="T758" s="75">
        <f>IF($A758="","",IFERROR(INDEX(Sheet1!$T:$T,MATCH($A758,Sheet1!$A:$A,0)),_xll.BDP($A758&amp;" Corp","RTG_SP")))</f>
        <v/>
      </c>
      <c r="U758" s="75">
        <f>IF($A758="","",IFERROR(INDEX(Sheet1!$U:$U,MATCH($A758,Sheet1!$A:$A,0)),""))</f>
        <v/>
      </c>
      <c r="W758" s="81">
        <f>IF($A758="","",N758-_xll.BDP($A758&amp;" Corp","YAS_OAS_SPRD","SETTLE_DT",Company_desc!$A$1))</f>
        <v/>
      </c>
      <c r="X758" s="81">
        <f>IF($A758="","",N758-_xll.BDP($A758&amp;" Corp","YAS_OAS_SPRD","SETTLE_DT",Company_desc!$A$2))</f>
        <v/>
      </c>
      <c r="Y758" s="80">
        <f>IF($A758="","",N758-_xll.BDP($A758&amp;" Corp","YAS_OAS_SPRD","SETTLE_DT",Company_desc!$D$1))</f>
        <v/>
      </c>
      <c r="Z758" s="82">
        <f>IF($A758="","",K758-_xll.BDP($A758&amp;" Corp","YAS_BOND_YLD","YAS_YLD_FLAG=15","SETTLE_DT",Company_desc!$D$1))</f>
        <v/>
      </c>
      <c r="AA758" s="80">
        <f>IF($A758="","",_xll.BDP($A758&amp;" Corp","YAS_OAS_SPRD","SETTLE_DT",Company_desc!$D$1))</f>
        <v/>
      </c>
    </row>
    <row r="759">
      <c r="B759" s="75">
        <f>IF($A759="","",IFERROR(INDEX(Sheet1!$B:$B,MATCH($A759,Sheet1!$A:$A,0)),""))</f>
        <v/>
      </c>
      <c r="C759" s="75">
        <f>IF($A759="","",PROPER(_xll.BDP($A759&amp;" Corp","NAME")))</f>
        <v/>
      </c>
      <c r="D759" s="76">
        <f>IF($A759="","",_xll.BDP($A759&amp;" Corp","CPN"))</f>
        <v/>
      </c>
      <c r="E759" s="75">
        <f>IF($A759="","",_xll.BDP($A759&amp;" Corp","PAYMENT_RANK"))</f>
        <v/>
      </c>
      <c r="F759" s="100">
        <f>IF($A759="","",_xll.BDP($A759&amp;" Corp","MATURITY"))</f>
        <v/>
      </c>
      <c r="G759" s="75">
        <f>IF($A759="","",PROPER(_xll.BDP($A759&amp;" Corp","COUNTRY_FULL_NAME")))</f>
        <v/>
      </c>
      <c r="H759" s="75">
        <f>IF($A759="","",_xll.BDP($A759&amp;" Corp","INDUSTRY_SECTOR"))</f>
        <v/>
      </c>
      <c r="I759" s="101">
        <f>IF($A759="","",IFERROR(_xll.BDP($A759&amp;" Corp","MIN_PIECE")/1000,""))</f>
        <v/>
      </c>
      <c r="J759" s="31">
        <f>IF($A759="","",_xll.BDP($A759&amp;" Corp","PX_LAST"))</f>
        <v/>
      </c>
      <c r="K759" s="31">
        <f>IF($A759="","",_xll.BDP($A759&amp;" Corp","YAS_BOND_YLD","YAS_YLD_FLAG=15"))</f>
        <v/>
      </c>
      <c r="L759" s="31">
        <f>IF($A759="","",K759-_xll.BDP($A759&amp;" Corp","YAS_BOND_YLD","YAS_YLD_FLAG=15","SETTLE_DT",Company_desc!$A$1))</f>
        <v/>
      </c>
      <c r="M759" s="31">
        <f>IF($A759="","",K759-_xll.BDP($A759&amp;" Corp","YAS_BOND_YLD","YAS_YLD_FLAG=15","SETTLE_DT",Company_desc!$A$2))</f>
        <v/>
      </c>
      <c r="N759" s="79">
        <f>IF($A759="","",_xll.BDP($A759&amp;" Corp","YAS_OAS_SPRD"))</f>
        <v/>
      </c>
      <c r="O759" s="82">
        <f>IF($A759="","",_xll.BDP($A759&amp;" Corp","YAS_MOD_DUR"))</f>
        <v/>
      </c>
      <c r="P759" s="80">
        <f>IF($A759="","",IFERROR(INDEX(Sheet1!$P:$P,MATCH($A759,Sheet1!$A:$A,0)),""))</f>
        <v/>
      </c>
      <c r="Q759" s="75">
        <f>IF($A759="","",IFERROR(INDEX(Company_desc!$C:$C,MATCH($A759,Company_desc!$A:$A,0)),IFERROR(INDEX(Sheet1!$Q:$Q,MATCH($A759,Sheet1!$A:$A,0)),"")))</f>
        <v/>
      </c>
      <c r="R759" s="75">
        <f>IF($A759="","",_xll.BDP($A759&amp;" Corp","CRNCY"))</f>
        <v/>
      </c>
      <c r="S759" s="75">
        <f>IF($A759="","",IFERROR(INDEX(Sheet1!$S:$S,MATCH($A759,Sheet1!$A:$A,0)),""))</f>
        <v/>
      </c>
      <c r="T759" s="75">
        <f>IF($A759="","",IFERROR(INDEX(Sheet1!$T:$T,MATCH($A759,Sheet1!$A:$A,0)),_xll.BDP($A759&amp;" Corp","RTG_SP")))</f>
        <v/>
      </c>
      <c r="U759" s="75">
        <f>IF($A759="","",IFERROR(INDEX(Sheet1!$U:$U,MATCH($A759,Sheet1!$A:$A,0)),""))</f>
        <v/>
      </c>
      <c r="W759" s="81">
        <f>IF($A759="","",N759-_xll.BDP($A759&amp;" Corp","YAS_OAS_SPRD","SETTLE_DT",Company_desc!$A$1))</f>
        <v/>
      </c>
      <c r="X759" s="81">
        <f>IF($A759="","",N759-_xll.BDP($A759&amp;" Corp","YAS_OAS_SPRD","SETTLE_DT",Company_desc!$A$2))</f>
        <v/>
      </c>
      <c r="Y759" s="80">
        <f>IF($A759="","",N759-_xll.BDP($A759&amp;" Corp","YAS_OAS_SPRD","SETTLE_DT",Company_desc!$D$1))</f>
        <v/>
      </c>
      <c r="Z759" s="82">
        <f>IF($A759="","",K759-_xll.BDP($A759&amp;" Corp","YAS_BOND_YLD","YAS_YLD_FLAG=15","SETTLE_DT",Company_desc!$D$1))</f>
        <v/>
      </c>
      <c r="AA759" s="80">
        <f>IF($A759="","",_xll.BDP($A759&amp;" Corp","YAS_OAS_SPRD","SETTLE_DT",Company_desc!$D$1))</f>
        <v/>
      </c>
    </row>
    <row r="760">
      <c r="B760" s="75">
        <f>IF($A760="","",IFERROR(INDEX(Sheet1!$B:$B,MATCH($A760,Sheet1!$A:$A,0)),""))</f>
        <v/>
      </c>
      <c r="C760" s="75">
        <f>IF($A760="","",PROPER(_xll.BDP($A760&amp;" Corp","NAME")))</f>
        <v/>
      </c>
      <c r="D760" s="76">
        <f>IF($A760="","",_xll.BDP($A760&amp;" Corp","CPN"))</f>
        <v/>
      </c>
      <c r="E760" s="75">
        <f>IF($A760="","",_xll.BDP($A760&amp;" Corp","PAYMENT_RANK"))</f>
        <v/>
      </c>
      <c r="F760" s="100">
        <f>IF($A760="","",_xll.BDP($A760&amp;" Corp","MATURITY"))</f>
        <v/>
      </c>
      <c r="G760" s="75">
        <f>IF($A760="","",PROPER(_xll.BDP($A760&amp;" Corp","COUNTRY_FULL_NAME")))</f>
        <v/>
      </c>
      <c r="H760" s="75">
        <f>IF($A760="","",_xll.BDP($A760&amp;" Corp","INDUSTRY_SECTOR"))</f>
        <v/>
      </c>
      <c r="I760" s="101">
        <f>IF($A760="","",IFERROR(_xll.BDP($A760&amp;" Corp","MIN_PIECE")/1000,""))</f>
        <v/>
      </c>
      <c r="J760" s="31">
        <f>IF($A760="","",_xll.BDP($A760&amp;" Corp","PX_LAST"))</f>
        <v/>
      </c>
      <c r="K760" s="31">
        <f>IF($A760="","",_xll.BDP($A760&amp;" Corp","YAS_BOND_YLD","YAS_YLD_FLAG=15"))</f>
        <v/>
      </c>
      <c r="L760" s="31">
        <f>IF($A760="","",K760-_xll.BDP($A760&amp;" Corp","YAS_BOND_YLD","YAS_YLD_FLAG=15","SETTLE_DT",Company_desc!$A$1))</f>
        <v/>
      </c>
      <c r="M760" s="31">
        <f>IF($A760="","",K760-_xll.BDP($A760&amp;" Corp","YAS_BOND_YLD","YAS_YLD_FLAG=15","SETTLE_DT",Company_desc!$A$2))</f>
        <v/>
      </c>
      <c r="N760" s="79">
        <f>IF($A760="","",_xll.BDP($A760&amp;" Corp","YAS_OAS_SPRD"))</f>
        <v/>
      </c>
      <c r="O760" s="82">
        <f>IF($A760="","",_xll.BDP($A760&amp;" Corp","YAS_MOD_DUR"))</f>
        <v/>
      </c>
      <c r="P760" s="80">
        <f>IF($A760="","",IFERROR(INDEX(Sheet1!$P:$P,MATCH($A760,Sheet1!$A:$A,0)),""))</f>
        <v/>
      </c>
      <c r="Q760" s="75">
        <f>IF($A760="","",IFERROR(INDEX(Company_desc!$C:$C,MATCH($A760,Company_desc!$A:$A,0)),IFERROR(INDEX(Sheet1!$Q:$Q,MATCH($A760,Sheet1!$A:$A,0)),"")))</f>
        <v/>
      </c>
      <c r="R760" s="75">
        <f>IF($A760="","",_xll.BDP($A760&amp;" Corp","CRNCY"))</f>
        <v/>
      </c>
      <c r="S760" s="75">
        <f>IF($A760="","",IFERROR(INDEX(Sheet1!$S:$S,MATCH($A760,Sheet1!$A:$A,0)),""))</f>
        <v/>
      </c>
      <c r="T760" s="75">
        <f>IF($A760="","",IFERROR(INDEX(Sheet1!$T:$T,MATCH($A760,Sheet1!$A:$A,0)),_xll.BDP($A760&amp;" Corp","RTG_SP")))</f>
        <v/>
      </c>
      <c r="U760" s="75">
        <f>IF($A760="","",IFERROR(INDEX(Sheet1!$U:$U,MATCH($A760,Sheet1!$A:$A,0)),""))</f>
        <v/>
      </c>
      <c r="W760" s="81">
        <f>IF($A760="","",N760-_xll.BDP($A760&amp;" Corp","YAS_OAS_SPRD","SETTLE_DT",Company_desc!$A$1))</f>
        <v/>
      </c>
      <c r="X760" s="81">
        <f>IF($A760="","",N760-_xll.BDP($A760&amp;" Corp","YAS_OAS_SPRD","SETTLE_DT",Company_desc!$A$2))</f>
        <v/>
      </c>
      <c r="Y760" s="80">
        <f>IF($A760="","",N760-_xll.BDP($A760&amp;" Corp","YAS_OAS_SPRD","SETTLE_DT",Company_desc!$D$1))</f>
        <v/>
      </c>
      <c r="Z760" s="82">
        <f>IF($A760="","",K760-_xll.BDP($A760&amp;" Corp","YAS_BOND_YLD","YAS_YLD_FLAG=15","SETTLE_DT",Company_desc!$D$1))</f>
        <v/>
      </c>
      <c r="AA760" s="80">
        <f>IF($A760="","",_xll.BDP($A760&amp;" Corp","YAS_OAS_SPRD","SETTLE_DT",Company_desc!$D$1))</f>
        <v/>
      </c>
    </row>
    <row r="761">
      <c r="B761" s="75">
        <f>IF($A761="","",IFERROR(INDEX(Sheet1!$B:$B,MATCH($A761,Sheet1!$A:$A,0)),""))</f>
        <v/>
      </c>
      <c r="C761" s="75">
        <f>IF($A761="","",PROPER(_xll.BDP($A761&amp;" Corp","NAME")))</f>
        <v/>
      </c>
      <c r="D761" s="76">
        <f>IF($A761="","",_xll.BDP($A761&amp;" Corp","CPN"))</f>
        <v/>
      </c>
      <c r="E761" s="75">
        <f>IF($A761="","",_xll.BDP($A761&amp;" Corp","PAYMENT_RANK"))</f>
        <v/>
      </c>
      <c r="F761" s="100">
        <f>IF($A761="","",_xll.BDP($A761&amp;" Corp","MATURITY"))</f>
        <v/>
      </c>
      <c r="G761" s="75">
        <f>IF($A761="","",PROPER(_xll.BDP($A761&amp;" Corp","COUNTRY_FULL_NAME")))</f>
        <v/>
      </c>
      <c r="H761" s="75">
        <f>IF($A761="","",_xll.BDP($A761&amp;" Corp","INDUSTRY_SECTOR"))</f>
        <v/>
      </c>
      <c r="I761" s="101">
        <f>IF($A761="","",IFERROR(_xll.BDP($A761&amp;" Corp","MIN_PIECE")/1000,""))</f>
        <v/>
      </c>
      <c r="J761" s="31">
        <f>IF($A761="","",_xll.BDP($A761&amp;" Corp","PX_LAST"))</f>
        <v/>
      </c>
      <c r="K761" s="31">
        <f>IF($A761="","",_xll.BDP($A761&amp;" Corp","YAS_BOND_YLD","YAS_YLD_FLAG=15"))</f>
        <v/>
      </c>
      <c r="L761" s="31">
        <f>IF($A761="","",K761-_xll.BDP($A761&amp;" Corp","YAS_BOND_YLD","YAS_YLD_FLAG=15","SETTLE_DT",Company_desc!$A$1))</f>
        <v/>
      </c>
      <c r="M761" s="31">
        <f>IF($A761="","",K761-_xll.BDP($A761&amp;" Corp","YAS_BOND_YLD","YAS_YLD_FLAG=15","SETTLE_DT",Company_desc!$A$2))</f>
        <v/>
      </c>
      <c r="N761" s="79">
        <f>IF($A761="","",_xll.BDP($A761&amp;" Corp","YAS_OAS_SPRD"))</f>
        <v/>
      </c>
      <c r="O761" s="82">
        <f>IF($A761="","",_xll.BDP($A761&amp;" Corp","YAS_MOD_DUR"))</f>
        <v/>
      </c>
      <c r="P761" s="80">
        <f>IF($A761="","",IFERROR(INDEX(Sheet1!$P:$P,MATCH($A761,Sheet1!$A:$A,0)),""))</f>
        <v/>
      </c>
      <c r="Q761" s="75">
        <f>IF($A761="","",IFERROR(INDEX(Company_desc!$C:$C,MATCH($A761,Company_desc!$A:$A,0)),IFERROR(INDEX(Sheet1!$Q:$Q,MATCH($A761,Sheet1!$A:$A,0)),"")))</f>
        <v/>
      </c>
      <c r="R761" s="75">
        <f>IF($A761="","",_xll.BDP($A761&amp;" Corp","CRNCY"))</f>
        <v/>
      </c>
      <c r="S761" s="75">
        <f>IF($A761="","",IFERROR(INDEX(Sheet1!$S:$S,MATCH($A761,Sheet1!$A:$A,0)),""))</f>
        <v/>
      </c>
      <c r="T761" s="75">
        <f>IF($A761="","",IFERROR(INDEX(Sheet1!$T:$T,MATCH($A761,Sheet1!$A:$A,0)),_xll.BDP($A761&amp;" Corp","RTG_SP")))</f>
        <v/>
      </c>
      <c r="U761" s="75">
        <f>IF($A761="","",IFERROR(INDEX(Sheet1!$U:$U,MATCH($A761,Sheet1!$A:$A,0)),""))</f>
        <v/>
      </c>
      <c r="W761" s="81">
        <f>IF($A761="","",N761-_xll.BDP($A761&amp;" Corp","YAS_OAS_SPRD","SETTLE_DT",Company_desc!$A$1))</f>
        <v/>
      </c>
      <c r="X761" s="81">
        <f>IF($A761="","",N761-_xll.BDP($A761&amp;" Corp","YAS_OAS_SPRD","SETTLE_DT",Company_desc!$A$2))</f>
        <v/>
      </c>
      <c r="Y761" s="80">
        <f>IF($A761="","",N761-_xll.BDP($A761&amp;" Corp","YAS_OAS_SPRD","SETTLE_DT",Company_desc!$D$1))</f>
        <v/>
      </c>
      <c r="Z761" s="82">
        <f>IF($A761="","",K761-_xll.BDP($A761&amp;" Corp","YAS_BOND_YLD","YAS_YLD_FLAG=15","SETTLE_DT",Company_desc!$D$1))</f>
        <v/>
      </c>
      <c r="AA761" s="80">
        <f>IF($A761="","",_xll.BDP($A761&amp;" Corp","YAS_OAS_SPRD","SETTLE_DT",Company_desc!$D$1))</f>
        <v/>
      </c>
    </row>
    <row r="762">
      <c r="B762" s="75">
        <f>IF($A762="","",IFERROR(INDEX(Sheet1!$B:$B,MATCH($A762,Sheet1!$A:$A,0)),""))</f>
        <v/>
      </c>
      <c r="C762" s="75">
        <f>IF($A762="","",PROPER(_xll.BDP($A762&amp;" Corp","NAME")))</f>
        <v/>
      </c>
      <c r="D762" s="76">
        <f>IF($A762="","",_xll.BDP($A762&amp;" Corp","CPN"))</f>
        <v/>
      </c>
      <c r="E762" s="75">
        <f>IF($A762="","",_xll.BDP($A762&amp;" Corp","PAYMENT_RANK"))</f>
        <v/>
      </c>
      <c r="F762" s="100">
        <f>IF($A762="","",_xll.BDP($A762&amp;" Corp","MATURITY"))</f>
        <v/>
      </c>
      <c r="G762" s="75">
        <f>IF($A762="","",PROPER(_xll.BDP($A762&amp;" Corp","COUNTRY_FULL_NAME")))</f>
        <v/>
      </c>
      <c r="H762" s="75">
        <f>IF($A762="","",_xll.BDP($A762&amp;" Corp","INDUSTRY_SECTOR"))</f>
        <v/>
      </c>
      <c r="I762" s="101">
        <f>IF($A762="","",IFERROR(_xll.BDP($A762&amp;" Corp","MIN_PIECE")/1000,""))</f>
        <v/>
      </c>
      <c r="J762" s="31">
        <f>IF($A762="","",_xll.BDP($A762&amp;" Corp","PX_LAST"))</f>
        <v/>
      </c>
      <c r="K762" s="31">
        <f>IF($A762="","",_xll.BDP($A762&amp;" Corp","YAS_BOND_YLD","YAS_YLD_FLAG=15"))</f>
        <v/>
      </c>
      <c r="L762" s="31">
        <f>IF($A762="","",K762-_xll.BDP($A762&amp;" Corp","YAS_BOND_YLD","YAS_YLD_FLAG=15","SETTLE_DT",Company_desc!$A$1))</f>
        <v/>
      </c>
      <c r="M762" s="31">
        <f>IF($A762="","",K762-_xll.BDP($A762&amp;" Corp","YAS_BOND_YLD","YAS_YLD_FLAG=15","SETTLE_DT",Company_desc!$A$2))</f>
        <v/>
      </c>
      <c r="N762" s="79">
        <f>IF($A762="","",_xll.BDP($A762&amp;" Corp","YAS_OAS_SPRD"))</f>
        <v/>
      </c>
      <c r="O762" s="82">
        <f>IF($A762="","",_xll.BDP($A762&amp;" Corp","YAS_MOD_DUR"))</f>
        <v/>
      </c>
      <c r="P762" s="80">
        <f>IF($A762="","",IFERROR(INDEX(Sheet1!$P:$P,MATCH($A762,Sheet1!$A:$A,0)),""))</f>
        <v/>
      </c>
      <c r="Q762" s="75">
        <f>IF($A762="","",IFERROR(INDEX(Company_desc!$C:$C,MATCH($A762,Company_desc!$A:$A,0)),IFERROR(INDEX(Sheet1!$Q:$Q,MATCH($A762,Sheet1!$A:$A,0)),"")))</f>
        <v/>
      </c>
      <c r="R762" s="75">
        <f>IF($A762="","",_xll.BDP($A762&amp;" Corp","CRNCY"))</f>
        <v/>
      </c>
      <c r="S762" s="75">
        <f>IF($A762="","",IFERROR(INDEX(Sheet1!$S:$S,MATCH($A762,Sheet1!$A:$A,0)),""))</f>
        <v/>
      </c>
      <c r="T762" s="75">
        <f>IF($A762="","",IFERROR(INDEX(Sheet1!$T:$T,MATCH($A762,Sheet1!$A:$A,0)),_xll.BDP($A762&amp;" Corp","RTG_SP")))</f>
        <v/>
      </c>
      <c r="U762" s="75">
        <f>IF($A762="","",IFERROR(INDEX(Sheet1!$U:$U,MATCH($A762,Sheet1!$A:$A,0)),""))</f>
        <v/>
      </c>
      <c r="W762" s="81">
        <f>IF($A762="","",N762-_xll.BDP($A762&amp;" Corp","YAS_OAS_SPRD","SETTLE_DT",Company_desc!$A$1))</f>
        <v/>
      </c>
      <c r="X762" s="81">
        <f>IF($A762="","",N762-_xll.BDP($A762&amp;" Corp","YAS_OAS_SPRD","SETTLE_DT",Company_desc!$A$2))</f>
        <v/>
      </c>
      <c r="Y762" s="80">
        <f>IF($A762="","",N762-_xll.BDP($A762&amp;" Corp","YAS_OAS_SPRD","SETTLE_DT",Company_desc!$D$1))</f>
        <v/>
      </c>
      <c r="Z762" s="82">
        <f>IF($A762="","",K762-_xll.BDP($A762&amp;" Corp","YAS_BOND_YLD","YAS_YLD_FLAG=15","SETTLE_DT",Company_desc!$D$1))</f>
        <v/>
      </c>
      <c r="AA762" s="80">
        <f>IF($A762="","",_xll.BDP($A762&amp;" Corp","YAS_OAS_SPRD","SETTLE_DT",Company_desc!$D$1))</f>
        <v/>
      </c>
    </row>
    <row r="763">
      <c r="B763" s="75">
        <f>IF($A763="","",IFERROR(INDEX(Sheet1!$B:$B,MATCH($A763,Sheet1!$A:$A,0)),""))</f>
        <v/>
      </c>
      <c r="C763" s="75">
        <f>IF($A763="","",PROPER(_xll.BDP($A763&amp;" Corp","NAME")))</f>
        <v/>
      </c>
      <c r="D763" s="76">
        <f>IF($A763="","",_xll.BDP($A763&amp;" Corp","CPN"))</f>
        <v/>
      </c>
      <c r="E763" s="75">
        <f>IF($A763="","",_xll.BDP($A763&amp;" Corp","PAYMENT_RANK"))</f>
        <v/>
      </c>
      <c r="F763" s="100">
        <f>IF($A763="","",_xll.BDP($A763&amp;" Corp","MATURITY"))</f>
        <v/>
      </c>
      <c r="G763" s="75">
        <f>IF($A763="","",PROPER(_xll.BDP($A763&amp;" Corp","COUNTRY_FULL_NAME")))</f>
        <v/>
      </c>
      <c r="H763" s="75">
        <f>IF($A763="","",_xll.BDP($A763&amp;" Corp","INDUSTRY_SECTOR"))</f>
        <v/>
      </c>
      <c r="I763" s="101">
        <f>IF($A763="","",IFERROR(_xll.BDP($A763&amp;" Corp","MIN_PIECE")/1000,""))</f>
        <v/>
      </c>
      <c r="J763" s="31">
        <f>IF($A763="","",_xll.BDP($A763&amp;" Corp","PX_LAST"))</f>
        <v/>
      </c>
      <c r="K763" s="31">
        <f>IF($A763="","",_xll.BDP($A763&amp;" Corp","YAS_BOND_YLD","YAS_YLD_FLAG=15"))</f>
        <v/>
      </c>
      <c r="L763" s="31">
        <f>IF($A763="","",K763-_xll.BDP($A763&amp;" Corp","YAS_BOND_YLD","YAS_YLD_FLAG=15","SETTLE_DT",Company_desc!$A$1))</f>
        <v/>
      </c>
      <c r="M763" s="31">
        <f>IF($A763="","",K763-_xll.BDP($A763&amp;" Corp","YAS_BOND_YLD","YAS_YLD_FLAG=15","SETTLE_DT",Company_desc!$A$2))</f>
        <v/>
      </c>
      <c r="N763" s="79">
        <f>IF($A763="","",_xll.BDP($A763&amp;" Corp","YAS_OAS_SPRD"))</f>
        <v/>
      </c>
      <c r="O763" s="82">
        <f>IF($A763="","",_xll.BDP($A763&amp;" Corp","YAS_MOD_DUR"))</f>
        <v/>
      </c>
      <c r="P763" s="80">
        <f>IF($A763="","",IFERROR(INDEX(Sheet1!$P:$P,MATCH($A763,Sheet1!$A:$A,0)),""))</f>
        <v/>
      </c>
      <c r="Q763" s="75">
        <f>IF($A763="","",IFERROR(INDEX(Company_desc!$C:$C,MATCH($A763,Company_desc!$A:$A,0)),IFERROR(INDEX(Sheet1!$Q:$Q,MATCH($A763,Sheet1!$A:$A,0)),"")))</f>
        <v/>
      </c>
      <c r="R763" s="75">
        <f>IF($A763="","",_xll.BDP($A763&amp;" Corp","CRNCY"))</f>
        <v/>
      </c>
      <c r="S763" s="75">
        <f>IF($A763="","",IFERROR(INDEX(Sheet1!$S:$S,MATCH($A763,Sheet1!$A:$A,0)),""))</f>
        <v/>
      </c>
      <c r="T763" s="75">
        <f>IF($A763="","",IFERROR(INDEX(Sheet1!$T:$T,MATCH($A763,Sheet1!$A:$A,0)),_xll.BDP($A763&amp;" Corp","RTG_SP")))</f>
        <v/>
      </c>
      <c r="U763" s="75">
        <f>IF($A763="","",IFERROR(INDEX(Sheet1!$U:$U,MATCH($A763,Sheet1!$A:$A,0)),""))</f>
        <v/>
      </c>
      <c r="W763" s="81">
        <f>IF($A763="","",N763-_xll.BDP($A763&amp;" Corp","YAS_OAS_SPRD","SETTLE_DT",Company_desc!$A$1))</f>
        <v/>
      </c>
      <c r="X763" s="81">
        <f>IF($A763="","",N763-_xll.BDP($A763&amp;" Corp","YAS_OAS_SPRD","SETTLE_DT",Company_desc!$A$2))</f>
        <v/>
      </c>
      <c r="Y763" s="80">
        <f>IF($A763="","",N763-_xll.BDP($A763&amp;" Corp","YAS_OAS_SPRD","SETTLE_DT",Company_desc!$D$1))</f>
        <v/>
      </c>
      <c r="Z763" s="82">
        <f>IF($A763="","",K763-_xll.BDP($A763&amp;" Corp","YAS_BOND_YLD","YAS_YLD_FLAG=15","SETTLE_DT",Company_desc!$D$1))</f>
        <v/>
      </c>
      <c r="AA763" s="80">
        <f>IF($A763="","",_xll.BDP($A763&amp;" Corp","YAS_OAS_SPRD","SETTLE_DT",Company_desc!$D$1))</f>
        <v/>
      </c>
    </row>
    <row r="764">
      <c r="B764" s="75">
        <f>IF($A764="","",IFERROR(INDEX(Sheet1!$B:$B,MATCH($A764,Sheet1!$A:$A,0)),""))</f>
        <v/>
      </c>
      <c r="C764" s="75">
        <f>IF($A764="","",PROPER(_xll.BDP($A764&amp;" Corp","NAME")))</f>
        <v/>
      </c>
      <c r="D764" s="76">
        <f>IF($A764="","",_xll.BDP($A764&amp;" Corp","CPN"))</f>
        <v/>
      </c>
      <c r="E764" s="75">
        <f>IF($A764="","",_xll.BDP($A764&amp;" Corp","PAYMENT_RANK"))</f>
        <v/>
      </c>
      <c r="F764" s="100">
        <f>IF($A764="","",_xll.BDP($A764&amp;" Corp","MATURITY"))</f>
        <v/>
      </c>
      <c r="G764" s="75">
        <f>IF($A764="","",PROPER(_xll.BDP($A764&amp;" Corp","COUNTRY_FULL_NAME")))</f>
        <v/>
      </c>
      <c r="H764" s="75">
        <f>IF($A764="","",_xll.BDP($A764&amp;" Corp","INDUSTRY_SECTOR"))</f>
        <v/>
      </c>
      <c r="I764" s="101">
        <f>IF($A764="","",IFERROR(_xll.BDP($A764&amp;" Corp","MIN_PIECE")/1000,""))</f>
        <v/>
      </c>
      <c r="J764" s="31">
        <f>IF($A764="","",_xll.BDP($A764&amp;" Corp","PX_LAST"))</f>
        <v/>
      </c>
      <c r="K764" s="31">
        <f>IF($A764="","",_xll.BDP($A764&amp;" Corp","YAS_BOND_YLD","YAS_YLD_FLAG=15"))</f>
        <v/>
      </c>
      <c r="L764" s="31">
        <f>IF($A764="","",K764-_xll.BDP($A764&amp;" Corp","YAS_BOND_YLD","YAS_YLD_FLAG=15","SETTLE_DT",Company_desc!$A$1))</f>
        <v/>
      </c>
      <c r="M764" s="31">
        <f>IF($A764="","",K764-_xll.BDP($A764&amp;" Corp","YAS_BOND_YLD","YAS_YLD_FLAG=15","SETTLE_DT",Company_desc!$A$2))</f>
        <v/>
      </c>
      <c r="N764" s="79">
        <f>IF($A764="","",_xll.BDP($A764&amp;" Corp","YAS_OAS_SPRD"))</f>
        <v/>
      </c>
      <c r="O764" s="82">
        <f>IF($A764="","",_xll.BDP($A764&amp;" Corp","YAS_MOD_DUR"))</f>
        <v/>
      </c>
      <c r="P764" s="80">
        <f>IF($A764="","",IFERROR(INDEX(Sheet1!$P:$P,MATCH($A764,Sheet1!$A:$A,0)),""))</f>
        <v/>
      </c>
      <c r="Q764" s="75">
        <f>IF($A764="","",IFERROR(INDEX(Company_desc!$C:$C,MATCH($A764,Company_desc!$A:$A,0)),IFERROR(INDEX(Sheet1!$Q:$Q,MATCH($A764,Sheet1!$A:$A,0)),"")))</f>
        <v/>
      </c>
      <c r="R764" s="75">
        <f>IF($A764="","",_xll.BDP($A764&amp;" Corp","CRNCY"))</f>
        <v/>
      </c>
      <c r="S764" s="75">
        <f>IF($A764="","",IFERROR(INDEX(Sheet1!$S:$S,MATCH($A764,Sheet1!$A:$A,0)),""))</f>
        <v/>
      </c>
      <c r="T764" s="75">
        <f>IF($A764="","",IFERROR(INDEX(Sheet1!$T:$T,MATCH($A764,Sheet1!$A:$A,0)),_xll.BDP($A764&amp;" Corp","RTG_SP")))</f>
        <v/>
      </c>
      <c r="U764" s="75">
        <f>IF($A764="","",IFERROR(INDEX(Sheet1!$U:$U,MATCH($A764,Sheet1!$A:$A,0)),""))</f>
        <v/>
      </c>
      <c r="W764" s="81">
        <f>IF($A764="","",N764-_xll.BDP($A764&amp;" Corp","YAS_OAS_SPRD","SETTLE_DT",Company_desc!$A$1))</f>
        <v/>
      </c>
      <c r="X764" s="81">
        <f>IF($A764="","",N764-_xll.BDP($A764&amp;" Corp","YAS_OAS_SPRD","SETTLE_DT",Company_desc!$A$2))</f>
        <v/>
      </c>
      <c r="Y764" s="80">
        <f>IF($A764="","",N764-_xll.BDP($A764&amp;" Corp","YAS_OAS_SPRD","SETTLE_DT",Company_desc!$D$1))</f>
        <v/>
      </c>
      <c r="Z764" s="82">
        <f>IF($A764="","",K764-_xll.BDP($A764&amp;" Corp","YAS_BOND_YLD","YAS_YLD_FLAG=15","SETTLE_DT",Company_desc!$D$1))</f>
        <v/>
      </c>
      <c r="AA764" s="80">
        <f>IF($A764="","",_xll.BDP($A764&amp;" Corp","YAS_OAS_SPRD","SETTLE_DT",Company_desc!$D$1))</f>
        <v/>
      </c>
    </row>
    <row r="765">
      <c r="B765" s="75">
        <f>IF($A765="","",IFERROR(INDEX(Sheet1!$B:$B,MATCH($A765,Sheet1!$A:$A,0)),""))</f>
        <v/>
      </c>
      <c r="C765" s="75">
        <f>IF($A765="","",PROPER(_xll.BDP($A765&amp;" Corp","NAME")))</f>
        <v/>
      </c>
      <c r="D765" s="76">
        <f>IF($A765="","",_xll.BDP($A765&amp;" Corp","CPN"))</f>
        <v/>
      </c>
      <c r="E765" s="75">
        <f>IF($A765="","",_xll.BDP($A765&amp;" Corp","PAYMENT_RANK"))</f>
        <v/>
      </c>
      <c r="F765" s="100">
        <f>IF($A765="","",_xll.BDP($A765&amp;" Corp","MATURITY"))</f>
        <v/>
      </c>
      <c r="G765" s="75">
        <f>IF($A765="","",PROPER(_xll.BDP($A765&amp;" Corp","COUNTRY_FULL_NAME")))</f>
        <v/>
      </c>
      <c r="H765" s="75">
        <f>IF($A765="","",_xll.BDP($A765&amp;" Corp","INDUSTRY_SECTOR"))</f>
        <v/>
      </c>
      <c r="I765" s="101">
        <f>IF($A765="","",IFERROR(_xll.BDP($A765&amp;" Corp","MIN_PIECE")/1000,""))</f>
        <v/>
      </c>
      <c r="J765" s="31">
        <f>IF($A765="","",_xll.BDP($A765&amp;" Corp","PX_LAST"))</f>
        <v/>
      </c>
      <c r="K765" s="31">
        <f>IF($A765="","",_xll.BDP($A765&amp;" Corp","YAS_BOND_YLD","YAS_YLD_FLAG=15"))</f>
        <v/>
      </c>
      <c r="L765" s="31">
        <f>IF($A765="","",K765-_xll.BDP($A765&amp;" Corp","YAS_BOND_YLD","YAS_YLD_FLAG=15","SETTLE_DT",Company_desc!$A$1))</f>
        <v/>
      </c>
      <c r="M765" s="31">
        <f>IF($A765="","",K765-_xll.BDP($A765&amp;" Corp","YAS_BOND_YLD","YAS_YLD_FLAG=15","SETTLE_DT",Company_desc!$A$2))</f>
        <v/>
      </c>
      <c r="N765" s="79">
        <f>IF($A765="","",_xll.BDP($A765&amp;" Corp","YAS_OAS_SPRD"))</f>
        <v/>
      </c>
      <c r="O765" s="82">
        <f>IF($A765="","",_xll.BDP($A765&amp;" Corp","YAS_MOD_DUR"))</f>
        <v/>
      </c>
      <c r="P765" s="80">
        <f>IF($A765="","",IFERROR(INDEX(Sheet1!$P:$P,MATCH($A765,Sheet1!$A:$A,0)),""))</f>
        <v/>
      </c>
      <c r="Q765" s="75">
        <f>IF($A765="","",IFERROR(INDEX(Company_desc!$C:$C,MATCH($A765,Company_desc!$A:$A,0)),IFERROR(INDEX(Sheet1!$Q:$Q,MATCH($A765,Sheet1!$A:$A,0)),"")))</f>
        <v/>
      </c>
      <c r="R765" s="75">
        <f>IF($A765="","",_xll.BDP($A765&amp;" Corp","CRNCY"))</f>
        <v/>
      </c>
      <c r="S765" s="75">
        <f>IF($A765="","",IFERROR(INDEX(Sheet1!$S:$S,MATCH($A765,Sheet1!$A:$A,0)),""))</f>
        <v/>
      </c>
      <c r="T765" s="75">
        <f>IF($A765="","",IFERROR(INDEX(Sheet1!$T:$T,MATCH($A765,Sheet1!$A:$A,0)),_xll.BDP($A765&amp;" Corp","RTG_SP")))</f>
        <v/>
      </c>
      <c r="U765" s="75">
        <f>IF($A765="","",IFERROR(INDEX(Sheet1!$U:$U,MATCH($A765,Sheet1!$A:$A,0)),""))</f>
        <v/>
      </c>
      <c r="W765" s="81">
        <f>IF($A765="","",N765-_xll.BDP($A765&amp;" Corp","YAS_OAS_SPRD","SETTLE_DT",Company_desc!$A$1))</f>
        <v/>
      </c>
      <c r="X765" s="81">
        <f>IF($A765="","",N765-_xll.BDP($A765&amp;" Corp","YAS_OAS_SPRD","SETTLE_DT",Company_desc!$A$2))</f>
        <v/>
      </c>
      <c r="Y765" s="80">
        <f>IF($A765="","",N765-_xll.BDP($A765&amp;" Corp","YAS_OAS_SPRD","SETTLE_DT",Company_desc!$D$1))</f>
        <v/>
      </c>
      <c r="Z765" s="82">
        <f>IF($A765="","",K765-_xll.BDP($A765&amp;" Corp","YAS_BOND_YLD","YAS_YLD_FLAG=15","SETTLE_DT",Company_desc!$D$1))</f>
        <v/>
      </c>
      <c r="AA765" s="80">
        <f>IF($A765="","",_xll.BDP($A765&amp;" Corp","YAS_OAS_SPRD","SETTLE_DT",Company_desc!$D$1))</f>
        <v/>
      </c>
    </row>
    <row r="766">
      <c r="B766" s="75">
        <f>IF($A766="","",IFERROR(INDEX(Sheet1!$B:$B,MATCH($A766,Sheet1!$A:$A,0)),""))</f>
        <v/>
      </c>
      <c r="C766" s="75">
        <f>IF($A766="","",PROPER(_xll.BDP($A766&amp;" Corp","NAME")))</f>
        <v/>
      </c>
      <c r="D766" s="76">
        <f>IF($A766="","",_xll.BDP($A766&amp;" Corp","CPN"))</f>
        <v/>
      </c>
      <c r="E766" s="75">
        <f>IF($A766="","",_xll.BDP($A766&amp;" Corp","PAYMENT_RANK"))</f>
        <v/>
      </c>
      <c r="F766" s="100">
        <f>IF($A766="","",_xll.BDP($A766&amp;" Corp","MATURITY"))</f>
        <v/>
      </c>
      <c r="G766" s="75">
        <f>IF($A766="","",PROPER(_xll.BDP($A766&amp;" Corp","COUNTRY_FULL_NAME")))</f>
        <v/>
      </c>
      <c r="H766" s="75">
        <f>IF($A766="","",_xll.BDP($A766&amp;" Corp","INDUSTRY_SECTOR"))</f>
        <v/>
      </c>
      <c r="I766" s="101">
        <f>IF($A766="","",IFERROR(_xll.BDP($A766&amp;" Corp","MIN_PIECE")/1000,""))</f>
        <v/>
      </c>
      <c r="J766" s="31">
        <f>IF($A766="","",_xll.BDP($A766&amp;" Corp","PX_LAST"))</f>
        <v/>
      </c>
      <c r="K766" s="31">
        <f>IF($A766="","",_xll.BDP($A766&amp;" Corp","YAS_BOND_YLD","YAS_YLD_FLAG=15"))</f>
        <v/>
      </c>
      <c r="L766" s="31">
        <f>IF($A766="","",K766-_xll.BDP($A766&amp;" Corp","YAS_BOND_YLD","YAS_YLD_FLAG=15","SETTLE_DT",Company_desc!$A$1))</f>
        <v/>
      </c>
      <c r="M766" s="31">
        <f>IF($A766="","",K766-_xll.BDP($A766&amp;" Corp","YAS_BOND_YLD","YAS_YLD_FLAG=15","SETTLE_DT",Company_desc!$A$2))</f>
        <v/>
      </c>
      <c r="N766" s="79">
        <f>IF($A766="","",_xll.BDP($A766&amp;" Corp","YAS_OAS_SPRD"))</f>
        <v/>
      </c>
      <c r="O766" s="82">
        <f>IF($A766="","",_xll.BDP($A766&amp;" Corp","YAS_MOD_DUR"))</f>
        <v/>
      </c>
      <c r="P766" s="80">
        <f>IF($A766="","",IFERROR(INDEX(Sheet1!$P:$P,MATCH($A766,Sheet1!$A:$A,0)),""))</f>
        <v/>
      </c>
      <c r="Q766" s="75">
        <f>IF($A766="","",IFERROR(INDEX(Company_desc!$C:$C,MATCH($A766,Company_desc!$A:$A,0)),IFERROR(INDEX(Sheet1!$Q:$Q,MATCH($A766,Sheet1!$A:$A,0)),"")))</f>
        <v/>
      </c>
      <c r="R766" s="75">
        <f>IF($A766="","",_xll.BDP($A766&amp;" Corp","CRNCY"))</f>
        <v/>
      </c>
      <c r="S766" s="75">
        <f>IF($A766="","",IFERROR(INDEX(Sheet1!$S:$S,MATCH($A766,Sheet1!$A:$A,0)),""))</f>
        <v/>
      </c>
      <c r="T766" s="75">
        <f>IF($A766="","",IFERROR(INDEX(Sheet1!$T:$T,MATCH($A766,Sheet1!$A:$A,0)),_xll.BDP($A766&amp;" Corp","RTG_SP")))</f>
        <v/>
      </c>
      <c r="U766" s="75">
        <f>IF($A766="","",IFERROR(INDEX(Sheet1!$U:$U,MATCH($A766,Sheet1!$A:$A,0)),""))</f>
        <v/>
      </c>
      <c r="W766" s="81">
        <f>IF($A766="","",N766-_xll.BDP($A766&amp;" Corp","YAS_OAS_SPRD","SETTLE_DT",Company_desc!$A$1))</f>
        <v/>
      </c>
      <c r="X766" s="81">
        <f>IF($A766="","",N766-_xll.BDP($A766&amp;" Corp","YAS_OAS_SPRD","SETTLE_DT",Company_desc!$A$2))</f>
        <v/>
      </c>
      <c r="Y766" s="80">
        <f>IF($A766="","",N766-_xll.BDP($A766&amp;" Corp","YAS_OAS_SPRD","SETTLE_DT",Company_desc!$D$1))</f>
        <v/>
      </c>
      <c r="Z766" s="82">
        <f>IF($A766="","",K766-_xll.BDP($A766&amp;" Corp","YAS_BOND_YLD","YAS_YLD_FLAG=15","SETTLE_DT",Company_desc!$D$1))</f>
        <v/>
      </c>
      <c r="AA766" s="80">
        <f>IF($A766="","",_xll.BDP($A766&amp;" Corp","YAS_OAS_SPRD","SETTLE_DT",Company_desc!$D$1))</f>
        <v/>
      </c>
    </row>
    <row r="767">
      <c r="B767" s="75">
        <f>IF($A767="","",IFERROR(INDEX(Sheet1!$B:$B,MATCH($A767,Sheet1!$A:$A,0)),""))</f>
        <v/>
      </c>
      <c r="C767" s="75">
        <f>IF($A767="","",PROPER(_xll.BDP($A767&amp;" Corp","NAME")))</f>
        <v/>
      </c>
      <c r="D767" s="76">
        <f>IF($A767="","",_xll.BDP($A767&amp;" Corp","CPN"))</f>
        <v/>
      </c>
      <c r="E767" s="75">
        <f>IF($A767="","",_xll.BDP($A767&amp;" Corp","PAYMENT_RANK"))</f>
        <v/>
      </c>
      <c r="F767" s="100">
        <f>IF($A767="","",_xll.BDP($A767&amp;" Corp","MATURITY"))</f>
        <v/>
      </c>
      <c r="G767" s="75">
        <f>IF($A767="","",PROPER(_xll.BDP($A767&amp;" Corp","COUNTRY_FULL_NAME")))</f>
        <v/>
      </c>
      <c r="H767" s="75">
        <f>IF($A767="","",_xll.BDP($A767&amp;" Corp","INDUSTRY_SECTOR"))</f>
        <v/>
      </c>
      <c r="I767" s="101">
        <f>IF($A767="","",IFERROR(_xll.BDP($A767&amp;" Corp","MIN_PIECE")/1000,""))</f>
        <v/>
      </c>
      <c r="J767" s="31">
        <f>IF($A767="","",_xll.BDP($A767&amp;" Corp","PX_LAST"))</f>
        <v/>
      </c>
      <c r="K767" s="31">
        <f>IF($A767="","",_xll.BDP($A767&amp;" Corp","YAS_BOND_YLD","YAS_YLD_FLAG=15"))</f>
        <v/>
      </c>
      <c r="L767" s="31">
        <f>IF($A767="","",K767-_xll.BDP($A767&amp;" Corp","YAS_BOND_YLD","YAS_YLD_FLAG=15","SETTLE_DT",Company_desc!$A$1))</f>
        <v/>
      </c>
      <c r="M767" s="31">
        <f>IF($A767="","",K767-_xll.BDP($A767&amp;" Corp","YAS_BOND_YLD","YAS_YLD_FLAG=15","SETTLE_DT",Company_desc!$A$2))</f>
        <v/>
      </c>
      <c r="N767" s="79">
        <f>IF($A767="","",_xll.BDP($A767&amp;" Corp","YAS_OAS_SPRD"))</f>
        <v/>
      </c>
      <c r="O767" s="82">
        <f>IF($A767="","",_xll.BDP($A767&amp;" Corp","YAS_MOD_DUR"))</f>
        <v/>
      </c>
      <c r="P767" s="80">
        <f>IF($A767="","",IFERROR(INDEX(Sheet1!$P:$P,MATCH($A767,Sheet1!$A:$A,0)),""))</f>
        <v/>
      </c>
      <c r="Q767" s="75">
        <f>IF($A767="","",IFERROR(INDEX(Company_desc!$C:$C,MATCH($A767,Company_desc!$A:$A,0)),IFERROR(INDEX(Sheet1!$Q:$Q,MATCH($A767,Sheet1!$A:$A,0)),"")))</f>
        <v/>
      </c>
      <c r="R767" s="75">
        <f>IF($A767="","",_xll.BDP($A767&amp;" Corp","CRNCY"))</f>
        <v/>
      </c>
      <c r="S767" s="75">
        <f>IF($A767="","",IFERROR(INDEX(Sheet1!$S:$S,MATCH($A767,Sheet1!$A:$A,0)),""))</f>
        <v/>
      </c>
      <c r="T767" s="75">
        <f>IF($A767="","",IFERROR(INDEX(Sheet1!$T:$T,MATCH($A767,Sheet1!$A:$A,0)),_xll.BDP($A767&amp;" Corp","RTG_SP")))</f>
        <v/>
      </c>
      <c r="U767" s="75">
        <f>IF($A767="","",IFERROR(INDEX(Sheet1!$U:$U,MATCH($A767,Sheet1!$A:$A,0)),""))</f>
        <v/>
      </c>
      <c r="W767" s="81">
        <f>IF($A767="","",N767-_xll.BDP($A767&amp;" Corp","YAS_OAS_SPRD","SETTLE_DT",Company_desc!$A$1))</f>
        <v/>
      </c>
      <c r="X767" s="81">
        <f>IF($A767="","",N767-_xll.BDP($A767&amp;" Corp","YAS_OAS_SPRD","SETTLE_DT",Company_desc!$A$2))</f>
        <v/>
      </c>
      <c r="Y767" s="80">
        <f>IF($A767="","",N767-_xll.BDP($A767&amp;" Corp","YAS_OAS_SPRD","SETTLE_DT",Company_desc!$D$1))</f>
        <v/>
      </c>
      <c r="Z767" s="82">
        <f>IF($A767="","",K767-_xll.BDP($A767&amp;" Corp","YAS_BOND_YLD","YAS_YLD_FLAG=15","SETTLE_DT",Company_desc!$D$1))</f>
        <v/>
      </c>
      <c r="AA767" s="80">
        <f>IF($A767="","",_xll.BDP($A767&amp;" Corp","YAS_OAS_SPRD","SETTLE_DT",Company_desc!$D$1))</f>
        <v/>
      </c>
    </row>
    <row r="768">
      <c r="B768" s="75">
        <f>IF($A768="","",IFERROR(INDEX(Sheet1!$B:$B,MATCH($A768,Sheet1!$A:$A,0)),""))</f>
        <v/>
      </c>
      <c r="C768" s="75">
        <f>IF($A768="","",PROPER(_xll.BDP($A768&amp;" Corp","NAME")))</f>
        <v/>
      </c>
      <c r="D768" s="76">
        <f>IF($A768="","",_xll.BDP($A768&amp;" Corp","CPN"))</f>
        <v/>
      </c>
      <c r="E768" s="75">
        <f>IF($A768="","",_xll.BDP($A768&amp;" Corp","PAYMENT_RANK"))</f>
        <v/>
      </c>
      <c r="F768" s="100">
        <f>IF($A768="","",_xll.BDP($A768&amp;" Corp","MATURITY"))</f>
        <v/>
      </c>
      <c r="G768" s="75">
        <f>IF($A768="","",PROPER(_xll.BDP($A768&amp;" Corp","COUNTRY_FULL_NAME")))</f>
        <v/>
      </c>
      <c r="H768" s="75">
        <f>IF($A768="","",_xll.BDP($A768&amp;" Corp","INDUSTRY_SECTOR"))</f>
        <v/>
      </c>
      <c r="I768" s="101">
        <f>IF($A768="","",IFERROR(_xll.BDP($A768&amp;" Corp","MIN_PIECE")/1000,""))</f>
        <v/>
      </c>
      <c r="J768" s="31">
        <f>IF($A768="","",_xll.BDP($A768&amp;" Corp","PX_LAST"))</f>
        <v/>
      </c>
      <c r="K768" s="31">
        <f>IF($A768="","",_xll.BDP($A768&amp;" Corp","YAS_BOND_YLD","YAS_YLD_FLAG=15"))</f>
        <v/>
      </c>
      <c r="L768" s="31">
        <f>IF($A768="","",K768-_xll.BDP($A768&amp;" Corp","YAS_BOND_YLD","YAS_YLD_FLAG=15","SETTLE_DT",Company_desc!$A$1))</f>
        <v/>
      </c>
      <c r="M768" s="31">
        <f>IF($A768="","",K768-_xll.BDP($A768&amp;" Corp","YAS_BOND_YLD","YAS_YLD_FLAG=15","SETTLE_DT",Company_desc!$A$2))</f>
        <v/>
      </c>
      <c r="N768" s="79">
        <f>IF($A768="","",_xll.BDP($A768&amp;" Corp","YAS_OAS_SPRD"))</f>
        <v/>
      </c>
      <c r="O768" s="82">
        <f>IF($A768="","",_xll.BDP($A768&amp;" Corp","YAS_MOD_DUR"))</f>
        <v/>
      </c>
      <c r="P768" s="80">
        <f>IF($A768="","",IFERROR(INDEX(Sheet1!$P:$P,MATCH($A768,Sheet1!$A:$A,0)),""))</f>
        <v/>
      </c>
      <c r="Q768" s="75">
        <f>IF($A768="","",IFERROR(INDEX(Company_desc!$C:$C,MATCH($A768,Company_desc!$A:$A,0)),IFERROR(INDEX(Sheet1!$Q:$Q,MATCH($A768,Sheet1!$A:$A,0)),"")))</f>
        <v/>
      </c>
      <c r="R768" s="75">
        <f>IF($A768="","",_xll.BDP($A768&amp;" Corp","CRNCY"))</f>
        <v/>
      </c>
      <c r="S768" s="75">
        <f>IF($A768="","",IFERROR(INDEX(Sheet1!$S:$S,MATCH($A768,Sheet1!$A:$A,0)),""))</f>
        <v/>
      </c>
      <c r="T768" s="75">
        <f>IF($A768="","",IFERROR(INDEX(Sheet1!$T:$T,MATCH($A768,Sheet1!$A:$A,0)),_xll.BDP($A768&amp;" Corp","RTG_SP")))</f>
        <v/>
      </c>
      <c r="U768" s="75">
        <f>IF($A768="","",IFERROR(INDEX(Sheet1!$U:$U,MATCH($A768,Sheet1!$A:$A,0)),""))</f>
        <v/>
      </c>
      <c r="W768" s="81">
        <f>IF($A768="","",N768-_xll.BDP($A768&amp;" Corp","YAS_OAS_SPRD","SETTLE_DT",Company_desc!$A$1))</f>
        <v/>
      </c>
      <c r="X768" s="81">
        <f>IF($A768="","",N768-_xll.BDP($A768&amp;" Corp","YAS_OAS_SPRD","SETTLE_DT",Company_desc!$A$2))</f>
        <v/>
      </c>
      <c r="Y768" s="80">
        <f>IF($A768="","",N768-_xll.BDP($A768&amp;" Corp","YAS_OAS_SPRD","SETTLE_DT",Company_desc!$D$1))</f>
        <v/>
      </c>
      <c r="Z768" s="82">
        <f>IF($A768="","",K768-_xll.BDP($A768&amp;" Corp","YAS_BOND_YLD","YAS_YLD_FLAG=15","SETTLE_DT",Company_desc!$D$1))</f>
        <v/>
      </c>
      <c r="AA768" s="80">
        <f>IF($A768="","",_xll.BDP($A768&amp;" Corp","YAS_OAS_SPRD","SETTLE_DT",Company_desc!$D$1))</f>
        <v/>
      </c>
    </row>
    <row r="769">
      <c r="B769" s="75">
        <f>IF($A769="","",IFERROR(INDEX(Sheet1!$B:$B,MATCH($A769,Sheet1!$A:$A,0)),""))</f>
        <v/>
      </c>
      <c r="C769" s="75">
        <f>IF($A769="","",PROPER(_xll.BDP($A769&amp;" Corp","NAME")))</f>
        <v/>
      </c>
      <c r="D769" s="76">
        <f>IF($A769="","",_xll.BDP($A769&amp;" Corp","CPN"))</f>
        <v/>
      </c>
      <c r="E769" s="75">
        <f>IF($A769="","",_xll.BDP($A769&amp;" Corp","PAYMENT_RANK"))</f>
        <v/>
      </c>
      <c r="F769" s="100">
        <f>IF($A769="","",_xll.BDP($A769&amp;" Corp","MATURITY"))</f>
        <v/>
      </c>
      <c r="G769" s="75">
        <f>IF($A769="","",PROPER(_xll.BDP($A769&amp;" Corp","COUNTRY_FULL_NAME")))</f>
        <v/>
      </c>
      <c r="H769" s="75">
        <f>IF($A769="","",_xll.BDP($A769&amp;" Corp","INDUSTRY_SECTOR"))</f>
        <v/>
      </c>
      <c r="I769" s="101">
        <f>IF($A769="","",IFERROR(_xll.BDP($A769&amp;" Corp","MIN_PIECE")/1000,""))</f>
        <v/>
      </c>
      <c r="J769" s="31">
        <f>IF($A769="","",_xll.BDP($A769&amp;" Corp","PX_LAST"))</f>
        <v/>
      </c>
      <c r="K769" s="31">
        <f>IF($A769="","",_xll.BDP($A769&amp;" Corp","YAS_BOND_YLD","YAS_YLD_FLAG=15"))</f>
        <v/>
      </c>
      <c r="L769" s="31">
        <f>IF($A769="","",K769-_xll.BDP($A769&amp;" Corp","YAS_BOND_YLD","YAS_YLD_FLAG=15","SETTLE_DT",Company_desc!$A$1))</f>
        <v/>
      </c>
      <c r="M769" s="31">
        <f>IF($A769="","",K769-_xll.BDP($A769&amp;" Corp","YAS_BOND_YLD","YAS_YLD_FLAG=15","SETTLE_DT",Company_desc!$A$2))</f>
        <v/>
      </c>
      <c r="N769" s="79">
        <f>IF($A769="","",_xll.BDP($A769&amp;" Corp","YAS_OAS_SPRD"))</f>
        <v/>
      </c>
      <c r="O769" s="82">
        <f>IF($A769="","",_xll.BDP($A769&amp;" Corp","YAS_MOD_DUR"))</f>
        <v/>
      </c>
      <c r="P769" s="80">
        <f>IF($A769="","",IFERROR(INDEX(Sheet1!$P:$P,MATCH($A769,Sheet1!$A:$A,0)),""))</f>
        <v/>
      </c>
      <c r="Q769" s="75">
        <f>IF($A769="","",IFERROR(INDEX(Company_desc!$C:$C,MATCH($A769,Company_desc!$A:$A,0)),IFERROR(INDEX(Sheet1!$Q:$Q,MATCH($A769,Sheet1!$A:$A,0)),"")))</f>
        <v/>
      </c>
      <c r="R769" s="75">
        <f>IF($A769="","",_xll.BDP($A769&amp;" Corp","CRNCY"))</f>
        <v/>
      </c>
      <c r="S769" s="75">
        <f>IF($A769="","",IFERROR(INDEX(Sheet1!$S:$S,MATCH($A769,Sheet1!$A:$A,0)),""))</f>
        <v/>
      </c>
      <c r="T769" s="75">
        <f>IF($A769="","",IFERROR(INDEX(Sheet1!$T:$T,MATCH($A769,Sheet1!$A:$A,0)),_xll.BDP($A769&amp;" Corp","RTG_SP")))</f>
        <v/>
      </c>
      <c r="U769" s="75">
        <f>IF($A769="","",IFERROR(INDEX(Sheet1!$U:$U,MATCH($A769,Sheet1!$A:$A,0)),""))</f>
        <v/>
      </c>
      <c r="W769" s="81">
        <f>IF($A769="","",N769-_xll.BDP($A769&amp;" Corp","YAS_OAS_SPRD","SETTLE_DT",Company_desc!$A$1))</f>
        <v/>
      </c>
      <c r="X769" s="81">
        <f>IF($A769="","",N769-_xll.BDP($A769&amp;" Corp","YAS_OAS_SPRD","SETTLE_DT",Company_desc!$A$2))</f>
        <v/>
      </c>
      <c r="Y769" s="80">
        <f>IF($A769="","",N769-_xll.BDP($A769&amp;" Corp","YAS_OAS_SPRD","SETTLE_DT",Company_desc!$D$1))</f>
        <v/>
      </c>
      <c r="Z769" s="82">
        <f>IF($A769="","",K769-_xll.BDP($A769&amp;" Corp","YAS_BOND_YLD","YAS_YLD_FLAG=15","SETTLE_DT",Company_desc!$D$1))</f>
        <v/>
      </c>
      <c r="AA769" s="80">
        <f>IF($A769="","",_xll.BDP($A769&amp;" Corp","YAS_OAS_SPRD","SETTLE_DT",Company_desc!$D$1))</f>
        <v/>
      </c>
    </row>
    <row r="770">
      <c r="J770" s="31" t="n"/>
      <c r="K770" s="31" t="n"/>
      <c r="L770" s="31" t="n"/>
      <c r="M770" s="31" t="n"/>
      <c r="N770" s="31" t="n"/>
    </row>
    <row r="771">
      <c r="J771" s="31" t="n"/>
      <c r="K771" s="31" t="n"/>
      <c r="L771" s="31" t="n"/>
      <c r="M771" s="31" t="n"/>
      <c r="N771" s="31" t="n"/>
    </row>
    <row r="772">
      <c r="J772" s="31" t="n"/>
      <c r="K772" s="31" t="n"/>
      <c r="L772" s="31" t="n"/>
      <c r="M772" s="31" t="n"/>
      <c r="N772" s="31" t="n"/>
    </row>
    <row r="773">
      <c r="J773" s="31" t="n"/>
      <c r="K773" s="31" t="n"/>
      <c r="L773" s="31" t="n"/>
      <c r="M773" s="31" t="n"/>
      <c r="N773" s="31" t="n"/>
    </row>
    <row r="774">
      <c r="J774" s="31" t="n"/>
      <c r="K774" s="31" t="n"/>
      <c r="L774" s="31" t="n"/>
      <c r="M774" s="31" t="n"/>
      <c r="N774" s="31" t="n"/>
    </row>
    <row r="775">
      <c r="J775" s="31" t="n"/>
      <c r="K775" s="31" t="n"/>
      <c r="L775" s="31" t="n"/>
      <c r="M775" s="31" t="n"/>
      <c r="N775" s="31" t="n"/>
    </row>
    <row r="776">
      <c r="J776" s="31" t="n"/>
      <c r="K776" s="31" t="n"/>
      <c r="L776" s="31" t="n"/>
      <c r="M776" s="31" t="n"/>
      <c r="N776" s="31" t="n"/>
    </row>
    <row r="777">
      <c r="J777" s="31" t="n"/>
      <c r="K777" s="31" t="n"/>
      <c r="L777" s="31" t="n"/>
      <c r="M777" s="31" t="n"/>
      <c r="N777" s="31" t="n"/>
    </row>
    <row r="778">
      <c r="J778" s="31" t="n"/>
      <c r="K778" s="31" t="n"/>
      <c r="L778" s="31" t="n"/>
      <c r="M778" s="31" t="n"/>
      <c r="N778" s="31" t="n"/>
    </row>
    <row r="779">
      <c r="J779" s="31" t="n"/>
      <c r="K779" s="31" t="n"/>
      <c r="L779" s="31" t="n"/>
      <c r="M779" s="31" t="n"/>
      <c r="N779" s="31" t="n"/>
    </row>
    <row r="780">
      <c r="J780" s="31" t="n"/>
      <c r="K780" s="31" t="n"/>
      <c r="L780" s="31" t="n"/>
      <c r="M780" s="31" t="n"/>
      <c r="N780" s="31" t="n"/>
    </row>
    <row r="781">
      <c r="J781" s="31" t="n"/>
      <c r="K781" s="31" t="n"/>
      <c r="L781" s="31" t="n"/>
      <c r="M781" s="31" t="n"/>
      <c r="N781" s="31" t="n"/>
    </row>
    <row r="782">
      <c r="J782" s="31" t="n"/>
      <c r="K782" s="31" t="n"/>
      <c r="L782" s="31" t="n"/>
      <c r="M782" s="31" t="n"/>
      <c r="N782" s="31" t="n"/>
    </row>
    <row r="783">
      <c r="J783" s="31" t="n"/>
      <c r="K783" s="31" t="n"/>
      <c r="L783" s="31" t="n"/>
      <c r="M783" s="31" t="n"/>
      <c r="N783" s="31" t="n"/>
    </row>
    <row r="784">
      <c r="J784" s="31" t="n"/>
      <c r="K784" s="31" t="n"/>
      <c r="L784" s="31" t="n"/>
      <c r="M784" s="31" t="n"/>
      <c r="N784" s="31" t="n"/>
    </row>
    <row r="785">
      <c r="J785" s="31" t="n"/>
      <c r="K785" s="31" t="n"/>
      <c r="L785" s="31" t="n"/>
      <c r="M785" s="31" t="n"/>
      <c r="N785" s="31" t="n"/>
    </row>
    <row r="786">
      <c r="J786" s="31" t="n"/>
      <c r="K786" s="31" t="n"/>
      <c r="L786" s="31" t="n"/>
      <c r="M786" s="31" t="n"/>
      <c r="N786" s="31" t="n"/>
    </row>
    <row r="787">
      <c r="J787" s="31" t="n"/>
      <c r="K787" s="31" t="n"/>
      <c r="L787" s="31" t="n"/>
      <c r="M787" s="31" t="n"/>
      <c r="N787" s="31" t="n"/>
    </row>
    <row r="788">
      <c r="J788" s="31" t="n"/>
      <c r="K788" s="31" t="n"/>
      <c r="L788" s="31" t="n"/>
      <c r="M788" s="31" t="n"/>
      <c r="N788" s="31" t="n"/>
    </row>
    <row r="789">
      <c r="J789" s="31" t="n"/>
      <c r="K789" s="31" t="n"/>
      <c r="L789" s="31" t="n"/>
      <c r="M789" s="31" t="n"/>
      <c r="N789" s="31" t="n"/>
    </row>
    <row r="790">
      <c r="J790" s="31" t="n"/>
      <c r="K790" s="31" t="n"/>
      <c r="L790" s="31" t="n"/>
      <c r="M790" s="31" t="n"/>
      <c r="N790" s="31" t="n"/>
    </row>
    <row r="791">
      <c r="J791" s="31" t="n"/>
      <c r="K791" s="31" t="n"/>
      <c r="L791" s="31" t="n"/>
      <c r="M791" s="31" t="n"/>
      <c r="N791" s="31" t="n"/>
    </row>
    <row r="792">
      <c r="J792" s="31" t="n"/>
      <c r="K792" s="31" t="n"/>
      <c r="L792" s="31" t="n"/>
      <c r="M792" s="31" t="n"/>
      <c r="N792" s="31" t="n"/>
    </row>
    <row r="793">
      <c r="J793" s="31" t="n"/>
      <c r="K793" s="31" t="n"/>
      <c r="L793" s="31" t="n"/>
      <c r="M793" s="31" t="n"/>
      <c r="N793" s="31" t="n"/>
    </row>
    <row r="794">
      <c r="J794" s="31" t="n"/>
      <c r="K794" s="31" t="n"/>
      <c r="L794" s="31" t="n"/>
      <c r="M794" s="31" t="n"/>
      <c r="N794" s="31" t="n"/>
    </row>
    <row r="795">
      <c r="J795" s="31" t="n"/>
      <c r="K795" s="31" t="n"/>
      <c r="L795" s="31" t="n"/>
      <c r="M795" s="31" t="n"/>
      <c r="N795" s="31" t="n"/>
    </row>
    <row r="796">
      <c r="J796" s="31" t="n"/>
      <c r="K796" s="31" t="n"/>
      <c r="L796" s="31" t="n"/>
      <c r="M796" s="31" t="n"/>
      <c r="N796" s="31" t="n"/>
    </row>
    <row r="797">
      <c r="J797" s="31" t="n"/>
      <c r="K797" s="31" t="n"/>
      <c r="L797" s="31" t="n"/>
      <c r="M797" s="31" t="n"/>
      <c r="N797" s="31" t="n"/>
    </row>
    <row r="798">
      <c r="J798" s="35" t="n"/>
      <c r="K798" s="35" t="n"/>
      <c r="L798" s="35" t="n"/>
      <c r="M798" s="35" t="n"/>
      <c r="N798" s="35" t="n"/>
    </row>
    <row r="799">
      <c r="J799" s="31" t="n"/>
      <c r="K799" s="31" t="n"/>
      <c r="L799" s="31" t="n"/>
      <c r="M799" s="31" t="n"/>
      <c r="N799" s="31" t="n"/>
    </row>
    <row r="800">
      <c r="J800" s="31" t="n"/>
      <c r="K800" s="31" t="n"/>
      <c r="L800" s="31" t="n"/>
      <c r="M800" s="31" t="n"/>
      <c r="N800" s="31" t="n"/>
    </row>
    <row r="801">
      <c r="J801" s="31" t="n"/>
      <c r="K801" s="31" t="n"/>
      <c r="L801" s="31" t="n"/>
      <c r="M801" s="31" t="n"/>
      <c r="N801" s="31" t="n"/>
    </row>
    <row r="802">
      <c r="J802" s="31" t="n"/>
      <c r="K802" s="31" t="n"/>
      <c r="L802" s="31" t="n"/>
      <c r="M802" s="31" t="n"/>
      <c r="N802" s="31" t="n"/>
    </row>
    <row r="803">
      <c r="J803" s="31" t="n"/>
      <c r="K803" s="31" t="n"/>
      <c r="L803" s="31" t="n"/>
      <c r="M803" s="31" t="n"/>
      <c r="N803" s="31" t="n"/>
    </row>
    <row r="804">
      <c r="J804" s="31" t="n"/>
      <c r="K804" s="31" t="n"/>
      <c r="L804" s="31" t="n"/>
      <c r="M804" s="31" t="n"/>
      <c r="N804" s="31" t="n"/>
    </row>
    <row r="805">
      <c r="J805" s="31" t="n"/>
      <c r="K805" s="31" t="n"/>
      <c r="L805" s="31" t="n"/>
      <c r="M805" s="31" t="n"/>
      <c r="N805" s="31" t="n"/>
    </row>
    <row r="806">
      <c r="J806" s="31" t="n"/>
      <c r="K806" s="31" t="n"/>
      <c r="L806" s="31" t="n"/>
      <c r="M806" s="31" t="n"/>
      <c r="N806" s="31" t="n"/>
    </row>
    <row r="807">
      <c r="J807" s="31" t="n"/>
      <c r="K807" s="31" t="n"/>
      <c r="L807" s="31" t="n"/>
      <c r="M807" s="31" t="n"/>
      <c r="N807" s="31" t="n"/>
    </row>
    <row r="808">
      <c r="J808" s="31" t="n"/>
      <c r="K808" s="31" t="n"/>
      <c r="L808" s="31" t="n"/>
      <c r="M808" s="31" t="n"/>
      <c r="N808" s="31" t="n"/>
    </row>
    <row r="809">
      <c r="J809" s="31" t="n"/>
      <c r="K809" s="31" t="n"/>
      <c r="L809" s="31" t="n"/>
      <c r="M809" s="31" t="n"/>
      <c r="N809" s="31" t="n"/>
    </row>
    <row r="810">
      <c r="J810" s="31" t="n"/>
      <c r="K810" s="31" t="n"/>
      <c r="L810" s="31" t="n"/>
      <c r="M810" s="31" t="n"/>
      <c r="N810" s="31" t="n"/>
    </row>
    <row r="811">
      <c r="J811" s="31" t="n"/>
      <c r="K811" s="31" t="n"/>
      <c r="L811" s="31" t="n"/>
      <c r="M811" s="31" t="n"/>
      <c r="N811" s="31" t="n"/>
    </row>
    <row r="812">
      <c r="J812" s="31" t="n"/>
      <c r="K812" s="31" t="n"/>
      <c r="L812" s="31" t="n"/>
      <c r="M812" s="31" t="n"/>
      <c r="N812" s="31" t="n"/>
    </row>
    <row r="813">
      <c r="J813" s="31" t="n"/>
      <c r="K813" s="31" t="n"/>
      <c r="L813" s="31" t="n"/>
      <c r="M813" s="31" t="n"/>
      <c r="N813" s="31" t="n"/>
    </row>
    <row r="814">
      <c r="J814" s="31" t="n"/>
      <c r="K814" s="31" t="n"/>
      <c r="L814" s="31" t="n"/>
      <c r="M814" s="31" t="n"/>
      <c r="N814" s="31" t="n"/>
    </row>
    <row r="815">
      <c r="J815" s="31" t="n"/>
      <c r="K815" s="31" t="n"/>
      <c r="L815" s="31" t="n"/>
      <c r="M815" s="31" t="n"/>
      <c r="N815" s="31" t="n"/>
    </row>
    <row r="816">
      <c r="J816" s="31" t="n"/>
      <c r="K816" s="31" t="n"/>
      <c r="L816" s="31" t="n"/>
      <c r="M816" s="31" t="n"/>
      <c r="N816" s="31" t="n"/>
    </row>
    <row r="817">
      <c r="J817" s="31" t="n"/>
      <c r="K817" s="31" t="n"/>
      <c r="L817" s="31" t="n"/>
      <c r="M817" s="31" t="n"/>
      <c r="N817" s="31" t="n"/>
    </row>
    <row r="818">
      <c r="J818" s="31" t="n"/>
      <c r="K818" s="31" t="n"/>
      <c r="L818" s="31" t="n"/>
      <c r="M818" s="31" t="n"/>
      <c r="N818" s="31" t="n"/>
    </row>
    <row r="819">
      <c r="J819" s="31" t="n"/>
      <c r="K819" s="31" t="n"/>
      <c r="L819" s="31" t="n"/>
      <c r="M819" s="31" t="n"/>
      <c r="N819" s="31" t="n"/>
    </row>
    <row r="820">
      <c r="J820" s="31" t="n"/>
      <c r="K820" s="31" t="n"/>
      <c r="L820" s="31" t="n"/>
      <c r="M820" s="31" t="n"/>
      <c r="N820" s="31" t="n"/>
    </row>
    <row r="821">
      <c r="J821" s="31" t="n"/>
      <c r="K821" s="31" t="n"/>
      <c r="L821" s="31" t="n"/>
      <c r="M821" s="31" t="n"/>
      <c r="N821" s="31" t="n"/>
    </row>
    <row r="822">
      <c r="J822" s="31" t="n"/>
      <c r="K822" s="31" t="n"/>
      <c r="L822" s="31" t="n"/>
      <c r="M822" s="31" t="n"/>
      <c r="N822" s="31" t="n"/>
    </row>
    <row r="823">
      <c r="J823" s="31" t="n"/>
      <c r="K823" s="31" t="n"/>
      <c r="L823" s="31" t="n"/>
      <c r="M823" s="31" t="n"/>
      <c r="N823" s="31" t="n"/>
    </row>
    <row r="824">
      <c r="J824" s="35" t="n"/>
      <c r="K824" s="35" t="n"/>
      <c r="L824" s="35" t="n"/>
      <c r="M824" s="35" t="n"/>
      <c r="N824" s="35" t="n"/>
    </row>
    <row r="825">
      <c r="J825" s="31" t="n"/>
      <c r="K825" s="31" t="n"/>
      <c r="L825" s="31" t="n"/>
      <c r="M825" s="31" t="n"/>
      <c r="N825" s="31" t="n"/>
    </row>
    <row r="826">
      <c r="J826" s="31" t="n"/>
      <c r="K826" s="31" t="n"/>
      <c r="L826" s="31" t="n"/>
      <c r="M826" s="31" t="n"/>
      <c r="N826" s="31" t="n"/>
    </row>
    <row r="827">
      <c r="J827" s="31" t="n"/>
      <c r="K827" s="31" t="n"/>
      <c r="L827" s="31" t="n"/>
      <c r="M827" s="31" t="n"/>
      <c r="N827" s="31" t="n"/>
    </row>
    <row r="828">
      <c r="J828" s="31" t="n"/>
      <c r="K828" s="31" t="n"/>
      <c r="L828" s="31" t="n"/>
      <c r="M828" s="31" t="n"/>
      <c r="N828" s="31" t="n"/>
    </row>
    <row r="829">
      <c r="J829" s="31" t="n"/>
      <c r="K829" s="31" t="n"/>
      <c r="L829" s="31" t="n"/>
      <c r="M829" s="31" t="n"/>
      <c r="N829" s="31" t="n"/>
    </row>
    <row r="830">
      <c r="J830" s="31" t="n"/>
      <c r="K830" s="31" t="n"/>
      <c r="L830" s="31" t="n"/>
      <c r="M830" s="31" t="n"/>
      <c r="N830" s="31" t="n"/>
    </row>
    <row r="831">
      <c r="J831" s="31" t="n"/>
      <c r="K831" s="31" t="n"/>
      <c r="L831" s="31" t="n"/>
      <c r="M831" s="31" t="n"/>
      <c r="N831" s="31" t="n"/>
    </row>
    <row r="832">
      <c r="J832" s="31" t="n"/>
      <c r="K832" s="31" t="n"/>
      <c r="L832" s="31" t="n"/>
      <c r="M832" s="31" t="n"/>
      <c r="N832" s="31" t="n"/>
    </row>
    <row r="833">
      <c r="J833" s="31" t="n"/>
      <c r="K833" s="31" t="n"/>
      <c r="L833" s="31" t="n"/>
      <c r="M833" s="31" t="n"/>
      <c r="N833" s="31" t="n"/>
    </row>
    <row r="834">
      <c r="J834" s="31" t="n"/>
      <c r="K834" s="31" t="n"/>
      <c r="L834" s="31" t="n"/>
      <c r="M834" s="31" t="n"/>
      <c r="N834" s="31" t="n"/>
    </row>
    <row r="835">
      <c r="J835" s="31" t="n"/>
      <c r="K835" s="31" t="n"/>
      <c r="L835" s="31" t="n"/>
      <c r="M835" s="31" t="n"/>
      <c r="N835" s="31" t="n"/>
    </row>
    <row r="836">
      <c r="J836" s="31" t="n"/>
      <c r="K836" s="31" t="n"/>
      <c r="L836" s="31" t="n"/>
      <c r="M836" s="31" t="n"/>
      <c r="N836" s="31" t="n"/>
    </row>
    <row r="837">
      <c r="J837" s="31" t="n"/>
      <c r="K837" s="31" t="n"/>
      <c r="L837" s="31" t="n"/>
      <c r="M837" s="31" t="n"/>
      <c r="N837" s="31" t="n"/>
    </row>
    <row r="838">
      <c r="J838" s="31" t="n"/>
      <c r="K838" s="31" t="n"/>
      <c r="L838" s="31" t="n"/>
      <c r="M838" s="31" t="n"/>
      <c r="N838" s="31" t="n"/>
    </row>
    <row r="839">
      <c r="J839" s="31" t="n"/>
      <c r="K839" s="31" t="n"/>
      <c r="L839" s="31" t="n"/>
      <c r="M839" s="31" t="n"/>
      <c r="N839" s="31" t="n"/>
    </row>
    <row r="840">
      <c r="J840" s="31" t="n"/>
      <c r="K840" s="31" t="n"/>
      <c r="L840" s="31" t="n"/>
      <c r="M840" s="31" t="n"/>
      <c r="N840" s="31" t="n"/>
    </row>
    <row r="841">
      <c r="J841" s="31" t="n"/>
      <c r="K841" s="31" t="n"/>
      <c r="L841" s="31" t="n"/>
      <c r="M841" s="31" t="n"/>
      <c r="N841" s="31" t="n"/>
    </row>
    <row r="842">
      <c r="J842" s="31" t="n"/>
      <c r="K842" s="31" t="n"/>
      <c r="L842" s="31" t="n"/>
      <c r="M842" s="31" t="n"/>
      <c r="N842" s="31" t="n"/>
    </row>
    <row r="843">
      <c r="J843" s="31" t="n"/>
      <c r="K843" s="31" t="n"/>
      <c r="L843" s="31" t="n"/>
      <c r="M843" s="31" t="n"/>
      <c r="N843" s="31" t="n"/>
    </row>
    <row r="844">
      <c r="J844" s="31" t="n"/>
      <c r="K844" s="31" t="n"/>
      <c r="L844" s="31" t="n"/>
      <c r="M844" s="31" t="n"/>
      <c r="N844" s="31" t="n"/>
    </row>
    <row r="845">
      <c r="J845" s="31" t="n"/>
      <c r="K845" s="31" t="n"/>
      <c r="L845" s="31" t="n"/>
      <c r="M845" s="31" t="n"/>
      <c r="N845" s="31" t="n"/>
    </row>
    <row r="846">
      <c r="J846" s="31" t="n"/>
      <c r="K846" s="31" t="n"/>
      <c r="L846" s="31" t="n"/>
      <c r="M846" s="31" t="n"/>
      <c r="N846" s="31" t="n"/>
    </row>
    <row r="847">
      <c r="J847" s="31" t="n"/>
      <c r="K847" s="31" t="n"/>
      <c r="L847" s="31" t="n"/>
      <c r="M847" s="31" t="n"/>
      <c r="N847" s="31" t="n"/>
    </row>
    <row r="848">
      <c r="J848" s="31" t="n"/>
      <c r="K848" s="31" t="n"/>
      <c r="L848" s="31" t="n"/>
      <c r="M848" s="31" t="n"/>
      <c r="N848" s="31" t="n"/>
    </row>
    <row r="849">
      <c r="J849" s="31" t="n"/>
      <c r="K849" s="31" t="n"/>
      <c r="L849" s="31" t="n"/>
      <c r="M849" s="31" t="n"/>
      <c r="N849" s="31" t="n"/>
    </row>
    <row r="850">
      <c r="J850" s="31" t="n"/>
      <c r="K850" s="31" t="n"/>
      <c r="L850" s="31" t="n"/>
      <c r="M850" s="31" t="n"/>
      <c r="N850" s="31" t="n"/>
    </row>
    <row r="851">
      <c r="J851" s="31" t="n"/>
      <c r="K851" s="31" t="n"/>
      <c r="L851" s="31" t="n"/>
      <c r="M851" s="31" t="n"/>
      <c r="N851" s="31" t="n"/>
    </row>
    <row r="852">
      <c r="J852" s="31" t="n"/>
      <c r="K852" s="31" t="n"/>
      <c r="L852" s="31" t="n"/>
      <c r="M852" s="31" t="n"/>
      <c r="N852" s="31" t="n"/>
    </row>
    <row r="853">
      <c r="J853" s="31" t="n"/>
      <c r="K853" s="31" t="n"/>
      <c r="L853" s="31" t="n"/>
      <c r="M853" s="31" t="n"/>
      <c r="N853" s="31" t="n"/>
    </row>
    <row r="854">
      <c r="J854" s="31" t="n"/>
      <c r="K854" s="31" t="n"/>
      <c r="L854" s="31" t="n"/>
      <c r="M854" s="31" t="n"/>
      <c r="N854" s="31" t="n"/>
    </row>
    <row r="855">
      <c r="J855" s="31" t="n"/>
      <c r="K855" s="31" t="n"/>
      <c r="L855" s="31" t="n"/>
      <c r="M855" s="31" t="n"/>
      <c r="N855" s="31" t="n"/>
    </row>
    <row r="856">
      <c r="J856" s="31" t="n"/>
      <c r="K856" s="31" t="n"/>
      <c r="L856" s="31" t="n"/>
      <c r="M856" s="31" t="n"/>
      <c r="N856" s="31" t="n"/>
    </row>
    <row r="857">
      <c r="J857" s="31" t="n"/>
      <c r="K857" s="31" t="n"/>
      <c r="L857" s="31" t="n"/>
      <c r="M857" s="31" t="n"/>
      <c r="N857" s="31" t="n"/>
    </row>
    <row r="858">
      <c r="J858" s="31" t="n"/>
      <c r="K858" s="31" t="n"/>
      <c r="L858" s="31" t="n"/>
      <c r="M858" s="31" t="n"/>
      <c r="N858" s="31" t="n"/>
    </row>
    <row r="859">
      <c r="J859" s="31" t="n"/>
      <c r="K859" s="31" t="n"/>
      <c r="L859" s="31" t="n"/>
      <c r="M859" s="31" t="n"/>
      <c r="N859" s="31" t="n"/>
    </row>
    <row r="860">
      <c r="J860" s="31" t="n"/>
      <c r="K860" s="31" t="n"/>
      <c r="L860" s="31" t="n"/>
      <c r="M860" s="31" t="n"/>
      <c r="N860" s="31" t="n"/>
    </row>
    <row r="861">
      <c r="J861" s="31" t="n"/>
      <c r="K861" s="31" t="n"/>
      <c r="L861" s="31" t="n"/>
      <c r="M861" s="31" t="n"/>
      <c r="N861" s="31" t="n"/>
    </row>
    <row r="862">
      <c r="J862" s="31" t="n"/>
      <c r="K862" s="31" t="n"/>
      <c r="L862" s="31" t="n"/>
      <c r="M862" s="31" t="n"/>
      <c r="N862" s="31" t="n"/>
    </row>
    <row r="863">
      <c r="J863" s="31" t="n"/>
      <c r="K863" s="31" t="n"/>
      <c r="L863" s="31" t="n"/>
      <c r="M863" s="31" t="n"/>
      <c r="N863" s="31" t="n"/>
    </row>
    <row r="864">
      <c r="J864" s="31" t="n"/>
      <c r="K864" s="31" t="n"/>
      <c r="L864" s="31" t="n"/>
      <c r="M864" s="31" t="n"/>
      <c r="N864" s="31" t="n"/>
    </row>
    <row r="865">
      <c r="J865" s="31" t="n"/>
      <c r="K865" s="31" t="n"/>
      <c r="L865" s="31" t="n"/>
      <c r="M865" s="31" t="n"/>
      <c r="N865" s="31" t="n"/>
    </row>
    <row r="866">
      <c r="J866" s="31" t="n"/>
      <c r="K866" s="31" t="n"/>
      <c r="L866" s="31" t="n"/>
      <c r="M866" s="31" t="n"/>
      <c r="N866" s="31" t="n"/>
    </row>
    <row r="867">
      <c r="J867" s="31" t="n"/>
      <c r="K867" s="31" t="n"/>
      <c r="L867" s="31" t="n"/>
      <c r="M867" s="31" t="n"/>
      <c r="N867" s="31" t="n"/>
    </row>
    <row r="868">
      <c r="J868" s="31" t="n"/>
      <c r="K868" s="31" t="n"/>
      <c r="L868" s="31" t="n"/>
      <c r="M868" s="31" t="n"/>
      <c r="N868" s="31" t="n"/>
    </row>
    <row r="869">
      <c r="J869" s="31" t="n"/>
      <c r="K869" s="31" t="n"/>
      <c r="L869" s="31" t="n"/>
      <c r="M869" s="31" t="n"/>
      <c r="N869" s="31" t="n"/>
    </row>
    <row r="870">
      <c r="J870" s="31" t="n"/>
      <c r="K870" s="31" t="n"/>
      <c r="L870" s="31" t="n"/>
      <c r="M870" s="31" t="n"/>
      <c r="N870" s="31" t="n"/>
    </row>
    <row r="871">
      <c r="J871" s="31" t="n"/>
      <c r="K871" s="31" t="n"/>
      <c r="L871" s="31" t="n"/>
      <c r="M871" s="31" t="n"/>
      <c r="N871" s="31" t="n"/>
    </row>
    <row r="872">
      <c r="J872" s="31" t="n"/>
      <c r="K872" s="31" t="n"/>
      <c r="L872" s="31" t="n"/>
      <c r="M872" s="31" t="n"/>
      <c r="N872" s="31" t="n"/>
    </row>
    <row r="873">
      <c r="J873" s="31" t="n"/>
      <c r="K873" s="31" t="n"/>
      <c r="L873" s="31" t="n"/>
      <c r="M873" s="31" t="n"/>
      <c r="N873" s="31" t="n"/>
    </row>
    <row r="874">
      <c r="J874" s="31" t="n"/>
      <c r="K874" s="31" t="n"/>
      <c r="L874" s="31" t="n"/>
      <c r="M874" s="31" t="n"/>
      <c r="N874" s="31" t="n"/>
    </row>
    <row r="875">
      <c r="J875" s="31" t="n"/>
      <c r="K875" s="31" t="n"/>
      <c r="L875" s="31" t="n"/>
      <c r="M875" s="31" t="n"/>
      <c r="N875" s="31" t="n"/>
    </row>
    <row r="876">
      <c r="J876" s="35" t="n"/>
      <c r="K876" s="35" t="n"/>
      <c r="L876" s="35" t="n"/>
      <c r="M876" s="35" t="n"/>
      <c r="N876" s="35" t="n"/>
    </row>
    <row r="877">
      <c r="J877" s="31" t="n"/>
      <c r="K877" s="31" t="n"/>
      <c r="L877" s="31" t="n"/>
      <c r="M877" s="31" t="n"/>
      <c r="N877" s="31" t="n"/>
    </row>
    <row r="878">
      <c r="J878" s="31" t="n"/>
      <c r="K878" s="31" t="n"/>
      <c r="L878" s="31" t="n"/>
      <c r="M878" s="31" t="n"/>
      <c r="N878" s="31" t="n"/>
    </row>
    <row r="879">
      <c r="J879" s="31" t="n"/>
      <c r="K879" s="31" t="n"/>
      <c r="L879" s="31" t="n"/>
      <c r="M879" s="31" t="n"/>
      <c r="N879" s="31" t="n"/>
    </row>
    <row r="880">
      <c r="J880" s="31" t="n"/>
      <c r="K880" s="31" t="n"/>
      <c r="L880" s="31" t="n"/>
      <c r="M880" s="31" t="n"/>
      <c r="N880" s="31" t="n"/>
    </row>
    <row r="881">
      <c r="J881" s="31" t="n"/>
      <c r="K881" s="31" t="n"/>
      <c r="L881" s="31" t="n"/>
      <c r="M881" s="31" t="n"/>
      <c r="N881" s="31" t="n"/>
    </row>
    <row r="882">
      <c r="J882" s="31" t="n"/>
      <c r="K882" s="31" t="n"/>
      <c r="L882" s="31" t="n"/>
      <c r="M882" s="31" t="n"/>
      <c r="N882" s="31" t="n"/>
    </row>
    <row r="883">
      <c r="J883" s="31" t="n"/>
      <c r="K883" s="31" t="n"/>
      <c r="L883" s="31" t="n"/>
      <c r="M883" s="31" t="n"/>
      <c r="N883" s="31" t="n"/>
    </row>
    <row r="884">
      <c r="J884" s="31" t="n"/>
      <c r="K884" s="31" t="n"/>
      <c r="L884" s="31" t="n"/>
      <c r="M884" s="31" t="n"/>
      <c r="N884" s="31" t="n"/>
    </row>
    <row r="885">
      <c r="J885" s="31" t="n"/>
      <c r="K885" s="31" t="n"/>
      <c r="L885" s="31" t="n"/>
      <c r="M885" s="31" t="n"/>
      <c r="N885" s="31" t="n"/>
    </row>
    <row r="886">
      <c r="J886" s="31" t="n"/>
      <c r="K886" s="31" t="n"/>
      <c r="L886" s="31" t="n"/>
      <c r="M886" s="31" t="n"/>
      <c r="N886" s="31" t="n"/>
    </row>
    <row r="887">
      <c r="J887" s="31" t="n"/>
      <c r="K887" s="31" t="n"/>
      <c r="L887" s="31" t="n"/>
      <c r="M887" s="31" t="n"/>
      <c r="N887" s="31" t="n"/>
    </row>
    <row r="888">
      <c r="J888" s="31" t="n"/>
      <c r="K888" s="31" t="n"/>
      <c r="L888" s="31" t="n"/>
      <c r="M888" s="31" t="n"/>
      <c r="N888" s="31" t="n"/>
    </row>
    <row r="889">
      <c r="J889" s="31" t="n"/>
      <c r="K889" s="31" t="n"/>
      <c r="L889" s="31" t="n"/>
      <c r="M889" s="31" t="n"/>
      <c r="N889" s="31" t="n"/>
    </row>
    <row r="890">
      <c r="J890" s="31" t="n"/>
      <c r="K890" s="31" t="n"/>
      <c r="L890" s="31" t="n"/>
      <c r="M890" s="31" t="n"/>
      <c r="N890" s="31" t="n"/>
    </row>
    <row r="891">
      <c r="J891" s="31" t="n"/>
      <c r="K891" s="31" t="n"/>
      <c r="L891" s="31" t="n"/>
      <c r="M891" s="31" t="n"/>
      <c r="N891" s="31" t="n"/>
    </row>
    <row r="892">
      <c r="J892" s="31" t="n"/>
      <c r="K892" s="31" t="n"/>
      <c r="L892" s="31" t="n"/>
      <c r="M892" s="31" t="n"/>
      <c r="N892" s="31" t="n"/>
    </row>
    <row r="893">
      <c r="J893" s="31" t="n"/>
      <c r="K893" s="31" t="n"/>
      <c r="L893" s="31" t="n"/>
      <c r="M893" s="31" t="n"/>
      <c r="N893" s="31" t="n"/>
    </row>
    <row r="894">
      <c r="J894" s="31" t="n"/>
      <c r="K894" s="31" t="n"/>
      <c r="L894" s="31" t="n"/>
      <c r="M894" s="31" t="n"/>
      <c r="N894" s="31" t="n"/>
    </row>
    <row r="895">
      <c r="J895" s="31" t="n"/>
      <c r="K895" s="31" t="n"/>
      <c r="L895" s="31" t="n"/>
      <c r="M895" s="31" t="n"/>
      <c r="N895" s="31" t="n"/>
    </row>
    <row r="896">
      <c r="J896" s="31" t="n"/>
      <c r="K896" s="31" t="n"/>
      <c r="L896" s="31" t="n"/>
      <c r="M896" s="31" t="n"/>
      <c r="N896" s="31" t="n"/>
    </row>
    <row r="897">
      <c r="J897" s="31" t="n"/>
      <c r="K897" s="31" t="n"/>
      <c r="L897" s="31" t="n"/>
      <c r="M897" s="31" t="n"/>
      <c r="N897" s="31" t="n"/>
    </row>
    <row r="898">
      <c r="J898" s="31" t="n"/>
      <c r="K898" s="31" t="n"/>
      <c r="L898" s="31" t="n"/>
      <c r="M898" s="31" t="n"/>
      <c r="N898" s="31" t="n"/>
    </row>
    <row r="899">
      <c r="J899" s="31" t="n"/>
      <c r="K899" s="31" t="n"/>
      <c r="L899" s="31" t="n"/>
      <c r="M899" s="31" t="n"/>
      <c r="N899" s="31" t="n"/>
    </row>
    <row r="900">
      <c r="J900" s="31" t="n"/>
      <c r="K900" s="31" t="n"/>
      <c r="L900" s="31" t="n"/>
      <c r="M900" s="31" t="n"/>
      <c r="N900" s="31" t="n"/>
    </row>
    <row r="901">
      <c r="J901" s="31" t="n"/>
      <c r="K901" s="31" t="n"/>
      <c r="L901" s="31" t="n"/>
      <c r="M901" s="31" t="n"/>
      <c r="N901" s="31" t="n"/>
    </row>
    <row r="902">
      <c r="J902" s="31" t="n"/>
      <c r="K902" s="31" t="n"/>
      <c r="L902" s="31" t="n"/>
      <c r="M902" s="31" t="n"/>
      <c r="N902" s="31" t="n"/>
    </row>
    <row r="903">
      <c r="J903" s="31" t="n"/>
      <c r="K903" s="31" t="n"/>
      <c r="L903" s="31" t="n"/>
      <c r="M903" s="31" t="n"/>
      <c r="N903" s="31" t="n"/>
    </row>
    <row r="904">
      <c r="J904" s="31" t="n"/>
      <c r="K904" s="31" t="n"/>
      <c r="L904" s="31" t="n"/>
      <c r="M904" s="31" t="n"/>
      <c r="N904" s="31" t="n"/>
    </row>
    <row r="905">
      <c r="J905" s="31" t="n"/>
      <c r="K905" s="31" t="n"/>
      <c r="L905" s="31" t="n"/>
      <c r="M905" s="31" t="n"/>
      <c r="N905" s="31" t="n"/>
    </row>
    <row r="906">
      <c r="J906" s="31" t="n"/>
      <c r="K906" s="31" t="n"/>
      <c r="L906" s="31" t="n"/>
      <c r="M906" s="31" t="n"/>
      <c r="N906" s="31" t="n"/>
    </row>
    <row r="907">
      <c r="J907" s="31" t="n"/>
      <c r="K907" s="31" t="n"/>
      <c r="L907" s="31" t="n"/>
      <c r="M907" s="31" t="n"/>
      <c r="N907" s="31" t="n"/>
    </row>
    <row r="908">
      <c r="J908" s="31" t="n"/>
      <c r="K908" s="31" t="n"/>
      <c r="L908" s="31" t="n"/>
      <c r="M908" s="31" t="n"/>
      <c r="N908" s="31" t="n"/>
    </row>
    <row r="909">
      <c r="J909" s="31" t="n"/>
      <c r="K909" s="31" t="n"/>
      <c r="L909" s="31" t="n"/>
      <c r="M909" s="31" t="n"/>
      <c r="N909" s="31" t="n"/>
    </row>
    <row r="910">
      <c r="J910" s="31" t="n"/>
      <c r="K910" s="31" t="n"/>
      <c r="L910" s="31" t="n"/>
      <c r="M910" s="31" t="n"/>
      <c r="N910" s="31" t="n"/>
    </row>
    <row r="911">
      <c r="J911" s="31" t="n"/>
      <c r="K911" s="31" t="n"/>
      <c r="L911" s="31" t="n"/>
      <c r="M911" s="31" t="n"/>
      <c r="N911" s="31" t="n"/>
    </row>
    <row r="912">
      <c r="J912" s="31" t="n"/>
      <c r="K912" s="31" t="n"/>
      <c r="L912" s="31" t="n"/>
      <c r="M912" s="31" t="n"/>
      <c r="N912" s="31" t="n"/>
    </row>
    <row r="913">
      <c r="J913" s="31" t="n"/>
      <c r="K913" s="31" t="n"/>
      <c r="L913" s="31" t="n"/>
      <c r="M913" s="31" t="n"/>
      <c r="N913" s="31" t="n"/>
    </row>
    <row r="914">
      <c r="J914" s="31" t="n"/>
      <c r="K914" s="31" t="n"/>
      <c r="L914" s="31" t="n"/>
      <c r="M914" s="31" t="n"/>
      <c r="N914" s="31" t="n"/>
    </row>
    <row r="915">
      <c r="J915" s="31" t="n"/>
      <c r="K915" s="31" t="n"/>
      <c r="L915" s="31" t="n"/>
      <c r="M915" s="31" t="n"/>
      <c r="N915" s="31" t="n"/>
    </row>
    <row r="916">
      <c r="J916" s="31" t="n"/>
      <c r="K916" s="31" t="n"/>
      <c r="L916" s="31" t="n"/>
      <c r="M916" s="31" t="n"/>
      <c r="N916" s="31" t="n"/>
    </row>
    <row r="917">
      <c r="J917" s="31" t="n"/>
      <c r="K917" s="31" t="n"/>
      <c r="L917" s="31" t="n"/>
      <c r="M917" s="31" t="n"/>
      <c r="N917" s="31" t="n"/>
    </row>
    <row r="918">
      <c r="J918" s="31" t="n"/>
      <c r="K918" s="31" t="n"/>
      <c r="L918" s="31" t="n"/>
      <c r="M918" s="31" t="n"/>
      <c r="N918" s="31" t="n"/>
    </row>
    <row r="919">
      <c r="J919" s="31" t="n"/>
      <c r="K919" s="31" t="n"/>
      <c r="L919" s="31" t="n"/>
      <c r="M919" s="31" t="n"/>
      <c r="N919" s="31" t="n"/>
    </row>
    <row r="920">
      <c r="J920" s="31" t="n"/>
      <c r="K920" s="31" t="n"/>
      <c r="L920" s="31" t="n"/>
      <c r="M920" s="31" t="n"/>
      <c r="N920" s="31" t="n"/>
    </row>
    <row r="921">
      <c r="J921" s="31" t="n"/>
      <c r="K921" s="31" t="n"/>
      <c r="L921" s="31" t="n"/>
      <c r="M921" s="31" t="n"/>
      <c r="N921" s="31" t="n"/>
    </row>
    <row r="922">
      <c r="J922" s="31" t="n"/>
      <c r="K922" s="31" t="n"/>
      <c r="L922" s="31" t="n"/>
      <c r="M922" s="31" t="n"/>
      <c r="N922" s="31" t="n"/>
    </row>
    <row r="923">
      <c r="J923" s="31" t="n"/>
      <c r="K923" s="31" t="n"/>
      <c r="L923" s="31" t="n"/>
      <c r="M923" s="31" t="n"/>
      <c r="N923" s="31" t="n"/>
    </row>
    <row r="924">
      <c r="J924" s="31" t="n"/>
      <c r="K924" s="31" t="n"/>
      <c r="L924" s="31" t="n"/>
      <c r="M924" s="31" t="n"/>
      <c r="N924" s="31" t="n"/>
    </row>
    <row r="925">
      <c r="J925" s="31" t="n"/>
      <c r="K925" s="31" t="n"/>
      <c r="L925" s="31" t="n"/>
      <c r="M925" s="31" t="n"/>
      <c r="N925" s="31" t="n"/>
    </row>
    <row r="926">
      <c r="J926" s="31" t="n"/>
      <c r="K926" s="31" t="n"/>
      <c r="L926" s="31" t="n"/>
      <c r="M926" s="31" t="n"/>
      <c r="N926" s="31" t="n"/>
    </row>
    <row r="927">
      <c r="J927" s="31" t="n"/>
      <c r="K927" s="31" t="n"/>
      <c r="L927" s="31" t="n"/>
      <c r="M927" s="31" t="n"/>
      <c r="N927" s="31" t="n"/>
    </row>
    <row r="928">
      <c r="J928" s="31" t="n"/>
      <c r="K928" s="31" t="n"/>
      <c r="L928" s="31" t="n"/>
      <c r="M928" s="31" t="n"/>
      <c r="N928" s="31" t="n"/>
    </row>
    <row r="929">
      <c r="J929" s="31" t="n"/>
      <c r="K929" s="31" t="n"/>
      <c r="L929" s="31" t="n"/>
      <c r="M929" s="31" t="n"/>
      <c r="N929" s="31" t="n"/>
    </row>
    <row r="930">
      <c r="J930" s="31" t="n"/>
      <c r="K930" s="31" t="n"/>
      <c r="L930" s="31" t="n"/>
      <c r="M930" s="31" t="n"/>
      <c r="N930" s="31" t="n"/>
    </row>
    <row r="931">
      <c r="J931" s="35" t="n"/>
      <c r="K931" s="35" t="n"/>
      <c r="L931" s="35" t="n"/>
      <c r="M931" s="35" t="n"/>
      <c r="N931" s="35" t="n"/>
    </row>
    <row r="932">
      <c r="J932" s="31" t="n"/>
      <c r="K932" s="31" t="n"/>
      <c r="L932" s="31" t="n"/>
      <c r="M932" s="31" t="n"/>
      <c r="N932" s="31" t="n"/>
    </row>
    <row r="933">
      <c r="J933" s="31" t="n"/>
      <c r="K933" s="31" t="n"/>
      <c r="L933" s="31" t="n"/>
      <c r="M933" s="31" t="n"/>
      <c r="N933" s="31" t="n"/>
    </row>
    <row r="934">
      <c r="J934" s="31" t="n"/>
      <c r="K934" s="31" t="n"/>
      <c r="L934" s="31" t="n"/>
      <c r="M934" s="31" t="n"/>
      <c r="N934" s="31" t="n"/>
    </row>
    <row r="935">
      <c r="J935" s="31" t="n"/>
      <c r="K935" s="31" t="n"/>
      <c r="L935" s="31" t="n"/>
      <c r="M935" s="31" t="n"/>
      <c r="N935" s="31" t="n"/>
    </row>
    <row r="936">
      <c r="J936" s="31" t="n"/>
      <c r="K936" s="31" t="n"/>
      <c r="L936" s="31" t="n"/>
      <c r="M936" s="31" t="n"/>
      <c r="N936" s="31" t="n"/>
    </row>
    <row r="937">
      <c r="J937" s="31" t="n"/>
      <c r="K937" s="31" t="n"/>
      <c r="L937" s="31" t="n"/>
      <c r="M937" s="31" t="n"/>
      <c r="N937" s="31" t="n"/>
    </row>
    <row r="938">
      <c r="J938" s="31" t="n"/>
      <c r="K938" s="31" t="n"/>
      <c r="L938" s="31" t="n"/>
      <c r="M938" s="31" t="n"/>
      <c r="N938" s="31" t="n"/>
    </row>
    <row r="939">
      <c r="J939" s="31" t="n"/>
      <c r="K939" s="31" t="n"/>
      <c r="L939" s="31" t="n"/>
      <c r="M939" s="31" t="n"/>
      <c r="N939" s="31" t="n"/>
    </row>
    <row r="940">
      <c r="J940" s="31" t="n"/>
      <c r="K940" s="31" t="n"/>
      <c r="L940" s="31" t="n"/>
      <c r="M940" s="31" t="n"/>
      <c r="N940" s="31" t="n"/>
    </row>
    <row r="941">
      <c r="J941" s="31" t="n"/>
      <c r="K941" s="31" t="n"/>
      <c r="L941" s="31" t="n"/>
      <c r="M941" s="31" t="n"/>
      <c r="N941" s="31" t="n"/>
    </row>
    <row r="942">
      <c r="J942" s="31" t="n"/>
      <c r="K942" s="31" t="n"/>
      <c r="L942" s="31" t="n"/>
      <c r="M942" s="31" t="n"/>
      <c r="N942" s="31" t="n"/>
    </row>
    <row r="943">
      <c r="J943" s="31" t="n"/>
      <c r="K943" s="31" t="n"/>
      <c r="L943" s="31" t="n"/>
      <c r="M943" s="31" t="n"/>
      <c r="N943" s="31" t="n"/>
    </row>
    <row r="944">
      <c r="J944" s="31" t="n"/>
      <c r="K944" s="31" t="n"/>
      <c r="L944" s="31" t="n"/>
      <c r="M944" s="31" t="n"/>
      <c r="N944" s="31" t="n"/>
    </row>
    <row r="945">
      <c r="J945" s="31" t="n"/>
      <c r="K945" s="31" t="n"/>
      <c r="L945" s="31" t="n"/>
      <c r="M945" s="31" t="n"/>
      <c r="N945" s="31" t="n"/>
    </row>
    <row r="946">
      <c r="J946" s="31" t="n"/>
      <c r="K946" s="31" t="n"/>
      <c r="L946" s="31" t="n"/>
      <c r="M946" s="31" t="n"/>
      <c r="N946" s="31" t="n"/>
    </row>
    <row r="947">
      <c r="J947" s="31" t="n"/>
      <c r="K947" s="31" t="n"/>
      <c r="L947" s="31" t="n"/>
      <c r="M947" s="31" t="n"/>
      <c r="N947" s="31" t="n"/>
    </row>
    <row r="948">
      <c r="J948" s="31" t="n"/>
      <c r="K948" s="31" t="n"/>
      <c r="L948" s="31" t="n"/>
      <c r="M948" s="31" t="n"/>
      <c r="N948" s="31" t="n"/>
    </row>
    <row r="949">
      <c r="J949" s="31" t="n"/>
      <c r="K949" s="31" t="n"/>
      <c r="L949" s="31" t="n"/>
      <c r="M949" s="31" t="n"/>
      <c r="N949" s="31" t="n"/>
    </row>
    <row r="950">
      <c r="J950" s="31" t="n"/>
      <c r="K950" s="31" t="n"/>
      <c r="L950" s="31" t="n"/>
      <c r="M950" s="31" t="n"/>
      <c r="N950" s="31" t="n"/>
    </row>
    <row r="951">
      <c r="J951" s="35" t="n"/>
      <c r="K951" s="35" t="n"/>
      <c r="L951" s="35" t="n"/>
      <c r="M951" s="35" t="n"/>
      <c r="N951" s="35" t="n"/>
    </row>
    <row r="952">
      <c r="J952" s="31" t="n"/>
      <c r="K952" s="31" t="n"/>
      <c r="L952" s="31" t="n"/>
      <c r="M952" s="31" t="n"/>
      <c r="N952" s="31" t="n"/>
    </row>
    <row r="953">
      <c r="J953" s="31" t="n"/>
      <c r="K953" s="31" t="n"/>
      <c r="L953" s="31" t="n"/>
      <c r="M953" s="31" t="n"/>
      <c r="N953" s="31" t="n"/>
    </row>
    <row r="954">
      <c r="J954" s="31" t="n"/>
      <c r="K954" s="31" t="n"/>
      <c r="L954" s="31" t="n"/>
      <c r="M954" s="31" t="n"/>
      <c r="N954" s="31" t="n"/>
    </row>
    <row r="955">
      <c r="J955" s="31" t="n"/>
      <c r="K955" s="31" t="n"/>
      <c r="L955" s="31" t="n"/>
      <c r="M955" s="31" t="n"/>
      <c r="N955" s="31" t="n"/>
    </row>
    <row r="956">
      <c r="J956" s="31" t="n"/>
      <c r="K956" s="31" t="n"/>
      <c r="L956" s="31" t="n"/>
      <c r="M956" s="31" t="n"/>
      <c r="N956" s="31" t="n"/>
    </row>
    <row r="957">
      <c r="J957" s="31" t="n"/>
      <c r="K957" s="31" t="n"/>
      <c r="L957" s="31" t="n"/>
      <c r="M957" s="31" t="n"/>
      <c r="N957" s="31" t="n"/>
    </row>
    <row r="958">
      <c r="J958" s="31" t="n"/>
      <c r="K958" s="31" t="n"/>
      <c r="L958" s="31" t="n"/>
      <c r="M958" s="31" t="n"/>
      <c r="N958" s="31" t="n"/>
    </row>
    <row r="959">
      <c r="J959" s="31" t="n"/>
      <c r="K959" s="31" t="n"/>
      <c r="L959" s="31" t="n"/>
      <c r="M959" s="31" t="n"/>
      <c r="N959" s="31" t="n"/>
    </row>
    <row r="960">
      <c r="J960" s="31" t="n"/>
      <c r="K960" s="31" t="n"/>
      <c r="L960" s="31" t="n"/>
      <c r="M960" s="31" t="n"/>
      <c r="N960" s="31" t="n"/>
    </row>
    <row r="961">
      <c r="J961" s="31" t="n"/>
      <c r="K961" s="31" t="n"/>
      <c r="L961" s="31" t="n"/>
      <c r="M961" s="31" t="n"/>
      <c r="N961" s="31" t="n"/>
    </row>
    <row r="962">
      <c r="J962" s="31" t="n"/>
      <c r="K962" s="31" t="n"/>
      <c r="L962" s="31" t="n"/>
      <c r="M962" s="31" t="n"/>
      <c r="N962" s="31" t="n"/>
    </row>
    <row r="963">
      <c r="J963" s="31" t="n"/>
      <c r="K963" s="31" t="n"/>
      <c r="L963" s="31" t="n"/>
      <c r="M963" s="31" t="n"/>
      <c r="N963" s="31" t="n"/>
    </row>
    <row r="964">
      <c r="J964" s="31" t="n"/>
      <c r="K964" s="31" t="n"/>
      <c r="L964" s="31" t="n"/>
      <c r="M964" s="31" t="n"/>
      <c r="N964" s="31" t="n"/>
    </row>
    <row r="965">
      <c r="J965" s="31" t="n"/>
      <c r="K965" s="31" t="n"/>
      <c r="L965" s="31" t="n"/>
      <c r="M965" s="31" t="n"/>
      <c r="N965" s="31" t="n"/>
    </row>
    <row r="966">
      <c r="J966" s="31" t="n"/>
      <c r="K966" s="31" t="n"/>
      <c r="L966" s="31" t="n"/>
      <c r="M966" s="31" t="n"/>
      <c r="N966" s="31" t="n"/>
    </row>
    <row r="967">
      <c r="J967" s="31" t="n"/>
      <c r="K967" s="31" t="n"/>
      <c r="L967" s="31" t="n"/>
      <c r="M967" s="31" t="n"/>
      <c r="N967" s="31" t="n"/>
    </row>
    <row r="968">
      <c r="J968" s="31" t="n"/>
      <c r="K968" s="31" t="n"/>
      <c r="L968" s="31" t="n"/>
      <c r="M968" s="31" t="n"/>
      <c r="N968" s="31" t="n"/>
    </row>
    <row r="969">
      <c r="J969" s="31" t="n"/>
      <c r="K969" s="31" t="n"/>
      <c r="L969" s="31" t="n"/>
      <c r="M969" s="31" t="n"/>
      <c r="N969" s="31" t="n"/>
    </row>
    <row r="970">
      <c r="J970" s="31" t="n"/>
      <c r="K970" s="31" t="n"/>
      <c r="L970" s="31" t="n"/>
      <c r="M970" s="31" t="n"/>
      <c r="N970" s="31" t="n"/>
    </row>
    <row r="971">
      <c r="J971" s="31" t="n"/>
      <c r="K971" s="31" t="n"/>
      <c r="L971" s="31" t="n"/>
      <c r="M971" s="31" t="n"/>
      <c r="N971" s="31" t="n"/>
    </row>
    <row r="972">
      <c r="J972" s="31" t="n"/>
      <c r="K972" s="31" t="n"/>
      <c r="L972" s="31" t="n"/>
      <c r="M972" s="31" t="n"/>
      <c r="N972" s="31" t="n"/>
    </row>
    <row r="973">
      <c r="J973" s="35" t="n"/>
      <c r="K973" s="35" t="n"/>
      <c r="L973" s="35" t="n"/>
      <c r="M973" s="35" t="n"/>
      <c r="N973" s="35" t="n"/>
    </row>
    <row r="974">
      <c r="J974" s="31" t="n"/>
      <c r="K974" s="31" t="n"/>
      <c r="L974" s="31" t="n"/>
      <c r="M974" s="31" t="n"/>
      <c r="N974" s="31" t="n"/>
    </row>
    <row r="975">
      <c r="J975" s="31" t="n"/>
      <c r="K975" s="31" t="n"/>
      <c r="L975" s="31" t="n"/>
      <c r="M975" s="31" t="n"/>
      <c r="N975" s="31" t="n"/>
    </row>
    <row r="976">
      <c r="J976" s="31" t="n"/>
      <c r="K976" s="31" t="n"/>
      <c r="L976" s="31" t="n"/>
      <c r="M976" s="31" t="n"/>
      <c r="N976" s="31" t="n"/>
    </row>
    <row r="977">
      <c r="J977" s="31" t="n"/>
      <c r="K977" s="31" t="n"/>
      <c r="L977" s="31" t="n"/>
      <c r="M977" s="31" t="n"/>
      <c r="N977" s="31" t="n"/>
    </row>
    <row r="978">
      <c r="J978" s="31" t="n"/>
      <c r="K978" s="31" t="n"/>
      <c r="L978" s="31" t="n"/>
      <c r="M978" s="31" t="n"/>
      <c r="N978" s="31" t="n"/>
    </row>
    <row r="979">
      <c r="J979" s="31" t="n"/>
      <c r="K979" s="31" t="n"/>
      <c r="L979" s="31" t="n"/>
      <c r="M979" s="31" t="n"/>
      <c r="N979" s="31" t="n"/>
    </row>
    <row r="980">
      <c r="J980" s="31" t="n"/>
      <c r="K980" s="31" t="n"/>
      <c r="L980" s="31" t="n"/>
      <c r="M980" s="31" t="n"/>
      <c r="N980" s="31" t="n"/>
    </row>
    <row r="981">
      <c r="J981" s="31" t="n"/>
      <c r="K981" s="31" t="n"/>
      <c r="L981" s="31" t="n"/>
      <c r="M981" s="31" t="n"/>
      <c r="N981" s="31" t="n"/>
    </row>
    <row r="982">
      <c r="J982" s="31" t="n"/>
      <c r="K982" s="31" t="n"/>
      <c r="L982" s="31" t="n"/>
      <c r="M982" s="31" t="n"/>
      <c r="N982" s="31" t="n"/>
    </row>
    <row r="983">
      <c r="J983" s="31" t="n"/>
      <c r="K983" s="31" t="n"/>
      <c r="L983" s="31" t="n"/>
      <c r="M983" s="31" t="n"/>
      <c r="N983" s="31" t="n"/>
    </row>
    <row r="984">
      <c r="J984" s="31" t="n"/>
      <c r="K984" s="31" t="n"/>
      <c r="L984" s="31" t="n"/>
      <c r="M984" s="31" t="n"/>
      <c r="N984" s="31" t="n"/>
    </row>
    <row r="985">
      <c r="J985" s="31" t="n"/>
      <c r="K985" s="31" t="n"/>
      <c r="L985" s="31" t="n"/>
      <c r="M985" s="31" t="n"/>
      <c r="N985" s="31" t="n"/>
    </row>
    <row r="986">
      <c r="J986" s="31" t="n"/>
      <c r="K986" s="31" t="n"/>
      <c r="L986" s="31" t="n"/>
      <c r="M986" s="31" t="n"/>
      <c r="N986" s="31" t="n"/>
    </row>
    <row r="987">
      <c r="J987" s="31" t="n"/>
      <c r="K987" s="31" t="n"/>
      <c r="L987" s="31" t="n"/>
      <c r="M987" s="31" t="n"/>
      <c r="N987" s="31" t="n"/>
    </row>
    <row r="988">
      <c r="J988" s="31" t="n"/>
      <c r="K988" s="31" t="n"/>
      <c r="L988" s="31" t="n"/>
      <c r="M988" s="31" t="n"/>
      <c r="N988" s="31" t="n"/>
    </row>
    <row r="989">
      <c r="J989" s="31" t="n"/>
      <c r="K989" s="31" t="n"/>
      <c r="L989" s="31" t="n"/>
      <c r="M989" s="31" t="n"/>
      <c r="N989" s="31" t="n"/>
    </row>
    <row r="990">
      <c r="J990" s="31" t="n"/>
      <c r="K990" s="31" t="n"/>
      <c r="L990" s="31" t="n"/>
      <c r="M990" s="31" t="n"/>
      <c r="N990" s="31" t="n"/>
    </row>
    <row r="991">
      <c r="J991" s="31" t="n"/>
      <c r="K991" s="31" t="n"/>
      <c r="L991" s="31" t="n"/>
      <c r="M991" s="31" t="n"/>
      <c r="N991" s="31" t="n"/>
    </row>
    <row r="992">
      <c r="J992" s="31" t="n"/>
      <c r="K992" s="31" t="n"/>
      <c r="L992" s="31" t="n"/>
      <c r="M992" s="31" t="n"/>
      <c r="N992" s="31" t="n"/>
    </row>
    <row r="993">
      <c r="J993" s="31" t="n"/>
      <c r="K993" s="31" t="n"/>
      <c r="L993" s="31" t="n"/>
      <c r="M993" s="31" t="n"/>
      <c r="N993" s="31" t="n"/>
    </row>
    <row r="994">
      <c r="J994" s="31" t="n"/>
      <c r="K994" s="31" t="n"/>
      <c r="L994" s="31" t="n"/>
      <c r="M994" s="31" t="n"/>
      <c r="N994" s="31" t="n"/>
    </row>
    <row r="995">
      <c r="J995" s="31" t="n"/>
      <c r="K995" s="31" t="n"/>
      <c r="L995" s="31" t="n"/>
      <c r="M995" s="31" t="n"/>
      <c r="N995" s="31" t="n"/>
    </row>
    <row r="996">
      <c r="J996" s="31" t="n"/>
      <c r="K996" s="31" t="n"/>
      <c r="L996" s="31" t="n"/>
      <c r="M996" s="31" t="n"/>
      <c r="N996" s="31" t="n"/>
    </row>
    <row r="997">
      <c r="J997" s="31" t="n"/>
      <c r="K997" s="31" t="n"/>
      <c r="L997" s="31" t="n"/>
      <c r="M997" s="31" t="n"/>
      <c r="N997" s="31" t="n"/>
    </row>
    <row r="998">
      <c r="J998" s="31" t="n"/>
      <c r="K998" s="31" t="n"/>
      <c r="L998" s="31" t="n"/>
      <c r="M998" s="31" t="n"/>
      <c r="N998" s="31" t="n"/>
    </row>
    <row r="999">
      <c r="J999" s="35" t="n"/>
      <c r="K999" s="35" t="n"/>
      <c r="L999" s="35" t="n"/>
      <c r="M999" s="35" t="n"/>
      <c r="N999" s="35" t="n"/>
    </row>
    <row r="1000">
      <c r="J1000" s="31" t="n"/>
      <c r="K1000" s="31" t="n"/>
      <c r="L1000" s="31" t="n"/>
      <c r="M1000" s="31" t="n"/>
      <c r="N1000" s="31" t="n"/>
    </row>
    <row r="1001">
      <c r="J1001" s="31" t="n"/>
      <c r="K1001" s="31" t="n"/>
      <c r="L1001" s="31" t="n"/>
      <c r="M1001" s="31" t="n"/>
      <c r="N1001" s="31" t="n"/>
    </row>
    <row r="1002">
      <c r="J1002" s="31" t="n"/>
      <c r="K1002" s="31" t="n"/>
      <c r="L1002" s="31" t="n"/>
      <c r="M1002" s="31" t="n"/>
      <c r="N1002" s="31" t="n"/>
    </row>
    <row r="1003">
      <c r="J1003" s="31" t="n"/>
      <c r="K1003" s="31" t="n"/>
      <c r="L1003" s="31" t="n"/>
      <c r="M1003" s="31" t="n"/>
      <c r="N1003" s="31" t="n"/>
    </row>
    <row r="1004">
      <c r="J1004" s="31" t="n"/>
      <c r="K1004" s="31" t="n"/>
      <c r="L1004" s="31" t="n"/>
      <c r="M1004" s="31" t="n"/>
      <c r="N1004" s="31" t="n"/>
    </row>
    <row r="1005">
      <c r="J1005" s="35" t="n"/>
      <c r="K1005" s="35" t="n"/>
      <c r="L1005" s="35" t="n"/>
      <c r="M1005" s="35" t="n"/>
      <c r="N1005" s="35" t="n"/>
    </row>
    <row r="1006">
      <c r="J1006" s="31" t="n"/>
      <c r="K1006" s="31" t="n"/>
      <c r="L1006" s="31" t="n"/>
      <c r="M1006" s="31" t="n"/>
      <c r="N1006" s="31" t="n"/>
    </row>
    <row r="1007">
      <c r="J1007" s="31" t="n"/>
      <c r="K1007" s="31" t="n"/>
      <c r="L1007" s="31" t="n"/>
      <c r="M1007" s="31" t="n"/>
      <c r="N1007" s="31" t="n"/>
    </row>
    <row r="1008">
      <c r="J1008" s="31" t="n"/>
      <c r="K1008" s="31" t="n"/>
      <c r="L1008" s="31" t="n"/>
      <c r="M1008" s="31" t="n"/>
      <c r="N1008" s="31" t="n"/>
    </row>
    <row r="1009">
      <c r="J1009" s="31" t="n"/>
      <c r="K1009" s="31" t="n"/>
      <c r="L1009" s="31" t="n"/>
      <c r="M1009" s="31" t="n"/>
      <c r="N1009" s="31" t="n"/>
    </row>
    <row r="1010">
      <c r="J1010" s="31" t="n"/>
      <c r="K1010" s="31" t="n"/>
      <c r="L1010" s="31" t="n"/>
      <c r="M1010" s="31" t="n"/>
      <c r="N1010" s="31" t="n"/>
    </row>
    <row r="1011">
      <c r="J1011" s="31" t="n"/>
      <c r="K1011" s="31" t="n"/>
      <c r="L1011" s="31" t="n"/>
      <c r="M1011" s="31" t="n"/>
      <c r="N1011" s="31" t="n"/>
    </row>
    <row r="1012">
      <c r="J1012" s="31" t="n"/>
      <c r="K1012" s="31" t="n"/>
      <c r="L1012" s="31" t="n"/>
      <c r="M1012" s="31" t="n"/>
      <c r="N1012" s="31" t="n"/>
    </row>
    <row r="1013">
      <c r="J1013" s="31" t="n"/>
      <c r="K1013" s="31" t="n"/>
      <c r="L1013" s="31" t="n"/>
      <c r="M1013" s="31" t="n"/>
      <c r="N1013" s="31" t="n"/>
    </row>
    <row r="1014">
      <c r="J1014" s="31" t="n"/>
      <c r="K1014" s="31" t="n"/>
      <c r="L1014" s="31" t="n"/>
      <c r="M1014" s="31" t="n"/>
      <c r="N1014" s="31" t="n"/>
    </row>
    <row r="1015">
      <c r="J1015" s="31" t="n"/>
      <c r="K1015" s="31" t="n"/>
      <c r="L1015" s="31" t="n"/>
      <c r="M1015" s="31" t="n"/>
      <c r="N1015" s="31" t="n"/>
    </row>
    <row r="1016">
      <c r="J1016" s="31" t="n"/>
      <c r="K1016" s="31" t="n"/>
      <c r="L1016" s="31" t="n"/>
      <c r="M1016" s="31" t="n"/>
      <c r="N1016" s="31" t="n"/>
    </row>
    <row r="1017">
      <c r="J1017" s="31" t="n"/>
      <c r="K1017" s="31" t="n"/>
      <c r="L1017" s="31" t="n"/>
      <c r="M1017" s="31" t="n"/>
      <c r="N1017" s="31" t="n"/>
    </row>
    <row r="1018">
      <c r="J1018" s="31" t="n"/>
      <c r="K1018" s="31" t="n"/>
      <c r="L1018" s="31" t="n"/>
      <c r="M1018" s="31" t="n"/>
      <c r="N1018" s="31" t="n"/>
    </row>
    <row r="1019">
      <c r="J1019" s="31" t="n"/>
      <c r="K1019" s="31" t="n"/>
      <c r="L1019" s="31" t="n"/>
      <c r="M1019" s="31" t="n"/>
      <c r="N1019" s="31" t="n"/>
    </row>
    <row r="1020">
      <c r="J1020" s="31" t="n"/>
      <c r="K1020" s="31" t="n"/>
      <c r="L1020" s="31" t="n"/>
      <c r="M1020" s="31" t="n"/>
      <c r="N1020" s="31" t="n"/>
    </row>
    <row r="1021">
      <c r="J1021" s="31" t="n"/>
      <c r="K1021" s="31" t="n"/>
      <c r="L1021" s="31" t="n"/>
      <c r="M1021" s="31" t="n"/>
      <c r="N1021" s="31" t="n"/>
    </row>
    <row r="1022">
      <c r="J1022" s="31" t="n"/>
      <c r="K1022" s="31" t="n"/>
      <c r="L1022" s="31" t="n"/>
      <c r="M1022" s="31" t="n"/>
      <c r="N1022" s="31" t="n"/>
    </row>
    <row r="1023">
      <c r="J1023" s="31" t="n"/>
      <c r="K1023" s="31" t="n"/>
      <c r="L1023" s="31" t="n"/>
      <c r="M1023" s="31" t="n"/>
      <c r="N1023" s="31" t="n"/>
    </row>
    <row r="1024">
      <c r="J1024" s="31" t="n"/>
      <c r="K1024" s="31" t="n"/>
      <c r="L1024" s="31" t="n"/>
      <c r="M1024" s="31" t="n"/>
      <c r="N1024" s="31" t="n"/>
    </row>
    <row r="1025">
      <c r="J1025" s="31" t="n"/>
      <c r="K1025" s="31" t="n"/>
      <c r="L1025" s="31" t="n"/>
      <c r="M1025" s="31" t="n"/>
      <c r="N1025" s="31" t="n"/>
    </row>
    <row r="1026">
      <c r="J1026" s="31" t="n"/>
      <c r="K1026" s="31" t="n"/>
      <c r="L1026" s="31" t="n"/>
      <c r="M1026" s="31" t="n"/>
      <c r="N1026" s="31" t="n"/>
    </row>
    <row r="1027">
      <c r="J1027" s="31" t="n"/>
      <c r="K1027" s="31" t="n"/>
      <c r="L1027" s="31" t="n"/>
      <c r="M1027" s="31" t="n"/>
      <c r="N1027" s="31" t="n"/>
    </row>
    <row r="1028">
      <c r="J1028" s="31" t="n"/>
      <c r="K1028" s="31" t="n"/>
      <c r="L1028" s="31" t="n"/>
      <c r="M1028" s="31" t="n"/>
      <c r="N1028" s="31" t="n"/>
    </row>
    <row r="1029">
      <c r="J1029" s="31" t="n"/>
      <c r="K1029" s="31" t="n"/>
      <c r="L1029" s="31" t="n"/>
      <c r="M1029" s="31" t="n"/>
      <c r="N1029" s="31" t="n"/>
    </row>
    <row r="1030">
      <c r="J1030" s="31" t="n"/>
      <c r="K1030" s="31" t="n"/>
      <c r="L1030" s="31" t="n"/>
      <c r="M1030" s="31" t="n"/>
      <c r="N1030" s="31" t="n"/>
    </row>
    <row r="1031">
      <c r="J1031" s="31" t="n"/>
      <c r="K1031" s="31" t="n"/>
      <c r="L1031" s="31" t="n"/>
      <c r="M1031" s="31" t="n"/>
      <c r="N1031" s="31" t="n"/>
    </row>
    <row r="1032">
      <c r="J1032" s="31" t="n"/>
      <c r="K1032" s="31" t="n"/>
      <c r="L1032" s="31" t="n"/>
      <c r="M1032" s="31" t="n"/>
      <c r="N1032" s="31" t="n"/>
    </row>
    <row r="1033">
      <c r="J1033" s="31" t="n"/>
      <c r="K1033" s="31" t="n"/>
      <c r="L1033" s="31" t="n"/>
      <c r="M1033" s="31" t="n"/>
      <c r="N1033" s="31" t="n"/>
    </row>
    <row r="1034">
      <c r="J1034" s="31" t="n"/>
      <c r="K1034" s="31" t="n"/>
      <c r="L1034" s="31" t="n"/>
      <c r="M1034" s="31" t="n"/>
      <c r="N1034" s="31" t="n"/>
    </row>
    <row r="1035">
      <c r="J1035" s="35" t="n"/>
      <c r="K1035" s="35" t="n"/>
      <c r="L1035" s="35" t="n"/>
      <c r="M1035" s="35" t="n"/>
      <c r="N1035" s="35" t="n"/>
    </row>
    <row r="1036">
      <c r="J1036" s="31" t="n"/>
      <c r="K1036" s="31" t="n"/>
      <c r="L1036" s="31" t="n"/>
      <c r="M1036" s="31" t="n"/>
      <c r="N1036" s="31" t="n"/>
    </row>
    <row r="1037">
      <c r="J1037" s="31" t="n"/>
      <c r="K1037" s="31" t="n"/>
      <c r="L1037" s="31" t="n"/>
      <c r="M1037" s="31" t="n"/>
      <c r="N1037" s="31" t="n"/>
    </row>
    <row r="1038">
      <c r="J1038" s="31" t="n"/>
      <c r="K1038" s="31" t="n"/>
      <c r="L1038" s="31" t="n"/>
      <c r="M1038" s="31" t="n"/>
      <c r="N1038" s="31" t="n"/>
    </row>
    <row r="1039">
      <c r="J1039" s="31" t="n"/>
      <c r="K1039" s="31" t="n"/>
      <c r="L1039" s="31" t="n"/>
      <c r="M1039" s="31" t="n"/>
      <c r="N1039" s="31" t="n"/>
    </row>
    <row r="1040">
      <c r="J1040" s="31" t="n"/>
      <c r="K1040" s="31" t="n"/>
      <c r="L1040" s="31" t="n"/>
      <c r="M1040" s="31" t="n"/>
      <c r="N1040" s="31" t="n"/>
    </row>
    <row r="1041">
      <c r="J1041" s="31" t="n"/>
      <c r="K1041" s="31" t="n"/>
      <c r="L1041" s="31" t="n"/>
      <c r="M1041" s="31" t="n"/>
      <c r="N1041" s="31" t="n"/>
    </row>
    <row r="1042">
      <c r="J1042" s="31" t="n"/>
      <c r="K1042" s="31" t="n"/>
      <c r="L1042" s="31" t="n"/>
      <c r="M1042" s="31" t="n"/>
      <c r="N1042" s="31" t="n"/>
    </row>
    <row r="1043">
      <c r="J1043" s="31" t="n"/>
      <c r="K1043" s="31" t="n"/>
      <c r="L1043" s="31" t="n"/>
      <c r="M1043" s="31" t="n"/>
      <c r="N1043" s="31" t="n"/>
    </row>
    <row r="1044">
      <c r="J1044" s="31" t="n"/>
      <c r="K1044" s="31" t="n"/>
      <c r="L1044" s="31" t="n"/>
      <c r="M1044" s="31" t="n"/>
      <c r="N1044" s="31" t="n"/>
    </row>
    <row r="1045">
      <c r="J1045" s="31" t="n"/>
      <c r="K1045" s="31" t="n"/>
      <c r="L1045" s="31" t="n"/>
      <c r="M1045" s="31" t="n"/>
      <c r="N1045" s="31" t="n"/>
    </row>
    <row r="1046">
      <c r="J1046" s="31" t="n"/>
      <c r="K1046" s="31" t="n"/>
      <c r="L1046" s="31" t="n"/>
      <c r="M1046" s="31" t="n"/>
      <c r="N1046" s="31" t="n"/>
    </row>
    <row r="1047">
      <c r="J1047" s="31" t="n"/>
      <c r="K1047" s="31" t="n"/>
      <c r="L1047" s="31" t="n"/>
      <c r="M1047" s="31" t="n"/>
      <c r="N1047" s="31" t="n"/>
    </row>
    <row r="1048">
      <c r="J1048" s="31" t="n"/>
      <c r="K1048" s="31" t="n"/>
      <c r="L1048" s="31" t="n"/>
      <c r="M1048" s="31" t="n"/>
      <c r="N1048" s="31" t="n"/>
    </row>
    <row r="1049">
      <c r="J1049" s="31" t="n"/>
      <c r="K1049" s="31" t="n"/>
      <c r="L1049" s="31" t="n"/>
      <c r="M1049" s="31" t="n"/>
      <c r="N1049" s="31" t="n"/>
    </row>
    <row r="1050">
      <c r="J1050" s="31" t="n"/>
      <c r="K1050" s="31" t="n"/>
      <c r="L1050" s="31" t="n"/>
      <c r="M1050" s="31" t="n"/>
      <c r="N1050" s="31" t="n"/>
    </row>
    <row r="1051">
      <c r="J1051" s="31" t="n"/>
      <c r="K1051" s="31" t="n"/>
      <c r="L1051" s="31" t="n"/>
      <c r="M1051" s="31" t="n"/>
      <c r="N1051" s="31" t="n"/>
    </row>
    <row r="1052">
      <c r="J1052" s="31" t="n"/>
      <c r="K1052" s="31" t="n"/>
      <c r="L1052" s="31" t="n"/>
      <c r="M1052" s="31" t="n"/>
      <c r="N1052" s="31" t="n"/>
    </row>
    <row r="1053">
      <c r="J1053" s="31" t="n"/>
      <c r="K1053" s="31" t="n"/>
      <c r="L1053" s="31" t="n"/>
      <c r="M1053" s="31" t="n"/>
      <c r="N1053" s="31" t="n"/>
    </row>
    <row r="1054">
      <c r="J1054" s="31" t="n"/>
      <c r="K1054" s="31" t="n"/>
      <c r="L1054" s="31" t="n"/>
      <c r="M1054" s="31" t="n"/>
      <c r="N1054" s="31" t="n"/>
    </row>
    <row r="1055">
      <c r="J1055" s="31" t="n"/>
      <c r="K1055" s="31" t="n"/>
      <c r="L1055" s="31" t="n"/>
      <c r="M1055" s="31" t="n"/>
      <c r="N1055" s="31" t="n"/>
    </row>
    <row r="1056">
      <c r="J1056" s="31" t="n"/>
      <c r="K1056" s="31" t="n"/>
      <c r="L1056" s="31" t="n"/>
      <c r="M1056" s="31" t="n"/>
      <c r="N1056" s="31" t="n"/>
    </row>
    <row r="1057">
      <c r="J1057" s="31" t="n"/>
      <c r="K1057" s="31" t="n"/>
      <c r="L1057" s="31" t="n"/>
      <c r="M1057" s="31" t="n"/>
      <c r="N1057" s="31" t="n"/>
    </row>
    <row r="1058">
      <c r="J1058" s="31" t="n"/>
      <c r="K1058" s="31" t="n"/>
      <c r="L1058" s="31" t="n"/>
      <c r="M1058" s="31" t="n"/>
      <c r="N1058" s="31" t="n"/>
    </row>
    <row r="1059">
      <c r="J1059" s="31" t="n"/>
      <c r="K1059" s="31" t="n"/>
      <c r="L1059" s="31" t="n"/>
      <c r="M1059" s="31" t="n"/>
      <c r="N1059" s="31" t="n"/>
    </row>
    <row r="1060">
      <c r="J1060" s="31" t="n"/>
      <c r="K1060" s="31" t="n"/>
      <c r="L1060" s="31" t="n"/>
      <c r="M1060" s="31" t="n"/>
      <c r="N1060" s="31" t="n"/>
    </row>
    <row r="1061">
      <c r="J1061" s="31" t="n"/>
      <c r="K1061" s="31" t="n"/>
      <c r="L1061" s="31" t="n"/>
      <c r="M1061" s="31" t="n"/>
      <c r="N1061" s="31" t="n"/>
    </row>
    <row r="1062">
      <c r="J1062" s="31" t="n"/>
      <c r="K1062" s="31" t="n"/>
      <c r="L1062" s="31" t="n"/>
      <c r="M1062" s="31" t="n"/>
      <c r="N1062" s="31" t="n"/>
    </row>
    <row r="1063">
      <c r="J1063" s="31" t="n"/>
      <c r="K1063" s="31" t="n"/>
      <c r="L1063" s="31" t="n"/>
      <c r="M1063" s="31" t="n"/>
      <c r="N1063" s="31" t="n"/>
    </row>
    <row r="1064">
      <c r="J1064" s="31" t="n"/>
      <c r="K1064" s="31" t="n"/>
      <c r="L1064" s="31" t="n"/>
      <c r="M1064" s="31" t="n"/>
      <c r="N1064" s="31" t="n"/>
    </row>
    <row r="1065">
      <c r="J1065" s="31" t="n"/>
      <c r="K1065" s="31" t="n"/>
      <c r="L1065" s="31" t="n"/>
      <c r="M1065" s="31" t="n"/>
      <c r="N1065" s="31" t="n"/>
    </row>
    <row r="1066">
      <c r="J1066" s="31" t="n"/>
      <c r="K1066" s="31" t="n"/>
      <c r="L1066" s="31" t="n"/>
      <c r="M1066" s="31" t="n"/>
      <c r="N1066" s="31" t="n"/>
    </row>
    <row r="1067">
      <c r="J1067" s="31" t="n"/>
      <c r="K1067" s="31" t="n"/>
      <c r="L1067" s="31" t="n"/>
      <c r="M1067" s="31" t="n"/>
      <c r="N1067" s="31" t="n"/>
    </row>
    <row r="1068">
      <c r="J1068" s="31" t="n"/>
      <c r="K1068" s="31" t="n"/>
      <c r="L1068" s="31" t="n"/>
      <c r="M1068" s="31" t="n"/>
      <c r="N1068" s="31" t="n"/>
    </row>
    <row r="1069">
      <c r="J1069" s="31" t="n"/>
      <c r="K1069" s="31" t="n"/>
      <c r="L1069" s="31" t="n"/>
      <c r="M1069" s="31" t="n"/>
      <c r="N1069" s="31" t="n"/>
    </row>
    <row r="1070">
      <c r="J1070" s="31" t="n"/>
      <c r="K1070" s="31" t="n"/>
      <c r="L1070" s="31" t="n"/>
      <c r="M1070" s="31" t="n"/>
      <c r="N1070" s="31" t="n"/>
    </row>
    <row r="1071">
      <c r="J1071" s="31" t="n"/>
      <c r="K1071" s="31" t="n"/>
      <c r="L1071" s="31" t="n"/>
      <c r="M1071" s="31" t="n"/>
      <c r="N1071" s="31" t="n"/>
    </row>
    <row r="1072">
      <c r="J1072" s="31" t="n"/>
      <c r="K1072" s="31" t="n"/>
      <c r="L1072" s="31" t="n"/>
      <c r="M1072" s="31" t="n"/>
      <c r="N1072" s="31" t="n"/>
    </row>
    <row r="1073">
      <c r="J1073" s="31" t="n"/>
      <c r="K1073" s="31" t="n"/>
      <c r="L1073" s="31" t="n"/>
      <c r="M1073" s="31" t="n"/>
      <c r="N1073" s="31" t="n"/>
    </row>
    <row r="1074">
      <c r="J1074" s="31" t="n"/>
      <c r="K1074" s="31" t="n"/>
      <c r="L1074" s="31" t="n"/>
      <c r="M1074" s="31" t="n"/>
      <c r="N1074" s="31" t="n"/>
    </row>
    <row r="1075">
      <c r="J1075" s="31" t="n"/>
      <c r="K1075" s="31" t="n"/>
      <c r="L1075" s="31" t="n"/>
      <c r="M1075" s="31" t="n"/>
      <c r="N1075" s="31" t="n"/>
    </row>
    <row r="1076">
      <c r="J1076" s="31" t="n"/>
      <c r="K1076" s="31" t="n"/>
      <c r="L1076" s="31" t="n"/>
      <c r="M1076" s="31" t="n"/>
      <c r="N1076" s="31" t="n"/>
    </row>
    <row r="1077">
      <c r="J1077" s="31" t="n"/>
      <c r="K1077" s="31" t="n"/>
      <c r="L1077" s="31" t="n"/>
      <c r="M1077" s="31" t="n"/>
      <c r="N1077" s="31" t="n"/>
    </row>
    <row r="1078">
      <c r="J1078" s="31" t="n"/>
      <c r="K1078" s="31" t="n"/>
      <c r="L1078" s="31" t="n"/>
      <c r="M1078" s="31" t="n"/>
      <c r="N1078" s="31" t="n"/>
    </row>
    <row r="1079">
      <c r="J1079" s="31" t="n"/>
      <c r="K1079" s="31" t="n"/>
      <c r="L1079" s="31" t="n"/>
      <c r="M1079" s="31" t="n"/>
      <c r="N1079" s="31" t="n"/>
    </row>
    <row r="1080">
      <c r="J1080" s="31" t="n"/>
      <c r="K1080" s="31" t="n"/>
      <c r="L1080" s="31" t="n"/>
      <c r="M1080" s="31" t="n"/>
      <c r="N1080" s="31" t="n"/>
    </row>
    <row r="1081">
      <c r="J1081" s="31" t="n"/>
      <c r="K1081" s="31" t="n"/>
      <c r="L1081" s="31" t="n"/>
      <c r="M1081" s="31" t="n"/>
      <c r="N1081" s="31" t="n"/>
    </row>
    <row r="1082">
      <c r="J1082" s="31" t="n"/>
      <c r="K1082" s="31" t="n"/>
      <c r="L1082" s="31" t="n"/>
      <c r="M1082" s="31" t="n"/>
      <c r="N1082" s="31" t="n"/>
    </row>
    <row r="1083">
      <c r="J1083" s="31" t="n"/>
      <c r="K1083" s="31" t="n"/>
      <c r="L1083" s="31" t="n"/>
      <c r="M1083" s="31" t="n"/>
      <c r="N1083" s="31" t="n"/>
    </row>
    <row r="1084">
      <c r="J1084" s="31" t="n"/>
      <c r="K1084" s="31" t="n"/>
      <c r="L1084" s="31" t="n"/>
      <c r="M1084" s="31" t="n"/>
      <c r="N1084" s="31" t="n"/>
    </row>
    <row r="1085">
      <c r="J1085" s="31" t="n"/>
      <c r="K1085" s="31" t="n"/>
      <c r="L1085" s="31" t="n"/>
      <c r="M1085" s="31" t="n"/>
      <c r="N1085" s="31" t="n"/>
    </row>
    <row r="1086">
      <c r="J1086" s="31" t="n"/>
      <c r="K1086" s="31" t="n"/>
      <c r="L1086" s="31" t="n"/>
      <c r="M1086" s="31" t="n"/>
      <c r="N1086" s="31" t="n"/>
    </row>
    <row r="1087">
      <c r="J1087" s="31" t="n"/>
      <c r="K1087" s="31" t="n"/>
      <c r="L1087" s="31" t="n"/>
      <c r="M1087" s="31" t="n"/>
      <c r="N1087" s="31" t="n"/>
    </row>
    <row r="1088">
      <c r="J1088" s="31" t="n"/>
      <c r="K1088" s="31" t="n"/>
      <c r="L1088" s="31" t="n"/>
      <c r="M1088" s="31" t="n"/>
      <c r="N1088" s="31" t="n"/>
    </row>
    <row r="1089">
      <c r="J1089" s="31" t="n"/>
      <c r="K1089" s="31" t="n"/>
      <c r="L1089" s="31" t="n"/>
      <c r="M1089" s="31" t="n"/>
      <c r="N1089" s="31" t="n"/>
    </row>
    <row r="1090">
      <c r="J1090" s="31" t="n"/>
      <c r="K1090" s="31" t="n"/>
      <c r="L1090" s="31" t="n"/>
      <c r="M1090" s="31" t="n"/>
      <c r="N1090" s="31" t="n"/>
    </row>
    <row r="1091">
      <c r="J1091" s="31" t="n"/>
      <c r="K1091" s="31" t="n"/>
      <c r="L1091" s="31" t="n"/>
      <c r="M1091" s="31" t="n"/>
      <c r="N1091" s="31" t="n"/>
    </row>
    <row r="1092">
      <c r="J1092" s="31" t="n"/>
      <c r="K1092" s="31" t="n"/>
      <c r="L1092" s="31" t="n"/>
      <c r="M1092" s="31" t="n"/>
      <c r="N1092" s="31" t="n"/>
    </row>
    <row r="1093">
      <c r="J1093" s="31" t="n"/>
      <c r="K1093" s="31" t="n"/>
      <c r="L1093" s="31" t="n"/>
      <c r="M1093" s="31" t="n"/>
      <c r="N1093" s="31" t="n"/>
    </row>
    <row r="1094">
      <c r="J1094" s="31" t="n"/>
      <c r="K1094" s="31" t="n"/>
      <c r="L1094" s="31" t="n"/>
      <c r="M1094" s="31" t="n"/>
      <c r="N1094" s="31" t="n"/>
    </row>
    <row r="1095">
      <c r="J1095" s="31" t="n"/>
      <c r="K1095" s="31" t="n"/>
      <c r="L1095" s="31" t="n"/>
      <c r="M1095" s="31" t="n"/>
      <c r="N1095" s="31" t="n"/>
    </row>
    <row r="1096">
      <c r="J1096" s="31" t="n"/>
      <c r="K1096" s="31" t="n"/>
      <c r="L1096" s="31" t="n"/>
      <c r="M1096" s="31" t="n"/>
      <c r="N1096" s="31" t="n"/>
    </row>
    <row r="1097">
      <c r="J1097" s="31" t="n"/>
      <c r="K1097" s="31" t="n"/>
      <c r="L1097" s="31" t="n"/>
      <c r="M1097" s="31" t="n"/>
      <c r="N1097" s="31" t="n"/>
    </row>
    <row r="1098">
      <c r="J1098" s="31" t="n"/>
      <c r="K1098" s="31" t="n"/>
      <c r="L1098" s="31" t="n"/>
      <c r="M1098" s="31" t="n"/>
      <c r="N1098" s="31" t="n"/>
    </row>
    <row r="1099">
      <c r="J1099" s="31" t="n"/>
      <c r="K1099" s="31" t="n"/>
      <c r="L1099" s="31" t="n"/>
      <c r="M1099" s="31" t="n"/>
      <c r="N1099" s="31" t="n"/>
    </row>
    <row r="1100">
      <c r="J1100" s="31" t="n"/>
      <c r="K1100" s="31" t="n"/>
      <c r="L1100" s="31" t="n"/>
      <c r="M1100" s="31" t="n"/>
      <c r="N1100" s="31" t="n"/>
    </row>
    <row r="1101">
      <c r="J1101" s="31" t="n"/>
      <c r="K1101" s="31" t="n"/>
      <c r="L1101" s="31" t="n"/>
      <c r="M1101" s="31" t="n"/>
      <c r="N1101" s="31" t="n"/>
    </row>
    <row r="1102">
      <c r="J1102" s="35" t="n"/>
      <c r="K1102" s="35" t="n"/>
      <c r="L1102" s="35" t="n"/>
      <c r="M1102" s="35" t="n"/>
      <c r="N1102" s="35" t="n"/>
    </row>
    <row r="1103">
      <c r="J1103" s="31" t="n"/>
      <c r="K1103" s="31" t="n"/>
      <c r="L1103" s="31" t="n"/>
      <c r="M1103" s="31" t="n"/>
      <c r="N1103" s="31" t="n"/>
    </row>
    <row r="1104">
      <c r="J1104" s="31" t="n"/>
      <c r="K1104" s="31" t="n"/>
      <c r="L1104" s="31" t="n"/>
      <c r="M1104" s="31" t="n"/>
      <c r="N1104" s="31" t="n"/>
    </row>
    <row r="1105">
      <c r="J1105" s="31" t="n"/>
      <c r="K1105" s="31" t="n"/>
      <c r="L1105" s="31" t="n"/>
      <c r="M1105" s="31" t="n"/>
      <c r="N1105" s="31" t="n"/>
    </row>
    <row r="1106">
      <c r="J1106" s="31" t="n"/>
      <c r="K1106" s="31" t="n"/>
      <c r="L1106" s="31" t="n"/>
      <c r="M1106" s="31" t="n"/>
      <c r="N1106" s="31" t="n"/>
    </row>
    <row r="1107">
      <c r="J1107" s="31" t="n"/>
      <c r="K1107" s="31" t="n"/>
      <c r="L1107" s="31" t="n"/>
      <c r="M1107" s="31" t="n"/>
      <c r="N1107" s="31" t="n"/>
    </row>
    <row r="1108">
      <c r="J1108" s="31" t="n"/>
      <c r="K1108" s="31" t="n"/>
      <c r="L1108" s="31" t="n"/>
      <c r="M1108" s="31" t="n"/>
      <c r="N1108" s="31" t="n"/>
    </row>
    <row r="1109">
      <c r="J1109" s="31" t="n"/>
      <c r="K1109" s="31" t="n"/>
      <c r="L1109" s="31" t="n"/>
      <c r="M1109" s="31" t="n"/>
      <c r="N1109" s="31" t="n"/>
    </row>
    <row r="1110">
      <c r="J1110" s="31" t="n"/>
      <c r="K1110" s="31" t="n"/>
      <c r="L1110" s="31" t="n"/>
      <c r="M1110" s="31" t="n"/>
      <c r="N1110" s="31" t="n"/>
    </row>
    <row r="1111">
      <c r="J1111" s="31" t="n"/>
      <c r="K1111" s="31" t="n"/>
      <c r="L1111" s="31" t="n"/>
      <c r="M1111" s="31" t="n"/>
      <c r="N1111" s="31" t="n"/>
    </row>
    <row r="1112">
      <c r="J1112" s="31" t="n"/>
      <c r="K1112" s="31" t="n"/>
      <c r="L1112" s="31" t="n"/>
      <c r="M1112" s="31" t="n"/>
      <c r="N1112" s="31" t="n"/>
    </row>
    <row r="1113">
      <c r="J1113" s="31" t="n"/>
      <c r="K1113" s="31" t="n"/>
      <c r="L1113" s="31" t="n"/>
      <c r="M1113" s="31" t="n"/>
      <c r="N1113" s="31" t="n"/>
    </row>
    <row r="1114">
      <c r="J1114" s="31" t="n"/>
      <c r="K1114" s="31" t="n"/>
      <c r="L1114" s="31" t="n"/>
      <c r="M1114" s="31" t="n"/>
      <c r="N1114" s="31" t="n"/>
    </row>
    <row r="1115">
      <c r="J1115" s="31" t="n"/>
      <c r="K1115" s="31" t="n"/>
      <c r="L1115" s="31" t="n"/>
      <c r="M1115" s="31" t="n"/>
      <c r="N1115" s="31" t="n"/>
    </row>
    <row r="1116">
      <c r="J1116" s="31" t="n"/>
      <c r="K1116" s="31" t="n"/>
      <c r="L1116" s="31" t="n"/>
      <c r="M1116" s="31" t="n"/>
      <c r="N1116" s="31" t="n"/>
    </row>
    <row r="1117">
      <c r="J1117" s="31" t="n"/>
      <c r="K1117" s="31" t="n"/>
      <c r="L1117" s="31" t="n"/>
      <c r="M1117" s="31" t="n"/>
      <c r="N1117" s="31" t="n"/>
    </row>
    <row r="1118">
      <c r="J1118" s="31" t="n"/>
      <c r="K1118" s="31" t="n"/>
      <c r="L1118" s="31" t="n"/>
      <c r="M1118" s="31" t="n"/>
      <c r="N1118" s="31" t="n"/>
    </row>
    <row r="1119">
      <c r="J1119" s="31" t="n"/>
      <c r="K1119" s="31" t="n"/>
      <c r="L1119" s="31" t="n"/>
      <c r="M1119" s="31" t="n"/>
      <c r="N1119" s="31" t="n"/>
    </row>
    <row r="1120">
      <c r="J1120" s="31" t="n"/>
      <c r="K1120" s="31" t="n"/>
      <c r="L1120" s="31" t="n"/>
      <c r="M1120" s="31" t="n"/>
      <c r="N1120" s="31" t="n"/>
    </row>
    <row r="1121">
      <c r="J1121" s="31" t="n"/>
      <c r="K1121" s="31" t="n"/>
      <c r="L1121" s="31" t="n"/>
      <c r="M1121" s="31" t="n"/>
      <c r="N1121" s="31" t="n"/>
    </row>
    <row r="1122">
      <c r="J1122" s="31" t="n"/>
      <c r="K1122" s="31" t="n"/>
      <c r="L1122" s="31" t="n"/>
      <c r="M1122" s="31" t="n"/>
      <c r="N1122" s="31" t="n"/>
    </row>
    <row r="1123">
      <c r="J1123" s="31" t="n"/>
      <c r="K1123" s="31" t="n"/>
      <c r="L1123" s="31" t="n"/>
      <c r="M1123" s="31" t="n"/>
      <c r="N1123" s="31" t="n"/>
    </row>
    <row r="1124">
      <c r="J1124" s="31" t="n"/>
      <c r="K1124" s="31" t="n"/>
      <c r="L1124" s="31" t="n"/>
      <c r="M1124" s="31" t="n"/>
      <c r="N1124" s="31" t="n"/>
    </row>
    <row r="1125">
      <c r="J1125" s="31" t="n"/>
      <c r="K1125" s="31" t="n"/>
      <c r="L1125" s="31" t="n"/>
      <c r="M1125" s="31" t="n"/>
      <c r="N1125" s="31" t="n"/>
    </row>
    <row r="1126">
      <c r="J1126" s="31" t="n"/>
      <c r="K1126" s="31" t="n"/>
      <c r="L1126" s="31" t="n"/>
      <c r="M1126" s="31" t="n"/>
      <c r="N1126" s="31" t="n"/>
    </row>
    <row r="1127">
      <c r="J1127" s="31" t="n"/>
      <c r="K1127" s="31" t="n"/>
      <c r="L1127" s="31" t="n"/>
      <c r="M1127" s="31" t="n"/>
      <c r="N1127" s="31" t="n"/>
    </row>
    <row r="1128">
      <c r="J1128" s="31" t="n"/>
      <c r="K1128" s="31" t="n"/>
      <c r="L1128" s="31" t="n"/>
      <c r="M1128" s="31" t="n"/>
      <c r="N1128" s="31" t="n"/>
    </row>
    <row r="1129">
      <c r="J1129" s="31" t="n"/>
      <c r="K1129" s="31" t="n"/>
      <c r="L1129" s="31" t="n"/>
      <c r="M1129" s="31" t="n"/>
      <c r="N1129" s="31" t="n"/>
    </row>
    <row r="1130">
      <c r="J1130" s="31" t="n"/>
      <c r="K1130" s="31" t="n"/>
      <c r="L1130" s="31" t="n"/>
      <c r="M1130" s="31" t="n"/>
      <c r="N1130" s="31" t="n"/>
    </row>
    <row r="1131">
      <c r="J1131" s="31" t="n"/>
      <c r="K1131" s="31" t="n"/>
      <c r="L1131" s="31" t="n"/>
      <c r="M1131" s="31" t="n"/>
      <c r="N1131" s="31" t="n"/>
    </row>
    <row r="1132">
      <c r="J1132" s="31" t="n"/>
      <c r="K1132" s="31" t="n"/>
      <c r="L1132" s="31" t="n"/>
      <c r="M1132" s="31" t="n"/>
      <c r="N1132" s="31" t="n"/>
    </row>
    <row r="1133">
      <c r="J1133" s="35" t="n"/>
      <c r="K1133" s="35" t="n"/>
      <c r="L1133" s="35" t="n"/>
      <c r="M1133" s="35" t="n"/>
      <c r="N1133" s="35" t="n"/>
    </row>
    <row r="1134">
      <c r="J1134" s="31" t="n"/>
      <c r="K1134" s="31" t="n"/>
      <c r="L1134" s="31" t="n"/>
      <c r="M1134" s="31" t="n"/>
      <c r="N1134" s="31" t="n"/>
    </row>
    <row r="1135">
      <c r="J1135" s="31" t="n"/>
      <c r="K1135" s="31" t="n"/>
      <c r="L1135" s="31" t="n"/>
      <c r="M1135" s="31" t="n"/>
      <c r="N1135" s="31" t="n"/>
    </row>
    <row r="1136">
      <c r="J1136" s="31" t="n"/>
      <c r="K1136" s="31" t="n"/>
      <c r="L1136" s="31" t="n"/>
      <c r="M1136" s="31" t="n"/>
      <c r="N1136" s="31" t="n"/>
    </row>
    <row r="1137">
      <c r="J1137" s="31" t="n"/>
      <c r="K1137" s="31" t="n"/>
      <c r="L1137" s="31" t="n"/>
      <c r="M1137" s="31" t="n"/>
      <c r="N1137" s="31" t="n"/>
    </row>
    <row r="1138">
      <c r="J1138" s="31" t="n"/>
      <c r="K1138" s="31" t="n"/>
      <c r="L1138" s="31" t="n"/>
      <c r="M1138" s="31" t="n"/>
      <c r="N1138" s="31" t="n"/>
    </row>
    <row r="1139">
      <c r="J1139" s="31" t="n"/>
      <c r="K1139" s="31" t="n"/>
      <c r="L1139" s="31" t="n"/>
      <c r="M1139" s="31" t="n"/>
      <c r="N1139" s="31" t="n"/>
    </row>
    <row r="1140">
      <c r="J1140" s="31" t="n"/>
      <c r="K1140" s="31" t="n"/>
      <c r="L1140" s="31" t="n"/>
      <c r="M1140" s="31" t="n"/>
      <c r="N1140" s="31" t="n"/>
    </row>
    <row r="1141">
      <c r="J1141" s="31" t="n"/>
      <c r="K1141" s="31" t="n"/>
      <c r="L1141" s="31" t="n"/>
      <c r="M1141" s="31" t="n"/>
      <c r="N1141" s="31" t="n"/>
    </row>
    <row r="1142">
      <c r="J1142" s="31" t="n"/>
      <c r="K1142" s="31" t="n"/>
      <c r="L1142" s="31" t="n"/>
      <c r="M1142" s="31" t="n"/>
      <c r="N1142" s="31" t="n"/>
    </row>
    <row r="1143">
      <c r="J1143" s="31" t="n"/>
      <c r="K1143" s="31" t="n"/>
      <c r="L1143" s="31" t="n"/>
      <c r="M1143" s="31" t="n"/>
      <c r="N1143" s="31" t="n"/>
    </row>
    <row r="1144">
      <c r="J1144" s="31" t="n"/>
      <c r="K1144" s="31" t="n"/>
      <c r="L1144" s="31" t="n"/>
      <c r="M1144" s="31" t="n"/>
      <c r="N1144" s="31" t="n"/>
    </row>
    <row r="1145">
      <c r="J1145" s="31" t="n"/>
      <c r="K1145" s="31" t="n"/>
      <c r="L1145" s="31" t="n"/>
      <c r="M1145" s="31" t="n"/>
      <c r="N1145" s="31" t="n"/>
    </row>
    <row r="1146">
      <c r="J1146" s="31" t="n"/>
      <c r="K1146" s="31" t="n"/>
      <c r="L1146" s="31" t="n"/>
      <c r="M1146" s="31" t="n"/>
      <c r="N1146" s="31" t="n"/>
    </row>
    <row r="1147">
      <c r="J1147" s="31" t="n"/>
      <c r="K1147" s="31" t="n"/>
      <c r="L1147" s="31" t="n"/>
      <c r="M1147" s="31" t="n"/>
      <c r="N1147" s="31" t="n"/>
    </row>
  </sheetData>
  <conditionalFormatting sqref="A1:A1048576">
    <cfRule type="duplicateValues" priority="1" dxfId="1"/>
  </conditionalFormatting>
  <pageMargins left="0.2362204724409449" right="0.2362204724409449" top="0.5905511811023623" bottom="0.3937007874015748" header="0.3149606299212598" footer="0.3149606299212598"/>
  <pageSetup orientation="landscape" paperSize="9" scale="41" fitToHeight="5" horizontalDpi="90" verticalDpi="9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6">
    <outlinePr summaryBelow="1" summaryRight="1"/>
    <pageSetUpPr/>
  </sheetPr>
  <dimension ref="A1:AA769"/>
  <sheetViews>
    <sheetView zoomScaleNormal="100" workbookViewId="0">
      <selection activeCell="A1" sqref="A1"/>
    </sheetView>
  </sheetViews>
  <sheetFormatPr baseColWidth="8" defaultRowHeight="14.4"/>
  <cols>
    <col width="10.77734375" customWidth="1" min="2" max="2"/>
    <col width="14.21875" customWidth="1" min="3" max="3"/>
    <col width="12.77734375" customWidth="1" min="4" max="4"/>
    <col width="14.5546875" customWidth="1" min="5" max="5"/>
    <col width="13.77734375" customWidth="1" min="6" max="6"/>
    <col width="13" customWidth="1" min="7" max="7"/>
    <col width="11.44140625" customWidth="1" min="8" max="8"/>
    <col width="13" customWidth="1" min="9" max="9"/>
    <col width="9.5546875" customWidth="1" min="10" max="10"/>
    <col width="9.21875" customWidth="1" style="55" min="11" max="11"/>
    <col width="27.5546875" customWidth="1" style="55" min="12" max="12"/>
    <col width="28.77734375" customWidth="1" style="55" min="13" max="13"/>
    <col width="12" customWidth="1" style="56" min="14" max="14"/>
    <col width="13.77734375" customWidth="1" min="15" max="15"/>
    <col width="15.21875" customWidth="1" min="16" max="16"/>
    <col width="28.77734375" customWidth="1" min="17" max="17"/>
    <col width="15.21875" customWidth="1" min="18" max="18"/>
    <col width="27" customWidth="1" min="19" max="19"/>
    <col width="10.77734375" customWidth="1" min="20" max="20"/>
    <col width="15.77734375" customWidth="1" min="21" max="21"/>
    <col width="13.21875" customWidth="1" min="22" max="22"/>
    <col width="28.77734375" customWidth="1" style="56" min="23" max="23"/>
    <col width="30" customWidth="1" style="56" min="24" max="24"/>
    <col width="30" customWidth="1" min="25" max="25"/>
    <col width="30" customWidth="1" min="26" max="26"/>
    <col width="24" customWidth="1" min="27" max="27"/>
  </cols>
  <sheetData>
    <row r="1">
      <c r="A1" t="inlineStr">
        <is>
          <t>ISIN</t>
        </is>
      </c>
      <c r="B1" t="inlineStr">
        <is>
          <t>List</t>
        </is>
      </c>
      <c r="C1" t="inlineStr">
        <is>
          <t>Company</t>
        </is>
      </c>
      <c r="D1" t="inlineStr">
        <is>
          <t>Coupon</t>
        </is>
      </c>
      <c r="E1" t="inlineStr">
        <is>
          <t>Structure</t>
        </is>
      </c>
      <c r="F1" t="inlineStr">
        <is>
          <t>Maturity</t>
        </is>
      </c>
      <c r="G1" t="inlineStr">
        <is>
          <t>Country</t>
        </is>
      </c>
      <c r="H1" t="inlineStr">
        <is>
          <t>Sector</t>
        </is>
      </c>
      <c r="I1" t="inlineStr">
        <is>
          <t>Den. (k)</t>
        </is>
      </c>
      <c r="J1" t="inlineStr">
        <is>
          <t>Price</t>
        </is>
      </c>
      <c r="K1" s="55" t="inlineStr">
        <is>
          <t>YTW</t>
        </is>
      </c>
      <c r="L1" s="55" t="inlineStr">
        <is>
          <t>YTW - 1 week change</t>
        </is>
      </c>
      <c r="M1" s="55" t="inlineStr">
        <is>
          <t>YTW - 1 month change</t>
        </is>
      </c>
      <c r="N1" s="56" t="inlineStr">
        <is>
          <t>Spread</t>
        </is>
      </c>
      <c r="O1" t="inlineStr">
        <is>
          <t>Dur.</t>
        </is>
      </c>
      <c r="P1" t="inlineStr">
        <is>
          <t>Ind LV.</t>
        </is>
      </c>
      <c r="Q1" t="inlineStr">
        <is>
          <t>Company Description</t>
        </is>
      </c>
      <c r="R1" t="inlineStr">
        <is>
          <t>Currency</t>
        </is>
      </c>
      <c r="S1" t="inlineStr">
        <is>
          <t>Bond Classification</t>
        </is>
      </c>
      <c r="T1" t="inlineStr">
        <is>
          <t>rating</t>
        </is>
      </c>
      <c r="U1" t="inlineStr">
        <is>
          <t>Tax Group</t>
        </is>
      </c>
      <c r="V1" t="inlineStr">
        <is>
          <t>Column1</t>
        </is>
      </c>
      <c r="W1" s="56" t="inlineStr">
        <is>
          <t>Spread change 1 week</t>
        </is>
      </c>
      <c r="X1" s="56" t="inlineStr">
        <is>
          <t>Spread change 1 month</t>
        </is>
      </c>
      <c r="Y1" s="74" t="inlineStr">
        <is>
          <t>Spread change since 14.07.2026</t>
        </is>
      </c>
      <c r="Z1" s="74" t="inlineStr">
        <is>
          <t>YTW change since 14.07.2026</t>
        </is>
      </c>
      <c r="AA1" s="74" t="inlineStr">
        <is>
          <t>Spread on 14.07.2026</t>
        </is>
      </c>
    </row>
    <row r="2">
      <c r="W2" s="56" t="n">
        <v>4.760330822651603</v>
      </c>
      <c r="X2" s="56" t="n">
        <v>13.57480037597369</v>
      </c>
    </row>
    <row r="3">
      <c r="W3" s="56" t="n">
        <v>3.709037380160524</v>
      </c>
      <c r="X3" s="56" t="n">
        <v>10.07342283425956</v>
      </c>
    </row>
    <row r="4">
      <c r="F4" s="48" t="n"/>
      <c r="W4" s="56" t="n">
        <v>21.88538055021642</v>
      </c>
      <c r="X4" s="56" t="n">
        <v>26.41094759000808</v>
      </c>
    </row>
    <row r="5">
      <c r="F5" s="48" t="n"/>
      <c r="W5" s="56" t="n">
        <v>17.48325283983725</v>
      </c>
      <c r="X5" s="56" t="n">
        <v>26.65552499225339</v>
      </c>
    </row>
    <row r="6">
      <c r="F6" s="48" t="n"/>
      <c r="W6" s="56" t="n">
        <v>8.625357155049116</v>
      </c>
      <c r="X6" s="56" t="n">
        <v>22.23781459879127</v>
      </c>
    </row>
    <row r="7">
      <c r="F7" s="48" t="n"/>
      <c r="W7" s="56" t="n">
        <v>9.109867979865996</v>
      </c>
      <c r="X7" s="56" t="n">
        <v>19.32965635304252</v>
      </c>
    </row>
    <row r="8">
      <c r="W8" s="56" t="n">
        <v>4.348701609616839</v>
      </c>
      <c r="X8" s="56" t="n">
        <v>24.09927019102712</v>
      </c>
    </row>
    <row r="9">
      <c r="W9" s="56" t="n">
        <v>11.129916442184</v>
      </c>
      <c r="X9" s="56" t="n">
        <v>26.0567246852526</v>
      </c>
    </row>
    <row r="10">
      <c r="F10" s="48" t="n"/>
      <c r="W10" s="56" t="n">
        <v>5.538616600966634</v>
      </c>
      <c r="X10" s="56" t="n">
        <v>19.90790488821959</v>
      </c>
    </row>
    <row r="11">
      <c r="F11" s="48" t="n"/>
      <c r="W11" s="56" t="n">
        <v>0.3067605464248686</v>
      </c>
      <c r="X11" s="56" t="n">
        <v>9.628426101230751</v>
      </c>
    </row>
    <row r="12">
      <c r="F12" s="48" t="n"/>
      <c r="W12" s="56" t="n">
        <v>-2.211216865625566</v>
      </c>
      <c r="X12" s="56" t="n">
        <v>3.22127729300724</v>
      </c>
    </row>
    <row r="13">
      <c r="F13" s="48" t="n"/>
      <c r="W13" s="56" t="n">
        <v>14.96451265883309</v>
      </c>
      <c r="X13" s="56" t="n">
        <v>23.31045828644631</v>
      </c>
    </row>
    <row r="14">
      <c r="W14" s="56" t="n">
        <v>19.85679647084068</v>
      </c>
      <c r="X14" s="56" t="n">
        <v>33.69540258520153</v>
      </c>
    </row>
    <row r="15">
      <c r="W15" s="56" t="n">
        <v>-30.94813413847953</v>
      </c>
      <c r="X15" s="56" t="n">
        <v>-1.171960595385357</v>
      </c>
    </row>
    <row r="16">
      <c r="F16" s="48" t="n"/>
      <c r="W16" s="56" t="n">
        <v>5.393248135721109</v>
      </c>
      <c r="X16" s="56" t="n">
        <v>7.411336214042024</v>
      </c>
    </row>
    <row r="17">
      <c r="F17" s="48" t="n"/>
      <c r="W17" s="56" t="n">
        <v>-3.171632526550383</v>
      </c>
      <c r="X17" s="56" t="n">
        <v>19.61586625112255</v>
      </c>
    </row>
    <row r="18">
      <c r="U18" t="inlineStr">
        <is>
          <t>Non-Domestic</t>
        </is>
      </c>
      <c r="W18" s="56" t="n">
        <v>1.921723638456839</v>
      </c>
      <c r="X18" s="56" t="n">
        <v>8.666176069495911</v>
      </c>
    </row>
    <row r="19">
      <c r="W19" s="56" t="n">
        <v>-25.35915634808009</v>
      </c>
      <c r="X19" s="56" t="n">
        <v>-41.93351218334112</v>
      </c>
    </row>
    <row r="20">
      <c r="W20" s="56" t="n">
        <v>-0.5165982090455827</v>
      </c>
      <c r="X20" s="56" t="n">
        <v>5.714859733472025</v>
      </c>
    </row>
    <row r="21">
      <c r="W21" s="56" t="n">
        <v>5.953572394860331</v>
      </c>
      <c r="X21" s="56" t="n">
        <v>16.4610485679697</v>
      </c>
    </row>
    <row r="22">
      <c r="W22" s="56" t="n">
        <v>5.658190038140091</v>
      </c>
      <c r="X22" s="56" t="n">
        <v>12.09626429289933</v>
      </c>
    </row>
    <row r="23">
      <c r="F23" s="48" t="n"/>
      <c r="W23" s="56" t="n">
        <v>3.902360687007615</v>
      </c>
      <c r="X23" s="56" t="n">
        <v>-1.13487127822593</v>
      </c>
    </row>
    <row r="24">
      <c r="W24" s="56" t="n">
        <v>-5.214175243398444</v>
      </c>
      <c r="X24" s="56" t="n">
        <v>5.06727548368184</v>
      </c>
    </row>
    <row r="25">
      <c r="W25" s="56" t="n">
        <v>4.681958394138746</v>
      </c>
      <c r="X25" s="56" t="n">
        <v>1.510352683714142</v>
      </c>
    </row>
    <row r="26">
      <c r="F26" s="48" t="n"/>
      <c r="W26" s="56" t="n">
        <v>52.09358364228413</v>
      </c>
      <c r="X26" s="56" t="n">
        <v>54.53376212242438</v>
      </c>
    </row>
    <row r="27">
      <c r="W27" s="56" t="n">
        <v>49.44436037689331</v>
      </c>
      <c r="X27" s="56" t="n">
        <v>44.64517518172849</v>
      </c>
    </row>
    <row r="28">
      <c r="W28" s="56" t="n">
        <v>0</v>
      </c>
      <c r="X28" s="56" t="n">
        <v>0.0008271256259249071</v>
      </c>
    </row>
    <row r="29">
      <c r="W29" s="56" t="n">
        <v>0</v>
      </c>
      <c r="X29" s="56" t="n">
        <v>0</v>
      </c>
    </row>
    <row r="30">
      <c r="W30" s="56" t="n">
        <v>22.75138568189958</v>
      </c>
      <c r="X30" s="56" t="n">
        <v>34.88183247467822</v>
      </c>
    </row>
    <row r="31">
      <c r="W31" s="56" t="n">
        <v>25.12231672441179</v>
      </c>
      <c r="X31" s="56" t="n">
        <v>38.7088908082321</v>
      </c>
    </row>
    <row r="32">
      <c r="W32" s="56" t="n">
        <v>-3.328129345253863</v>
      </c>
      <c r="X32" s="56" t="n">
        <v>-6.978592057090786</v>
      </c>
    </row>
    <row r="33">
      <c r="W33" s="56" t="n">
        <v>13.85049185842897</v>
      </c>
      <c r="X33" s="56" t="n">
        <v>18.30850267036338</v>
      </c>
    </row>
    <row r="34">
      <c r="F34" s="48" t="n"/>
      <c r="W34" s="56" t="n">
        <v>2.40865822607951</v>
      </c>
      <c r="X34" s="56" t="n">
        <v>5.980566628251026</v>
      </c>
    </row>
    <row r="35">
      <c r="W35" s="56" t="n">
        <v>-3.517543142756438</v>
      </c>
      <c r="X35" s="56" t="n">
        <v>0.5035800607963452</v>
      </c>
    </row>
    <row r="36">
      <c r="W36" s="56" t="n">
        <v>-2.665563040126912</v>
      </c>
      <c r="X36" s="56" t="n">
        <v>1.41796448049967</v>
      </c>
    </row>
    <row r="37">
      <c r="F37" s="48" t="n"/>
      <c r="W37" s="56" t="n">
        <v>8.112336666419147</v>
      </c>
      <c r="X37" s="56" t="n">
        <v>8.647293060505064</v>
      </c>
    </row>
    <row r="38">
      <c r="W38" s="56" t="n">
        <v>-3.951406044775723</v>
      </c>
      <c r="X38" s="56" t="n">
        <v>4.013235579548393</v>
      </c>
    </row>
    <row r="39">
      <c r="W39" s="56" t="n">
        <v>-5.147474665041294</v>
      </c>
      <c r="X39" s="56" t="n">
        <v>-0.324162881609972</v>
      </c>
    </row>
    <row r="40">
      <c r="W40" s="56" t="n">
        <v>-3.689014576269699</v>
      </c>
      <c r="X40" s="56" t="n">
        <v>3.642579142192524</v>
      </c>
    </row>
    <row r="41">
      <c r="W41" s="56" t="n">
        <v>27.29291995749766</v>
      </c>
      <c r="X41" s="56" t="n">
        <v>26.9728396211278</v>
      </c>
    </row>
    <row r="42">
      <c r="W42" s="56" t="n">
        <v>17.25510624097748</v>
      </c>
      <c r="X42" s="56" t="n">
        <v>22.20101221483376</v>
      </c>
    </row>
    <row r="43">
      <c r="F43" s="48" t="n"/>
      <c r="W43" s="56" t="n">
        <v>1.432299806118039</v>
      </c>
      <c r="X43" s="56" t="n">
        <v>0.2080501649842574</v>
      </c>
    </row>
    <row r="44">
      <c r="U44" t="inlineStr">
        <is>
          <t>Domestic</t>
        </is>
      </c>
      <c r="W44" s="56" t="n">
        <v>-0.4797160656876827</v>
      </c>
      <c r="X44" s="56" t="n">
        <v>6.030866641361811</v>
      </c>
    </row>
    <row r="45">
      <c r="W45" s="56" t="n">
        <v>1.251211770185236</v>
      </c>
      <c r="X45" s="56" t="n">
        <v>10.00230838990491</v>
      </c>
    </row>
    <row r="46">
      <c r="F46" s="48" t="n"/>
      <c r="W46" s="56" t="n">
        <v>-1.006180556078583</v>
      </c>
      <c r="X46" s="56" t="n">
        <v>11.73115132532935</v>
      </c>
    </row>
    <row r="47">
      <c r="W47" s="56" t="n">
        <v>-2.474725799741229</v>
      </c>
      <c r="X47" s="56" t="n">
        <v>6.155939300730935</v>
      </c>
    </row>
    <row r="48">
      <c r="W48" s="56" t="n">
        <v>-2.191573996542076</v>
      </c>
      <c r="X48" s="56" t="n">
        <v>13.16011961390551</v>
      </c>
    </row>
    <row r="49">
      <c r="W49" s="56" t="n">
        <v>-3.74663906416658</v>
      </c>
      <c r="X49" s="56" t="n">
        <v>-0.0008299795480439798</v>
      </c>
    </row>
    <row r="50">
      <c r="W50" s="56" t="n">
        <v>-4.369408138391748</v>
      </c>
      <c r="X50" s="56" t="n">
        <v>0</v>
      </c>
    </row>
    <row r="51">
      <c r="W51" s="56" t="n">
        <v>0</v>
      </c>
      <c r="X51" s="56" t="n">
        <v>0</v>
      </c>
    </row>
    <row r="52">
      <c r="W52" s="56" t="n">
        <v>0</v>
      </c>
      <c r="X52" s="56" t="n">
        <v>0</v>
      </c>
    </row>
    <row r="53">
      <c r="W53" s="56" t="n">
        <v>19.17970344756915</v>
      </c>
      <c r="X53" s="56" t="n">
        <v>22.75881581455531</v>
      </c>
    </row>
    <row r="54">
      <c r="W54" s="56" t="n">
        <v>12.51580153501537</v>
      </c>
      <c r="X54" s="56" t="n">
        <v>24.96592775731857</v>
      </c>
    </row>
    <row r="55">
      <c r="W55" s="56" t="n">
        <v>9.466546450064584</v>
      </c>
      <c r="X55" s="56" t="n">
        <v>9.241966385176376</v>
      </c>
    </row>
    <row r="56">
      <c r="W56" s="56" t="n">
        <v>1.835598649168546</v>
      </c>
      <c r="X56" s="56" t="n">
        <v>6.51683884502836</v>
      </c>
    </row>
    <row r="57">
      <c r="W57" s="56" t="n">
        <v>14.8961391156879</v>
      </c>
      <c r="X57" s="56" t="n">
        <v>21.88110945933245</v>
      </c>
    </row>
    <row r="58">
      <c r="W58" s="56" t="n">
        <v>41.27070334638665</v>
      </c>
      <c r="X58" s="56" t="n">
        <v>123.9415732656169</v>
      </c>
    </row>
    <row r="59">
      <c r="F59" s="48" t="n"/>
      <c r="W59" s="56" t="n">
        <v>3.46789694550835</v>
      </c>
      <c r="X59" s="56" t="n">
        <v>19.81874574911894</v>
      </c>
    </row>
    <row r="60">
      <c r="F60" s="48" t="n"/>
      <c r="W60" s="56" t="n">
        <v>3.09102286599645</v>
      </c>
      <c r="X60" s="56" t="n">
        <v>16.43976520639581</v>
      </c>
    </row>
    <row r="61">
      <c r="F61" s="48" t="n"/>
      <c r="W61" s="56" t="n">
        <v>0.2518230903385899</v>
      </c>
      <c r="X61" s="56" t="n">
        <v>18.44551417536148</v>
      </c>
    </row>
    <row r="62">
      <c r="W62" s="56" t="n">
        <v>5.634853412882968</v>
      </c>
      <c r="X62" s="56" t="n">
        <v>14.23910100666784</v>
      </c>
    </row>
    <row r="63">
      <c r="W63" s="56" t="n">
        <v>-0.4069509645074447</v>
      </c>
      <c r="X63" s="56" t="n">
        <v>1.170598448161329</v>
      </c>
    </row>
    <row r="64">
      <c r="W64" s="56" t="n">
        <v>5.297641106634529</v>
      </c>
      <c r="X64" s="56" t="n">
        <v>17.90509194123678</v>
      </c>
    </row>
    <row r="65">
      <c r="W65" s="56" t="n">
        <v>12.11402321445244</v>
      </c>
      <c r="X65" s="56" t="n">
        <v>21.33184929324413</v>
      </c>
    </row>
    <row r="66">
      <c r="F66" s="48" t="n"/>
      <c r="W66" s="56" t="n">
        <v>26.24171079118972</v>
      </c>
      <c r="X66" s="56" t="n">
        <v>29.09543810604096</v>
      </c>
    </row>
    <row r="67">
      <c r="F67" s="48" t="n"/>
      <c r="W67" s="56" t="n">
        <v>10.8975663629479</v>
      </c>
      <c r="X67" s="56" t="n">
        <v>6.868812637518786</v>
      </c>
    </row>
    <row r="68">
      <c r="W68" s="56" t="n">
        <v>7.795947748106741</v>
      </c>
      <c r="X68" s="56" t="n">
        <v>10.78088420620363</v>
      </c>
    </row>
    <row r="69">
      <c r="W69" s="56" t="n">
        <v>-1.410177899026849</v>
      </c>
      <c r="X69" s="56" t="n">
        <v>0.8257277895329977</v>
      </c>
    </row>
    <row r="70">
      <c r="W70" s="56" t="n">
        <v>16.32153487082954</v>
      </c>
      <c r="X70" s="56" t="n">
        <v>19.49081467443325</v>
      </c>
    </row>
    <row r="71">
      <c r="F71" s="48" t="n"/>
      <c r="W71" s="56" t="n">
        <v>-0.9306645155516549</v>
      </c>
      <c r="X71" s="56" t="n">
        <v>23.38388368626528</v>
      </c>
    </row>
    <row r="72">
      <c r="F72" s="48" t="n"/>
      <c r="W72" s="56" t="n">
        <v>5.563019937990589</v>
      </c>
      <c r="X72" s="56" t="n">
        <v>31.81226138344633</v>
      </c>
    </row>
    <row r="73">
      <c r="W73" s="56" t="n">
        <v>5.599979455934459</v>
      </c>
      <c r="X73" s="56" t="n">
        <v>32.71996565689065</v>
      </c>
    </row>
    <row r="74">
      <c r="F74" s="48" t="n"/>
      <c r="W74" s="56" t="n">
        <v>4.144393065843531</v>
      </c>
      <c r="X74" s="56" t="n">
        <v>17.68063161335826</v>
      </c>
    </row>
    <row r="75">
      <c r="W75" s="56" t="n">
        <v>2.218081551790434</v>
      </c>
      <c r="X75" s="56" t="n">
        <v>11.37400107599129</v>
      </c>
    </row>
    <row r="76">
      <c r="F76" s="48" t="n"/>
      <c r="W76" s="56" t="n">
        <v>-2.940685005634148</v>
      </c>
      <c r="X76" s="56" t="n">
        <v>2.367401673974879</v>
      </c>
    </row>
    <row r="77">
      <c r="F77" s="48" t="n"/>
      <c r="W77" s="56" t="n">
        <v>-0.1184647394241694</v>
      </c>
      <c r="X77" s="56" t="n">
        <v>5.398728891250428</v>
      </c>
    </row>
    <row r="78">
      <c r="F78" s="48" t="n"/>
      <c r="W78" s="56" t="n">
        <v>-3.639577768302374</v>
      </c>
      <c r="X78" s="56" t="n">
        <v>4.21372094284267</v>
      </c>
    </row>
    <row r="79">
      <c r="F79" s="48" t="n"/>
      <c r="W79" s="56" t="n">
        <v>6.928169942595304</v>
      </c>
      <c r="X79" s="56" t="n">
        <v>10.75764341901075</v>
      </c>
    </row>
    <row r="80">
      <c r="W80" s="56" t="n">
        <v>34.57088089967564</v>
      </c>
      <c r="X80" s="56" t="n">
        <v>48.45195598245891</v>
      </c>
    </row>
    <row r="81">
      <c r="W81" s="56" t="n">
        <v>15.36805776755341</v>
      </c>
      <c r="X81" s="56" t="n">
        <v>21.69335564617548</v>
      </c>
    </row>
    <row r="82">
      <c r="U82" t="inlineStr">
        <is>
          <t>Non-Domestic</t>
        </is>
      </c>
      <c r="W82" s="56" t="n">
        <v>1.963249168532897</v>
      </c>
      <c r="X82" s="56" t="n">
        <v>6.310668587258277</v>
      </c>
    </row>
    <row r="83">
      <c r="W83" s="56" t="n">
        <v>5.089899193715695</v>
      </c>
      <c r="X83" s="56" t="n">
        <v>-17.29821342795793</v>
      </c>
    </row>
    <row r="84">
      <c r="W84" s="56" t="n">
        <v>0.8003028570444002</v>
      </c>
      <c r="X84" s="56" t="n">
        <v>16.07068048661256</v>
      </c>
    </row>
    <row r="85">
      <c r="W85" s="56" t="n">
        <v>12.64531509557921</v>
      </c>
      <c r="X85" s="56" t="n">
        <v>-7.881043513884748</v>
      </c>
    </row>
    <row r="86">
      <c r="F86" s="48" t="n"/>
      <c r="W86" s="56" t="n">
        <v>-3.911598284978169</v>
      </c>
      <c r="X86" s="56" t="n">
        <v>-15.87258827611359</v>
      </c>
    </row>
    <row r="87">
      <c r="W87" s="56" t="n">
        <v>18.32413856972585</v>
      </c>
      <c r="X87" s="56" t="n">
        <v>-4.442533861942024</v>
      </c>
    </row>
    <row r="88">
      <c r="W88" s="56" t="n">
        <v>26.18440332793674</v>
      </c>
      <c r="X88" s="56" t="n">
        <v>7.123956861189924</v>
      </c>
    </row>
    <row r="89">
      <c r="W89" s="56" t="n">
        <v>8.573010516590372</v>
      </c>
      <c r="X89" s="56" t="n">
        <v>2.800080513584064</v>
      </c>
    </row>
    <row r="90">
      <c r="W90" s="56" t="n">
        <v>23.51188250573067</v>
      </c>
      <c r="X90" s="56" t="n">
        <v>31.85505315933838</v>
      </c>
    </row>
    <row r="91">
      <c r="F91" s="48" t="n"/>
      <c r="W91" s="56" t="n">
        <v>-2.681367869807389</v>
      </c>
      <c r="X91" s="56" t="n">
        <v>-18.52274860121577</v>
      </c>
    </row>
    <row r="92">
      <c r="W92" s="56" t="n">
        <v>1.328451095669834</v>
      </c>
      <c r="X92" s="56" t="n">
        <v>-15.77175269048047</v>
      </c>
    </row>
    <row r="93">
      <c r="W93" s="56" t="n">
        <v>2.095586611290685</v>
      </c>
      <c r="X93" s="56" t="n">
        <v>-10.76219475997638</v>
      </c>
    </row>
    <row r="94">
      <c r="W94" s="56" t="n">
        <v>-2.039360903791675</v>
      </c>
      <c r="X94" s="56" t="n">
        <v>21.82234718665816</v>
      </c>
    </row>
    <row r="95">
      <c r="F95" s="48" t="n"/>
      <c r="W95" s="56" t="n">
        <v>4.810395717628097</v>
      </c>
      <c r="X95" s="56" t="n">
        <v>11.37414050318895</v>
      </c>
    </row>
    <row r="96">
      <c r="W96" s="56" t="n">
        <v>2.61560832530823</v>
      </c>
      <c r="X96" s="56" t="n">
        <v>5.335794933980907</v>
      </c>
    </row>
    <row r="97">
      <c r="W97" s="56" t="n">
        <v>6.402070537518142</v>
      </c>
      <c r="X97" s="56" t="n">
        <v>3.619366105973072</v>
      </c>
    </row>
    <row r="98">
      <c r="W98" s="56" t="n">
        <v>23.69282065467699</v>
      </c>
      <c r="X98" s="56" t="n">
        <v>26.91590039549484</v>
      </c>
    </row>
    <row r="99">
      <c r="W99" s="56" t="n">
        <v>-2.898753612795019</v>
      </c>
      <c r="X99" s="56" t="n">
        <v>12.69858704215683</v>
      </c>
    </row>
    <row r="100">
      <c r="W100" s="56" t="n">
        <v>5.599376078216409</v>
      </c>
      <c r="X100" s="56" t="n">
        <v>12.80445227668952</v>
      </c>
    </row>
    <row r="101">
      <c r="W101" s="56" t="n">
        <v>2.076548841360392</v>
      </c>
      <c r="X101" s="56" t="n">
        <v>14.54575163069296</v>
      </c>
    </row>
    <row r="102">
      <c r="F102" s="48" t="n"/>
      <c r="W102" s="56" t="n">
        <v>6.257374109557482</v>
      </c>
      <c r="X102" s="56" t="n">
        <v>17.30008381729913</v>
      </c>
    </row>
    <row r="103">
      <c r="F103" s="48" t="n"/>
      <c r="W103" s="56" t="n">
        <v>6.436146581800145</v>
      </c>
      <c r="X103" s="56" t="n">
        <v>9.545857126235902</v>
      </c>
    </row>
    <row r="104">
      <c r="W104" s="56" t="n">
        <v>3.836297261995654</v>
      </c>
      <c r="X104" s="56" t="n">
        <v>16.38586384113437</v>
      </c>
    </row>
    <row r="105">
      <c r="F105" s="48" t="n"/>
      <c r="W105" s="56" t="n">
        <v>-1.177410098893333</v>
      </c>
      <c r="X105" s="56" t="n">
        <v>11.53054296375686</v>
      </c>
    </row>
    <row r="106">
      <c r="W106" s="56" t="n">
        <v>3.240331390890461</v>
      </c>
      <c r="X106" s="56" t="n">
        <v>20.77523929663175</v>
      </c>
    </row>
    <row r="107">
      <c r="W107" s="56" t="n">
        <v>8.297540407831221</v>
      </c>
      <c r="X107" s="56" t="n">
        <v>17.8396902673459</v>
      </c>
    </row>
    <row r="108">
      <c r="F108" s="48" t="n"/>
      <c r="W108" s="56" t="n">
        <v>5.935778701138148</v>
      </c>
      <c r="X108" s="56" t="n">
        <v>10.15467772438396</v>
      </c>
    </row>
    <row r="109">
      <c r="W109" s="56" t="n">
        <v>23.28283233355063</v>
      </c>
      <c r="X109" s="56" t="n">
        <v>31.87540886349405</v>
      </c>
    </row>
    <row r="110">
      <c r="W110" s="56" t="n">
        <v>2.166533396439576</v>
      </c>
      <c r="X110" s="56" t="n">
        <v>10.14224261570234</v>
      </c>
    </row>
    <row r="111">
      <c r="W111" s="56" t="n">
        <v>-7.729260255354944</v>
      </c>
      <c r="X111" s="56" t="n">
        <v>3.718951831669784</v>
      </c>
    </row>
    <row r="112">
      <c r="W112" s="56" t="n">
        <v>12.03886139307011</v>
      </c>
      <c r="X112" s="56" t="n">
        <v>23.91396606151093</v>
      </c>
    </row>
    <row r="113">
      <c r="F113" s="48" t="n"/>
      <c r="W113" s="56" t="n">
        <v>2.154386425458569</v>
      </c>
      <c r="X113" s="56" t="n">
        <v>28.44749594304743</v>
      </c>
    </row>
    <row r="114">
      <c r="W114" s="56" t="n">
        <v>5.001120871532663</v>
      </c>
      <c r="X114" s="56" t="n">
        <v>13.91306282323269</v>
      </c>
    </row>
    <row r="115">
      <c r="W115" s="56" t="n">
        <v>9.985480993331919</v>
      </c>
      <c r="X115" s="56" t="n">
        <v>11.92989666971104</v>
      </c>
    </row>
    <row r="116">
      <c r="W116" s="56" t="n">
        <v>0.8940455880413651</v>
      </c>
      <c r="X116" s="56" t="n">
        <v>10.23326875537553</v>
      </c>
    </row>
    <row r="117">
      <c r="W117" s="56" t="n">
        <v>10.37044865286649</v>
      </c>
      <c r="X117" s="56" t="n">
        <v>15.09722935119808</v>
      </c>
    </row>
    <row r="118">
      <c r="W118" s="56" t="n">
        <v>3.702394930770105</v>
      </c>
      <c r="X118" s="56" t="n">
        <v>7.858339302722435</v>
      </c>
    </row>
    <row r="119">
      <c r="F119" s="48" t="n"/>
      <c r="W119" s="56" t="n">
        <v>32.29766195409658</v>
      </c>
      <c r="X119" s="56" t="n">
        <v>24.01722427917306</v>
      </c>
    </row>
    <row r="120">
      <c r="W120" s="56" t="n">
        <v>-1.024540620063689</v>
      </c>
      <c r="X120" s="56" t="n">
        <v>5.778784977735576</v>
      </c>
    </row>
    <row r="121">
      <c r="W121" s="56" t="n">
        <v>2.253314781975085</v>
      </c>
      <c r="X121" s="56" t="n">
        <v>22.43011833444476</v>
      </c>
    </row>
    <row r="122">
      <c r="F122" s="48" t="n"/>
      <c r="W122" s="56" t="n">
        <v>13.71652435878953</v>
      </c>
      <c r="X122" s="56" t="n">
        <v>6.410863061792796</v>
      </c>
    </row>
    <row r="123">
      <c r="F123" s="48" t="n"/>
      <c r="W123" s="56" t="n">
        <v>17.38177982101557</v>
      </c>
      <c r="X123" s="56" t="n">
        <v>27.198000129805</v>
      </c>
    </row>
    <row r="124">
      <c r="W124" s="56" t="n">
        <v>8.79982491110335</v>
      </c>
      <c r="X124" s="56" t="n">
        <v>12.91715060350183</v>
      </c>
    </row>
    <row r="125">
      <c r="W125" s="56" t="n">
        <v>29.4968056604198</v>
      </c>
      <c r="X125" s="56" t="n">
        <v>44.8437912620665</v>
      </c>
    </row>
    <row r="126">
      <c r="F126" s="48" t="n"/>
      <c r="W126" s="56" t="n">
        <v>1.720487767034683</v>
      </c>
      <c r="X126" s="56" t="n">
        <v>14.09113530359086</v>
      </c>
    </row>
    <row r="127">
      <c r="F127" s="48" t="n"/>
      <c r="W127" s="56" t="n">
        <v>5.802608548460185</v>
      </c>
      <c r="X127" s="56" t="n">
        <v>16.54549571316959</v>
      </c>
    </row>
    <row r="128">
      <c r="F128" s="48" t="n"/>
      <c r="W128" s="56" t="n">
        <v>11.94276272359046</v>
      </c>
      <c r="X128" s="56" t="n">
        <v>28.89857217399492</v>
      </c>
    </row>
    <row r="129">
      <c r="U129" t="inlineStr">
        <is>
          <t>Non-Domestic</t>
        </is>
      </c>
      <c r="W129" s="56" t="n">
        <v>2.262415412804501</v>
      </c>
      <c r="X129" s="56" t="n">
        <v>7.930517763147364</v>
      </c>
    </row>
    <row r="130">
      <c r="U130" t="inlineStr">
        <is>
          <t>Non-Domestic</t>
        </is>
      </c>
      <c r="W130" s="56" t="n">
        <v>2.52229203310138</v>
      </c>
      <c r="X130" s="56" t="n">
        <v>-13.3702653143336</v>
      </c>
    </row>
    <row r="131">
      <c r="W131" s="56" t="n">
        <v>28.55918616932836</v>
      </c>
      <c r="X131" s="56" t="n">
        <v>38.3508738592398</v>
      </c>
    </row>
    <row r="132">
      <c r="W132" s="56" t="n">
        <v>6.367584034229438</v>
      </c>
      <c r="X132" s="56" t="n">
        <v>13.21225504220619</v>
      </c>
    </row>
    <row r="133">
      <c r="F133" s="48" t="n"/>
      <c r="W133" s="56" t="n">
        <v>4.53672080938999</v>
      </c>
      <c r="X133" s="56" t="n">
        <v>7.547122197355733</v>
      </c>
    </row>
    <row r="134">
      <c r="W134" s="56" t="n">
        <v>6.198615587602674</v>
      </c>
      <c r="X134" s="56" t="n">
        <v>6.722870041033318</v>
      </c>
    </row>
    <row r="135">
      <c r="W135" s="56" t="n">
        <v>-1.806876532711627</v>
      </c>
      <c r="X135" s="56" t="n">
        <v>11.23867280677166</v>
      </c>
    </row>
    <row r="136">
      <c r="W136" s="56" t="n">
        <v>0.6048468454998783</v>
      </c>
      <c r="X136" s="56" t="n">
        <v>19.82997770148543</v>
      </c>
    </row>
    <row r="137">
      <c r="F137" s="48" t="n"/>
      <c r="W137" s="56" t="n">
        <v>5.158966478534225</v>
      </c>
      <c r="X137" s="56" t="n">
        <v>10.03200506378324</v>
      </c>
    </row>
    <row r="138">
      <c r="F138" s="48" t="n"/>
      <c r="W138" s="56" t="n">
        <v>2.947213901014791</v>
      </c>
      <c r="X138" s="56" t="n">
        <v>8.400463327619271</v>
      </c>
    </row>
    <row r="139">
      <c r="W139" s="56" t="n">
        <v>-3.380073248910904</v>
      </c>
      <c r="X139" s="56" t="n">
        <v>0.1111064735251475</v>
      </c>
    </row>
    <row r="140">
      <c r="W140" s="56" t="n">
        <v>23.74833801798667</v>
      </c>
      <c r="X140" s="56" t="n">
        <v>27.81460540930779</v>
      </c>
    </row>
    <row r="141">
      <c r="F141" s="48" t="n"/>
      <c r="W141" s="56" t="n">
        <v>10.92837750855518</v>
      </c>
      <c r="X141" s="56" t="n">
        <v>13.44238232824269</v>
      </c>
    </row>
    <row r="142">
      <c r="W142" s="56" t="n">
        <v>8.883251040981122</v>
      </c>
      <c r="X142" s="56" t="n">
        <v>13.42370264119971</v>
      </c>
    </row>
    <row r="143">
      <c r="W143" s="56" t="n">
        <v>18.09966435156947</v>
      </c>
      <c r="X143" s="56" t="n">
        <v>9.368813822628994</v>
      </c>
    </row>
    <row r="144">
      <c r="W144" s="56" t="n">
        <v>0</v>
      </c>
      <c r="X144" s="56" t="n">
        <v>0</v>
      </c>
    </row>
    <row r="145">
      <c r="W145" s="56" t="n">
        <v>16.48432575572261</v>
      </c>
      <c r="X145" s="56" t="n">
        <v>22.40125481846233</v>
      </c>
    </row>
    <row r="146">
      <c r="W146" s="56" t="n">
        <v>6.889046637659924</v>
      </c>
      <c r="X146" s="56" t="n">
        <v>10.64605046640523</v>
      </c>
    </row>
    <row r="147">
      <c r="W147" s="56" t="n">
        <v>-1.237242922857533</v>
      </c>
      <c r="X147" s="56" t="n">
        <v>9.661117642178752</v>
      </c>
    </row>
    <row r="148">
      <c r="W148" s="56" t="n">
        <v>4.269633689368753</v>
      </c>
      <c r="X148" s="56" t="n">
        <v>8.97553775403162</v>
      </c>
    </row>
    <row r="149">
      <c r="W149" s="56" t="n">
        <v>-2.659960050460029</v>
      </c>
      <c r="X149" s="56" t="n">
        <v>-22.74618817212124</v>
      </c>
    </row>
    <row r="150">
      <c r="F150" s="48" t="n"/>
      <c r="W150" s="56" t="n">
        <v>3.83830020720545</v>
      </c>
      <c r="X150" s="56" t="n">
        <v>19.27813314767768</v>
      </c>
    </row>
    <row r="151">
      <c r="F151" s="48" t="n"/>
      <c r="W151" s="56" t="n">
        <v>-1.842909856165619</v>
      </c>
      <c r="X151" s="56" t="n">
        <v>21.39979571673472</v>
      </c>
    </row>
    <row r="152">
      <c r="W152" s="56" t="n">
        <v>8.971294515869786</v>
      </c>
      <c r="X152" s="56" t="n">
        <v>7.069541816826401</v>
      </c>
    </row>
    <row r="153">
      <c r="W153" s="56" t="n">
        <v>7.42903616708962</v>
      </c>
      <c r="X153" s="56" t="n">
        <v>13.02018910558432</v>
      </c>
    </row>
    <row r="154">
      <c r="F154" s="48" t="n"/>
      <c r="W154" s="56" t="n">
        <v>10.52322385072126</v>
      </c>
      <c r="X154" s="56" t="n">
        <v>25.83770714012881</v>
      </c>
    </row>
    <row r="155">
      <c r="W155" s="56" t="n">
        <v>1.926052802760552</v>
      </c>
      <c r="X155" s="56" t="n">
        <v>10.19312678197662</v>
      </c>
    </row>
    <row r="156">
      <c r="F156" s="48" t="n"/>
      <c r="W156" s="56" t="n">
        <v>15.06877301419004</v>
      </c>
      <c r="X156" s="56" t="n">
        <v>26.50501164555837</v>
      </c>
    </row>
    <row r="157">
      <c r="W157" s="56" t="n">
        <v>2.809038767588277</v>
      </c>
      <c r="X157" s="56" t="n">
        <v>11.63600782806007</v>
      </c>
    </row>
    <row r="158">
      <c r="W158" s="56" t="n">
        <v>3.144032041825724</v>
      </c>
      <c r="X158" s="56" t="n">
        <v>9.357498197445242</v>
      </c>
    </row>
    <row r="159">
      <c r="F159" s="48" t="n"/>
      <c r="W159" s="56" t="n">
        <v>2.650141656375595</v>
      </c>
      <c r="X159" s="56" t="n">
        <v>10.82177746616247</v>
      </c>
    </row>
    <row r="160">
      <c r="W160" s="56" t="n">
        <v>14.80097932590432</v>
      </c>
      <c r="X160" s="56" t="n">
        <v>28.6702967386743</v>
      </c>
    </row>
    <row r="161">
      <c r="W161" s="56" t="n">
        <v>16.331277680193</v>
      </c>
      <c r="X161" s="56" t="n">
        <v>20.21656822088622</v>
      </c>
    </row>
    <row r="162">
      <c r="W162" s="56" t="n">
        <v>4.538505022189383</v>
      </c>
      <c r="X162" s="56" t="n">
        <v>28.44177105496024</v>
      </c>
    </row>
    <row r="163">
      <c r="W163" s="56" t="n">
        <v>24.43738102561948</v>
      </c>
      <c r="X163" s="56" t="n">
        <v>27.46636322374761</v>
      </c>
    </row>
    <row r="164">
      <c r="W164" s="56" t="n">
        <v>27.71091088801344</v>
      </c>
      <c r="X164" s="56" t="n">
        <v>36.25448670729501</v>
      </c>
    </row>
    <row r="165">
      <c r="F165" s="48" t="n"/>
      <c r="W165" s="56" t="n">
        <v>5.222100289998806</v>
      </c>
      <c r="X165" s="56" t="n">
        <v>1.842692897974786</v>
      </c>
    </row>
    <row r="166">
      <c r="F166" s="48" t="n"/>
      <c r="W166" s="56" t="n">
        <v>8.506949144178122</v>
      </c>
      <c r="X166" s="56" t="n">
        <v>7.755882141028721</v>
      </c>
    </row>
    <row r="167">
      <c r="W167" s="56" t="n">
        <v>5.210754439165711</v>
      </c>
      <c r="X167" s="56" t="n">
        <v>8.634857781329288</v>
      </c>
    </row>
    <row r="168">
      <c r="F168" s="48" t="n"/>
      <c r="W168" s="56" t="n">
        <v>5.811494673228623</v>
      </c>
      <c r="X168" s="56" t="n">
        <v>2.493082842803062</v>
      </c>
    </row>
    <row r="169">
      <c r="W169" s="56" t="n">
        <v>19.65939924018542</v>
      </c>
      <c r="X169" s="56" t="n">
        <v>37.1142096000223</v>
      </c>
    </row>
    <row r="170">
      <c r="W170" s="56" t="n">
        <v>12.02848116157871</v>
      </c>
      <c r="X170" s="56" t="n">
        <v>17.67745894967699</v>
      </c>
    </row>
    <row r="171">
      <c r="W171" s="56" t="n">
        <v>1.887473254950862</v>
      </c>
      <c r="X171" s="56" t="n">
        <v>19.52168167588097</v>
      </c>
    </row>
    <row r="172">
      <c r="W172" s="56" t="n">
        <v>1.281096966734111</v>
      </c>
      <c r="X172" s="56" t="n">
        <v>16.47410536637962</v>
      </c>
    </row>
    <row r="173">
      <c r="F173" s="48" t="n"/>
      <c r="W173" s="56" t="n">
        <v>4.705424408520116</v>
      </c>
      <c r="X173" s="56" t="n">
        <v>15.7615513353778</v>
      </c>
    </row>
    <row r="174">
      <c r="W174" s="56" t="n">
        <v>3.064175914714781</v>
      </c>
      <c r="X174" s="56" t="n">
        <v>18.96650275348979</v>
      </c>
    </row>
    <row r="175">
      <c r="W175" s="56" t="n">
        <v>-1.689662040845576</v>
      </c>
      <c r="X175" s="56" t="n">
        <v>-14.47287992056044</v>
      </c>
    </row>
    <row r="176">
      <c r="W176" s="56" t="n">
        <v>-2.588959346792251</v>
      </c>
      <c r="X176" s="56" t="n">
        <v>0.8911530541523547</v>
      </c>
    </row>
    <row r="177">
      <c r="W177" s="56" t="n">
        <v>23.80307034963431</v>
      </c>
      <c r="X177" s="56" t="n">
        <v>42.80285844253694</v>
      </c>
    </row>
    <row r="178">
      <c r="W178" s="56" t="n">
        <v>4.435665130572474</v>
      </c>
      <c r="X178" s="56" t="n">
        <v>-6.878738558463752</v>
      </c>
    </row>
    <row r="179">
      <c r="W179" s="56" t="n">
        <v>7.23924595703815</v>
      </c>
      <c r="X179" s="56" t="n">
        <v>8.750288217014955</v>
      </c>
    </row>
    <row r="180">
      <c r="F180" s="48" t="n"/>
      <c r="W180" s="56" t="n">
        <v>14.15408702988071</v>
      </c>
      <c r="X180" s="56" t="n">
        <v>21.79896736723846</v>
      </c>
    </row>
    <row r="181">
      <c r="W181" s="56" t="n">
        <v>-2.955407078449269</v>
      </c>
      <c r="X181" s="56" t="n">
        <v>-1.345892030054898</v>
      </c>
    </row>
    <row r="182">
      <c r="W182" s="56" t="n">
        <v>21.83729576399564</v>
      </c>
      <c r="X182" s="56" t="n">
        <v>18.3874600298006</v>
      </c>
    </row>
    <row r="183">
      <c r="F183" s="48" t="n"/>
      <c r="W183" s="56" t="n">
        <v>2.780789252972205</v>
      </c>
      <c r="X183" s="56" t="n">
        <v>2.949818405822938</v>
      </c>
    </row>
    <row r="184">
      <c r="W184" s="56" t="n">
        <v>18.39529357937631</v>
      </c>
      <c r="X184" s="56" t="n">
        <v>16.02059326780719</v>
      </c>
    </row>
    <row r="185">
      <c r="W185" s="56" t="n">
        <v>1.317048159496181</v>
      </c>
      <c r="X185" s="56" t="n">
        <v>4.647824331932213</v>
      </c>
    </row>
    <row r="186">
      <c r="W186" s="56" t="n">
        <v>24.1551867635533</v>
      </c>
      <c r="X186" s="56" t="n">
        <v>30.72395267930309</v>
      </c>
    </row>
    <row r="187">
      <c r="W187" s="56" t="n">
        <v>7.261669871776093</v>
      </c>
      <c r="X187" s="56" t="n">
        <v>8.673869845709831</v>
      </c>
    </row>
    <row r="188">
      <c r="F188" s="48" t="n"/>
      <c r="W188" s="56" t="n">
        <v>0.1106629830035075</v>
      </c>
      <c r="X188" s="56" t="n">
        <v>13.74240514590594</v>
      </c>
    </row>
    <row r="189">
      <c r="W189" s="56" t="n">
        <v>5.091988902116697</v>
      </c>
      <c r="X189" s="56" t="n">
        <v>2.618510780189467</v>
      </c>
    </row>
    <row r="190">
      <c r="W190" s="56" t="n">
        <v>19.40156598607521</v>
      </c>
      <c r="X190" s="56" t="n">
        <v>45.21043207139346</v>
      </c>
    </row>
    <row r="191">
      <c r="W191" s="56" t="n">
        <v>18.32865955323101</v>
      </c>
      <c r="X191" s="56" t="n">
        <v>31.91669339060634</v>
      </c>
    </row>
    <row r="192">
      <c r="F192" s="48" t="n"/>
      <c r="W192" s="56" t="n">
        <v>-0.03596250316721239</v>
      </c>
      <c r="X192" s="56" t="n">
        <v>17.58974884521299</v>
      </c>
    </row>
    <row r="193">
      <c r="F193" s="48" t="n"/>
      <c r="W193" s="56" t="n">
        <v>1.428271603921345</v>
      </c>
      <c r="X193" s="56" t="n">
        <v>17.62607358476637</v>
      </c>
    </row>
    <row r="194">
      <c r="F194" s="48" t="n"/>
      <c r="W194" s="56" t="n">
        <v>6.608831367238295</v>
      </c>
      <c r="X194" s="56" t="n">
        <v>14.24248595290315</v>
      </c>
    </row>
    <row r="195">
      <c r="W195" s="56" t="n">
        <v>6.184196792150871</v>
      </c>
      <c r="X195" s="56" t="n">
        <v>6.353677860627485</v>
      </c>
    </row>
    <row r="196">
      <c r="F196" s="48" t="n"/>
      <c r="W196" s="56" t="n">
        <v>5.485691810748023</v>
      </c>
      <c r="X196" s="56" t="n">
        <v>8.012370402978036</v>
      </c>
    </row>
    <row r="197">
      <c r="F197" s="48" t="n"/>
      <c r="W197" s="56" t="n">
        <v>-5.990639075144486</v>
      </c>
      <c r="X197" s="56" t="n">
        <v>-27.66208280539165</v>
      </c>
    </row>
    <row r="198">
      <c r="W198" s="56" t="n">
        <v>2.742463773136521</v>
      </c>
      <c r="X198" s="56" t="n">
        <v>5.721610616183803</v>
      </c>
    </row>
    <row r="199">
      <c r="W199" s="56" t="n">
        <v>-1.027519968765361</v>
      </c>
      <c r="X199" s="56" t="n">
        <v>3.547904091766526</v>
      </c>
    </row>
    <row r="200">
      <c r="F200" s="48" t="n"/>
      <c r="W200" s="56" t="n">
        <v>-0.2678157400189889</v>
      </c>
      <c r="X200" s="56" t="n">
        <v>5.395317095173439</v>
      </c>
    </row>
    <row r="201">
      <c r="F201" s="48" t="n"/>
      <c r="W201" s="56" t="n">
        <v>0.5029222502515438</v>
      </c>
      <c r="X201" s="56" t="n">
        <v>6.164921359631009</v>
      </c>
    </row>
    <row r="202">
      <c r="F202" s="48" t="n"/>
      <c r="W202" s="56" t="n">
        <v>0.3289154131023651</v>
      </c>
      <c r="X202" s="56" t="n">
        <v>14.61823322291665</v>
      </c>
    </row>
    <row r="203">
      <c r="W203" s="56" t="n">
        <v>12.87983984787239</v>
      </c>
      <c r="X203" s="56" t="n">
        <v>29.06662823111479</v>
      </c>
    </row>
    <row r="204">
      <c r="W204" s="56" t="n">
        <v>-1.227054240644705</v>
      </c>
      <c r="X204" s="56" t="n">
        <v>5.17919106529213</v>
      </c>
    </row>
    <row r="205">
      <c r="W205" s="56" t="n">
        <v>10.64236623204022</v>
      </c>
      <c r="X205" s="56" t="n">
        <v>13.9001417746595</v>
      </c>
    </row>
    <row r="206">
      <c r="W206" s="56" t="n">
        <v>6.609776331894317</v>
      </c>
      <c r="X206" s="56" t="n">
        <v>7.778036693018734</v>
      </c>
    </row>
    <row r="207">
      <c r="U207" t="inlineStr">
        <is>
          <t>Non-Domestic</t>
        </is>
      </c>
      <c r="W207" s="56" t="n">
        <v>2.838664989881707</v>
      </c>
      <c r="X207" s="56" t="n">
        <v>9.575090596820957</v>
      </c>
    </row>
    <row r="208">
      <c r="W208" s="56" t="n">
        <v>5.158653809317229</v>
      </c>
      <c r="X208" s="56" t="n">
        <v>23.55577213078728</v>
      </c>
    </row>
    <row r="209">
      <c r="W209" s="56" t="n">
        <v>5.917953643651913</v>
      </c>
      <c r="X209" s="56" t="n">
        <v>17.10047173037948</v>
      </c>
    </row>
    <row r="210">
      <c r="W210" s="56" t="n">
        <v>9.668485850930175</v>
      </c>
      <c r="X210" s="56" t="n">
        <v>22.52907682838379</v>
      </c>
    </row>
    <row r="211">
      <c r="W211" s="56" t="n">
        <v>25.9835027114695</v>
      </c>
      <c r="X211" s="56" t="n">
        <v>29.84823111107988</v>
      </c>
    </row>
    <row r="212">
      <c r="W212" s="56" t="n">
        <v>15.11561963333617</v>
      </c>
      <c r="X212" s="56" t="n">
        <v>31.93456500431289</v>
      </c>
    </row>
    <row r="213">
      <c r="W213" s="56" t="n">
        <v>13.19020423358337</v>
      </c>
      <c r="X213" s="56" t="n">
        <v>36.41764315808489</v>
      </c>
    </row>
    <row r="214">
      <c r="W214" s="56" t="n">
        <v>22.26829256991432</v>
      </c>
      <c r="X214" s="56" t="n">
        <v>11.32933479834207</v>
      </c>
    </row>
    <row r="215">
      <c r="W215" s="56" t="n">
        <v>32.58991412813685</v>
      </c>
      <c r="X215" s="56" t="n">
        <v>78.02315745032757</v>
      </c>
    </row>
    <row r="216">
      <c r="W216" s="56" t="n">
        <v>21.92176473793408</v>
      </c>
      <c r="X216" s="56" t="n">
        <v>34.46992174155351</v>
      </c>
    </row>
    <row r="217">
      <c r="F217" s="48" t="n"/>
      <c r="W217" s="56" t="n">
        <v>4.288601752693147</v>
      </c>
      <c r="X217" s="56" t="n">
        <v>7.883028258695461</v>
      </c>
    </row>
    <row r="218">
      <c r="F218" s="48" t="n"/>
      <c r="W218" s="56" t="n">
        <v>0.08837027419251342</v>
      </c>
      <c r="X218" s="56" t="n">
        <v>9.039010668120625</v>
      </c>
    </row>
    <row r="219">
      <c r="W219" s="56" t="n">
        <v>4.544953679509476</v>
      </c>
      <c r="X219" s="56" t="n">
        <v>4.570287982046004</v>
      </c>
    </row>
    <row r="220">
      <c r="F220" s="48" t="n"/>
      <c r="W220" s="56" t="n">
        <v>7.415045379767811</v>
      </c>
      <c r="X220" s="56" t="n">
        <v>11.78101231626519</v>
      </c>
    </row>
    <row r="221">
      <c r="W221" s="56" t="n">
        <v>1.294612267158996</v>
      </c>
      <c r="X221" s="56" t="n">
        <v>6.35062057418272</v>
      </c>
    </row>
    <row r="222">
      <c r="W222" s="56" t="n">
        <v>-10.80052680393703</v>
      </c>
      <c r="X222" s="56" t="n">
        <v>23.70477163677236</v>
      </c>
    </row>
    <row r="223">
      <c r="W223" s="56" t="n">
        <v>6.398223607218284</v>
      </c>
      <c r="X223" s="56" t="n">
        <v>25.33126567597044</v>
      </c>
    </row>
    <row r="224">
      <c r="W224" s="56" t="n">
        <v>-0.301618694682503</v>
      </c>
      <c r="X224" s="56" t="n">
        <v>17.08887707045443</v>
      </c>
    </row>
    <row r="225">
      <c r="F225" s="48" t="n"/>
      <c r="W225" s="56" t="n">
        <v>-2.036838919048591</v>
      </c>
      <c r="X225" s="56" t="n">
        <v>14.67735231829556</v>
      </c>
    </row>
    <row r="226">
      <c r="F226" s="48" t="n"/>
      <c r="W226" s="56" t="n">
        <v>-7.244720505920668</v>
      </c>
      <c r="X226" s="56" t="n">
        <v>11.3067901169216</v>
      </c>
    </row>
    <row r="227">
      <c r="F227" s="48" t="n"/>
      <c r="W227" s="56" t="n">
        <v>5.584748421968953</v>
      </c>
      <c r="X227" s="56" t="n">
        <v>5.72356440158859</v>
      </c>
    </row>
    <row r="228">
      <c r="W228" s="56" t="n">
        <v>2.059631263856474</v>
      </c>
      <c r="X228" s="56" t="n">
        <v>11.57909076619808</v>
      </c>
    </row>
    <row r="229">
      <c r="W229" s="56" t="n">
        <v>9.206816020896461</v>
      </c>
      <c r="X229" s="56" t="n">
        <v>13.39977065150715</v>
      </c>
    </row>
    <row r="230">
      <c r="F230" s="48" t="n"/>
      <c r="W230" s="56" t="n">
        <v>6.124870342210059</v>
      </c>
      <c r="X230" s="56" t="n">
        <v>13.67623169138932</v>
      </c>
    </row>
    <row r="231">
      <c r="W231" s="56" t="n">
        <v>8.907306740600347</v>
      </c>
      <c r="X231" s="56" t="n">
        <v>13.73487688169496</v>
      </c>
    </row>
    <row r="232">
      <c r="U232" t="inlineStr">
        <is>
          <t>Non-Domestic</t>
        </is>
      </c>
      <c r="W232" s="56" t="n">
        <v>7.224000463242739</v>
      </c>
      <c r="X232" s="56" t="n">
        <v>6.136187617131469</v>
      </c>
    </row>
    <row r="233">
      <c r="W233" s="56" t="n">
        <v>-4.613002312741457</v>
      </c>
      <c r="X233" s="56" t="n">
        <v>7.864650020542072</v>
      </c>
    </row>
    <row r="234">
      <c r="W234" s="56" t="n">
        <v>12.32268233054836</v>
      </c>
      <c r="X234" s="56" t="n">
        <v>12.04705015546929</v>
      </c>
    </row>
    <row r="235">
      <c r="W235" s="56" t="n">
        <v>-0.4853226899008973</v>
      </c>
      <c r="X235" s="56" t="n">
        <v>6.545727744212016</v>
      </c>
    </row>
    <row r="236">
      <c r="W236" s="56" t="n">
        <v>-2.634161960835364</v>
      </c>
      <c r="X236" s="56" t="n">
        <v>5.038616072598614</v>
      </c>
    </row>
    <row r="237">
      <c r="F237" s="48" t="n"/>
      <c r="W237" s="56" t="n">
        <v>-1.396055595196785</v>
      </c>
      <c r="X237" s="56" t="n">
        <v>3.239070783729051</v>
      </c>
    </row>
    <row r="238">
      <c r="F238" s="48" t="n"/>
      <c r="W238" s="56" t="n">
        <v>-6.143476456529129</v>
      </c>
      <c r="X238" s="56" t="n">
        <v>5.016791573678837</v>
      </c>
    </row>
    <row r="239">
      <c r="F239" s="48" t="n"/>
      <c r="W239" s="56" t="n">
        <v>25.46615031790228</v>
      </c>
      <c r="X239" s="56" t="n">
        <v>27.77863760214207</v>
      </c>
    </row>
    <row r="240">
      <c r="W240" s="56" t="n">
        <v>13.38515116496509</v>
      </c>
      <c r="X240" s="56" t="n">
        <v>21.35511448261951</v>
      </c>
    </row>
    <row r="241">
      <c r="F241" s="48" t="n"/>
      <c r="W241" s="56" t="n">
        <v>3.894724166567485</v>
      </c>
      <c r="X241" s="56" t="n">
        <v>22.20986534148966</v>
      </c>
    </row>
    <row r="242">
      <c r="F242" s="48" t="n"/>
      <c r="W242" s="56" t="n">
        <v>24.50318819825472</v>
      </c>
      <c r="X242" s="56" t="n">
        <v>59.27945147170256</v>
      </c>
    </row>
    <row r="243">
      <c r="W243" s="56" t="n">
        <v>31.61333093444084</v>
      </c>
      <c r="X243" s="56" t="n">
        <v>68.14120466304666</v>
      </c>
    </row>
    <row r="244">
      <c r="W244" s="56" t="n">
        <v>8.511680529691546</v>
      </c>
      <c r="X244" s="56" t="n">
        <v>28.62115725230613</v>
      </c>
    </row>
    <row r="245">
      <c r="F245" s="48" t="n"/>
      <c r="W245" s="56" t="n">
        <v>0.7772857735712932</v>
      </c>
      <c r="X245" s="56" t="n">
        <v>0.2126318858763909</v>
      </c>
    </row>
    <row r="246">
      <c r="W246" s="56" t="n">
        <v>0.1450768981618324</v>
      </c>
      <c r="X246" s="56" t="n">
        <v>7.693077860849428</v>
      </c>
    </row>
    <row r="247">
      <c r="W247" s="56" t="n">
        <v>6.59796458503159</v>
      </c>
      <c r="X247" s="56" t="n">
        <v>10.53149681884042</v>
      </c>
    </row>
    <row r="248">
      <c r="W248" s="56" t="n">
        <v>2.224616806414204</v>
      </c>
      <c r="X248" s="56" t="n">
        <v>7.196199558671317</v>
      </c>
    </row>
    <row r="249">
      <c r="W249" s="56" t="n">
        <v>1.574430114541855</v>
      </c>
      <c r="X249" s="56" t="n">
        <v>8.414521408135599</v>
      </c>
    </row>
    <row r="250">
      <c r="W250" s="56" t="n">
        <v>5.377048987282556</v>
      </c>
      <c r="X250" s="56" t="n">
        <v>9.245433224297571</v>
      </c>
    </row>
    <row r="251">
      <c r="W251" s="56" t="n">
        <v>8.660830577100477</v>
      </c>
      <c r="X251" s="56" t="n">
        <v>9.958741243489399</v>
      </c>
    </row>
    <row r="252">
      <c r="W252" s="56" t="n">
        <v>3.167897463842166</v>
      </c>
      <c r="X252" s="56" t="n">
        <v>14.54358426293676</v>
      </c>
    </row>
    <row r="253">
      <c r="W253" s="56" t="n">
        <v>6.271535686650779</v>
      </c>
      <c r="X253" s="56" t="n">
        <v>21.48685012653812</v>
      </c>
    </row>
    <row r="254">
      <c r="F254" s="48" t="n"/>
      <c r="W254" s="56" t="n">
        <v>6.712550897232177</v>
      </c>
      <c r="X254" s="56" t="n">
        <v>-4.907072383007332</v>
      </c>
    </row>
    <row r="255">
      <c r="W255" s="56" t="n">
        <v>-1.308676993600741</v>
      </c>
      <c r="X255" s="56" t="n">
        <v>5.723394813639487</v>
      </c>
    </row>
    <row r="256">
      <c r="F256" s="48" t="n"/>
      <c r="W256" s="56" t="n">
        <v>-1.322937736519421</v>
      </c>
      <c r="X256" s="56" t="n">
        <v>2.994532478085134</v>
      </c>
    </row>
    <row r="257">
      <c r="W257" s="56" t="n">
        <v>10.88658328785577</v>
      </c>
      <c r="X257" s="56" t="n">
        <v>12.03886648307098</v>
      </c>
    </row>
    <row r="258">
      <c r="F258" s="48" t="n"/>
      <c r="W258" s="56" t="n">
        <v>4.035015418227736</v>
      </c>
      <c r="X258" s="56" t="n">
        <v>8.071245400755359</v>
      </c>
    </row>
    <row r="259">
      <c r="W259" s="56" t="n">
        <v>-0.5761331207180405</v>
      </c>
      <c r="X259" s="56" t="n">
        <v>13.6159120523063</v>
      </c>
    </row>
    <row r="260">
      <c r="F260" s="48" t="n"/>
      <c r="W260" s="56" t="n">
        <v>5.091475739114557</v>
      </c>
      <c r="X260" s="56" t="n">
        <v>21.03034275167937</v>
      </c>
    </row>
    <row r="261">
      <c r="F261" s="48" t="n"/>
      <c r="U261" t="inlineStr">
        <is>
          <t>Non-Domestic</t>
        </is>
      </c>
      <c r="W261" s="56" t="n">
        <v>-0.7800848799564761</v>
      </c>
      <c r="X261" s="56" t="n">
        <v>5.562700746702433</v>
      </c>
    </row>
    <row r="262">
      <c r="W262" s="56" t="n">
        <v>-0.3230671955733868</v>
      </c>
      <c r="X262" s="56" t="n">
        <v>17.66910099882714</v>
      </c>
    </row>
    <row r="263">
      <c r="W263" s="56" t="n">
        <v>40.05636506995188</v>
      </c>
      <c r="X263" s="56" t="n">
        <v>-6.291403904153299</v>
      </c>
    </row>
    <row r="264">
      <c r="W264" s="56" t="n">
        <v>35.91468180157983</v>
      </c>
      <c r="X264" s="56" t="n">
        <v>-84.7589290338168</v>
      </c>
    </row>
    <row r="265">
      <c r="F265" s="48" t="n"/>
      <c r="W265" s="56" t="n">
        <v>5.269869146182828</v>
      </c>
      <c r="X265" s="56" t="n">
        <v>7.452628049757294</v>
      </c>
    </row>
    <row r="266">
      <c r="F266" s="48" t="n"/>
      <c r="W266" s="56" t="n">
        <v>17.54353239735306</v>
      </c>
      <c r="X266" s="56" t="n">
        <v>24.89758255536556</v>
      </c>
    </row>
    <row r="267">
      <c r="W267" s="56" t="n">
        <v>18.70675326512713</v>
      </c>
      <c r="X267" s="56" t="n">
        <v>29.85669589618067</v>
      </c>
    </row>
    <row r="268">
      <c r="W268" s="56" t="n">
        <v>1.556459317689871</v>
      </c>
      <c r="X268" s="56" t="n">
        <v>9.649285488384749</v>
      </c>
    </row>
    <row r="269">
      <c r="F269" s="48" t="n"/>
      <c r="W269" s="56" t="n">
        <v>1.385112731482792</v>
      </c>
      <c r="X269" s="56" t="n">
        <v>6.847655524651771</v>
      </c>
    </row>
    <row r="270">
      <c r="W270" s="56" t="n">
        <v>-0.2758230344767867</v>
      </c>
      <c r="X270" s="56" t="n">
        <v>5.783970662411107</v>
      </c>
    </row>
    <row r="271">
      <c r="W271" s="56" t="n">
        <v>2.1383001763583</v>
      </c>
      <c r="X271" s="56" t="n">
        <v>12.02260698909276</v>
      </c>
    </row>
    <row r="272">
      <c r="W272" s="56" t="n">
        <v>-1.171729011121734</v>
      </c>
      <c r="X272" s="56" t="n">
        <v>5.881648480798638</v>
      </c>
    </row>
    <row r="273">
      <c r="W273" s="56" t="n">
        <v>4.696028427389223</v>
      </c>
      <c r="X273" s="56" t="n">
        <v>27.93749378871865</v>
      </c>
    </row>
    <row r="274">
      <c r="W274" s="56" t="n">
        <v>10.87357607953268</v>
      </c>
      <c r="X274" s="56" t="n">
        <v>29.01530588773593</v>
      </c>
    </row>
    <row r="275">
      <c r="F275" s="48" t="n"/>
      <c r="U275" t="inlineStr">
        <is>
          <t>Non-Domestic</t>
        </is>
      </c>
      <c r="W275" s="56" t="n">
        <v>7.069978438160135</v>
      </c>
      <c r="X275" s="56" t="n">
        <v>13.12312094457974</v>
      </c>
    </row>
    <row r="276">
      <c r="W276" s="56" t="n">
        <v>7.176369868421659</v>
      </c>
      <c r="X276" s="56" t="n">
        <v>12.76816931108695</v>
      </c>
    </row>
    <row r="277">
      <c r="F277" s="48" t="n"/>
      <c r="W277" s="56" t="n">
        <v>13.52872468337098</v>
      </c>
      <c r="X277" s="56" t="n">
        <v>25.49708720166993</v>
      </c>
    </row>
    <row r="278">
      <c r="W278" s="56" t="n">
        <v>1.627417413774808</v>
      </c>
      <c r="X278" s="56" t="n">
        <v>-14.36190971365248</v>
      </c>
    </row>
    <row r="279">
      <c r="W279" s="56" t="n">
        <v>10.80919408609401</v>
      </c>
      <c r="X279" s="56" t="n">
        <v>3.720618708039922</v>
      </c>
    </row>
    <row r="280">
      <c r="F280" s="48" t="n"/>
      <c r="W280" s="56" t="n">
        <v>8.412501661126868</v>
      </c>
      <c r="X280" s="56" t="n">
        <v>-8.625708498806162</v>
      </c>
    </row>
    <row r="281">
      <c r="W281" s="56" t="n">
        <v>9.137595523301329</v>
      </c>
      <c r="X281" s="56" t="n">
        <v>11.40063211907792</v>
      </c>
    </row>
    <row r="282">
      <c r="W282" s="56" t="n">
        <v>8.497099407504351</v>
      </c>
      <c r="X282" s="56" t="n">
        <v>6.35572514495621</v>
      </c>
    </row>
    <row r="283">
      <c r="W283" s="56" t="n">
        <v>29.20369190913055</v>
      </c>
      <c r="X283" s="56" t="n">
        <v>49.18463592198918</v>
      </c>
    </row>
    <row r="284">
      <c r="W284" s="56" t="n">
        <v>8.122235472962274</v>
      </c>
      <c r="X284" s="56" t="n">
        <v>31.7027414817905</v>
      </c>
    </row>
    <row r="285">
      <c r="W285" s="56" t="n">
        <v>10.28658400276832</v>
      </c>
      <c r="X285" s="56" t="n">
        <v>21.91233607462254</v>
      </c>
    </row>
    <row r="286">
      <c r="W286" s="56" t="n">
        <v>14.2332718964293</v>
      </c>
      <c r="X286" s="56" t="n">
        <v>13.27360954630325</v>
      </c>
    </row>
    <row r="287">
      <c r="F287" s="48" t="n"/>
      <c r="W287" s="56" t="n">
        <v>13.42483876738085</v>
      </c>
      <c r="X287" s="56" t="n">
        <v>-12.10594651739724</v>
      </c>
    </row>
    <row r="288">
      <c r="W288" s="56" t="n">
        <v>5.735603108885087</v>
      </c>
      <c r="X288" s="56" t="n">
        <v>20.52366923582923</v>
      </c>
    </row>
    <row r="289">
      <c r="F289" s="48" t="n"/>
      <c r="W289" s="56" t="n">
        <v>1.517071320262005</v>
      </c>
      <c r="X289" s="56" t="n">
        <v>20.98016239728636</v>
      </c>
    </row>
    <row r="290">
      <c r="F290" s="48" t="n"/>
      <c r="W290" s="56" t="n">
        <v>29.61651379467838</v>
      </c>
      <c r="X290" s="56" t="n">
        <v>34.73823726707758</v>
      </c>
    </row>
    <row r="291">
      <c r="W291" s="56" t="n">
        <v>22.02246419337101</v>
      </c>
      <c r="X291" s="56" t="n">
        <v>38.67970237150408</v>
      </c>
    </row>
    <row r="292">
      <c r="W292" s="56" t="n">
        <v>21.75302471520061</v>
      </c>
      <c r="X292" s="56" t="n">
        <v>24.85750015565594</v>
      </c>
    </row>
    <row r="293">
      <c r="F293" s="48" t="n"/>
      <c r="W293" s="56" t="n">
        <v>2.775757883607938</v>
      </c>
      <c r="X293" s="56" t="n">
        <v>24.74980055933283</v>
      </c>
    </row>
    <row r="294">
      <c r="F294" s="48" t="n"/>
      <c r="W294" s="56" t="n">
        <v>4.095246620596129</v>
      </c>
      <c r="X294" s="56" t="n">
        <v>25.11550469178434</v>
      </c>
    </row>
    <row r="295">
      <c r="F295" s="48" t="n"/>
      <c r="W295" s="56" t="n">
        <v>7.321869813265863</v>
      </c>
      <c r="X295" s="56" t="n">
        <v>25.55783937743907</v>
      </c>
    </row>
    <row r="296">
      <c r="W296" s="56" t="n">
        <v>31.32866221172043</v>
      </c>
      <c r="X296" s="56" t="n">
        <v>78.55845160876231</v>
      </c>
    </row>
    <row r="297">
      <c r="W297" s="56" t="n">
        <v>35.30007135681993</v>
      </c>
      <c r="X297" s="56" t="n">
        <v>46.97367509213572</v>
      </c>
    </row>
    <row r="298">
      <c r="W298" s="56" t="n">
        <v>63.01697445649623</v>
      </c>
      <c r="X298" s="56" t="n">
        <v>80.8067674291527</v>
      </c>
    </row>
    <row r="299">
      <c r="W299" s="56" t="n">
        <v>51.50762506046792</v>
      </c>
      <c r="X299" s="56" t="n">
        <v>59.17912852939524</v>
      </c>
    </row>
    <row r="300">
      <c r="F300" s="48" t="n"/>
      <c r="W300" s="56" t="n">
        <v>4.343287447463311</v>
      </c>
      <c r="X300" s="56" t="n">
        <v>8.071303871901648</v>
      </c>
    </row>
    <row r="301">
      <c r="W301" s="56" t="n">
        <v>7.725146721041256</v>
      </c>
      <c r="X301" s="56" t="n">
        <v>15.94936275042052</v>
      </c>
    </row>
    <row r="302">
      <c r="W302" s="56" t="n">
        <v>14.78691856954585</v>
      </c>
      <c r="X302" s="56" t="n">
        <v>23.35904584896613</v>
      </c>
    </row>
    <row r="303">
      <c r="W303" s="56" t="n">
        <v>15.01835813361599</v>
      </c>
      <c r="X303" s="56" t="n">
        <v>19.43956913350085</v>
      </c>
    </row>
    <row r="304">
      <c r="W304" s="56" t="n">
        <v>15.19915981649342</v>
      </c>
      <c r="X304" s="56" t="n">
        <v>21.01593393119933</v>
      </c>
    </row>
    <row r="305">
      <c r="F305" s="48" t="n"/>
      <c r="W305" s="56" t="n">
        <v>4.418112847665313</v>
      </c>
      <c r="X305" s="56" t="n">
        <v>16.91382492147991</v>
      </c>
    </row>
    <row r="306">
      <c r="F306" s="48" t="n"/>
      <c r="W306" s="56" t="n">
        <v>16.11503312632233</v>
      </c>
      <c r="X306" s="56" t="n">
        <v>27.61015461034674</v>
      </c>
    </row>
    <row r="307">
      <c r="W307" s="56" t="n">
        <v>0.3479344717654698</v>
      </c>
      <c r="X307" s="56" t="n">
        <v>13.52525605206623</v>
      </c>
    </row>
    <row r="308">
      <c r="F308" s="48" t="n"/>
      <c r="W308" s="56" t="n">
        <v>21.0180263719332</v>
      </c>
      <c r="X308" s="56" t="n">
        <v>28.13555426301575</v>
      </c>
    </row>
    <row r="309">
      <c r="W309" s="56" t="n">
        <v>1.026035309087334</v>
      </c>
      <c r="X309" s="56" t="n">
        <v>17.75446467920944</v>
      </c>
    </row>
    <row r="310">
      <c r="F310" s="48" t="n"/>
      <c r="W310" s="56" t="n">
        <v>2.401251365210541</v>
      </c>
      <c r="X310" s="56" t="n">
        <v>16.46397217866415</v>
      </c>
    </row>
    <row r="311">
      <c r="F311" s="48" t="n"/>
      <c r="W311" s="56" t="n">
        <v>-2.499771889781073</v>
      </c>
      <c r="X311" s="56" t="n">
        <v>-40.60999688421691</v>
      </c>
    </row>
    <row r="312">
      <c r="W312" s="56" t="n">
        <v>0.511046973031938</v>
      </c>
      <c r="X312" s="56" t="n">
        <v>1.616612431551872</v>
      </c>
    </row>
    <row r="313">
      <c r="F313" s="48" t="n"/>
      <c r="W313" s="56" t="n">
        <v>6.019854605101003</v>
      </c>
      <c r="X313" s="56" t="n">
        <v>-6.133155503879507</v>
      </c>
    </row>
    <row r="314">
      <c r="W314" s="56" t="n">
        <v>32.00898168299194</v>
      </c>
      <c r="X314" s="56" t="n">
        <v>43.85431593500061</v>
      </c>
    </row>
    <row r="315">
      <c r="W315" s="56" t="n">
        <v>3.856071625420569</v>
      </c>
      <c r="X315" s="56" t="n">
        <v>6.849318704683967</v>
      </c>
    </row>
    <row r="316">
      <c r="F316" s="48" t="n"/>
      <c r="W316" s="56" t="n">
        <v>4.798016214874352</v>
      </c>
      <c r="X316" s="56" t="n">
        <v>7.983107533212447</v>
      </c>
    </row>
    <row r="317">
      <c r="F317" s="48" t="n"/>
      <c r="W317" s="56" t="n">
        <v>2.418705186288037</v>
      </c>
      <c r="X317" s="56" t="n">
        <v>5.108286337883655</v>
      </c>
    </row>
    <row r="318">
      <c r="W318" s="56" t="n">
        <v>5.383884574428293</v>
      </c>
      <c r="X318" s="56" t="n">
        <v>15.15158020959927</v>
      </c>
    </row>
    <row r="319">
      <c r="W319" s="56" t="n">
        <v>1.376995841453052</v>
      </c>
      <c r="X319" s="56" t="n">
        <v>13.20114241879432</v>
      </c>
    </row>
    <row r="320">
      <c r="W320" s="56" t="n">
        <v>1.885635589721289</v>
      </c>
      <c r="X320" s="56" t="n">
        <v>-24.06930916582002</v>
      </c>
    </row>
    <row r="321">
      <c r="W321" s="56" t="n">
        <v>0.1404690134989721</v>
      </c>
      <c r="X321" s="56" t="n">
        <v>22.9682221425464</v>
      </c>
    </row>
    <row r="322">
      <c r="W322" s="56" t="n">
        <v>7.298296853728786</v>
      </c>
      <c r="X322" s="56" t="n">
        <v>12.00445709898617</v>
      </c>
    </row>
    <row r="323">
      <c r="W323" s="56" t="n">
        <v>-1.208113240641879</v>
      </c>
      <c r="X323" s="56" t="n">
        <v>16.90312112644555</v>
      </c>
    </row>
    <row r="324">
      <c r="W324" s="56" t="n">
        <v>5.479843320104393</v>
      </c>
      <c r="X324" s="56" t="n">
        <v>10.25608599924448</v>
      </c>
    </row>
    <row r="325">
      <c r="W325" s="56" t="n">
        <v>-3.16635669228009</v>
      </c>
      <c r="X325" s="56" t="n">
        <v>17.37604321265485</v>
      </c>
    </row>
    <row r="326">
      <c r="W326" s="56" t="n">
        <v>0.05810069781523453</v>
      </c>
      <c r="X326" s="56" t="n">
        <v>17.33338635820974</v>
      </c>
    </row>
    <row r="327">
      <c r="W327" s="56" t="n">
        <v>8.479890149745685</v>
      </c>
      <c r="X327" s="56" t="n">
        <v>13.11455046059318</v>
      </c>
    </row>
    <row r="328">
      <c r="F328" s="48" t="n"/>
      <c r="W328" s="56" t="n">
        <v>19.14199340952078</v>
      </c>
      <c r="X328" s="56" t="n">
        <v>28.79237784255909</v>
      </c>
    </row>
    <row r="329">
      <c r="W329" s="56" t="n">
        <v>35.14010936390315</v>
      </c>
      <c r="X329" s="56" t="n">
        <v>61.7453426423794</v>
      </c>
    </row>
    <row r="330">
      <c r="F330" s="48" t="n"/>
      <c r="W330" s="56" t="n">
        <v>7.864730921112354</v>
      </c>
      <c r="X330" s="56" t="n">
        <v>36.18694844678664</v>
      </c>
    </row>
    <row r="331">
      <c r="F331" s="48" t="n"/>
      <c r="W331" s="56" t="n">
        <v>2.813737941637271</v>
      </c>
      <c r="X331" s="56" t="n">
        <v>11.4665362535785</v>
      </c>
    </row>
    <row r="332">
      <c r="U332" t="inlineStr">
        <is>
          <t>Non-Domestic</t>
        </is>
      </c>
      <c r="W332" s="56" t="n">
        <v>5.215180250752667</v>
      </c>
      <c r="X332" s="56" t="n">
        <v>9.303550638770766</v>
      </c>
    </row>
    <row r="333">
      <c r="F333" s="48" t="n"/>
      <c r="U333" t="inlineStr">
        <is>
          <t>Non-Domestic</t>
        </is>
      </c>
      <c r="W333" s="56" t="n">
        <v>2.613672567902043</v>
      </c>
      <c r="X333" s="56" t="n">
        <v>8.198471845499682</v>
      </c>
    </row>
    <row r="334">
      <c r="F334" s="48" t="n"/>
      <c r="W334" s="56" t="n">
        <v>19.58105195520739</v>
      </c>
      <c r="X334" s="56" t="n">
        <v>28.69518303203806</v>
      </c>
    </row>
    <row r="335">
      <c r="W335" s="56" t="n">
        <v>31.53298481477552</v>
      </c>
      <c r="X335" s="56" t="n">
        <v>42.95270888721458</v>
      </c>
    </row>
    <row r="336">
      <c r="F336" s="48" t="n"/>
      <c r="W336" s="56" t="n">
        <v>15.81133948169091</v>
      </c>
      <c r="X336" s="56" t="n">
        <v>25.1185955700426</v>
      </c>
    </row>
    <row r="337">
      <c r="W337" s="56" t="n">
        <v>-1.175891440473535</v>
      </c>
      <c r="X337" s="56" t="n">
        <v>22.19126180559317</v>
      </c>
    </row>
    <row r="338">
      <c r="F338" s="48" t="n"/>
      <c r="W338" s="56" t="n">
        <v>13.20849579659667</v>
      </c>
      <c r="X338" s="56" t="n">
        <v>24.11344201983214</v>
      </c>
    </row>
    <row r="339">
      <c r="U339" t="inlineStr">
        <is>
          <t>Domestic</t>
        </is>
      </c>
      <c r="W339" s="56" t="n">
        <v>2.906074754925356</v>
      </c>
      <c r="X339" s="56" t="n">
        <v>4.548604216631944</v>
      </c>
    </row>
    <row r="340">
      <c r="W340" s="56" t="n">
        <v>-0.3650000771740807</v>
      </c>
      <c r="X340" s="56" t="n">
        <v>6.75629889156707</v>
      </c>
    </row>
    <row r="341">
      <c r="W341" s="56" t="n">
        <v>5.182951782478952</v>
      </c>
      <c r="X341" s="56" t="n">
        <v>5.777734213178491</v>
      </c>
    </row>
    <row r="342">
      <c r="W342" s="56" t="n">
        <v>3.75085664431549</v>
      </c>
      <c r="X342" s="56" t="n">
        <v>17.83433348640416</v>
      </c>
    </row>
    <row r="343">
      <c r="W343" s="56" t="n">
        <v>-0.3435863012293225</v>
      </c>
      <c r="X343" s="56" t="n">
        <v>6.905995397297772</v>
      </c>
    </row>
    <row r="344">
      <c r="F344" s="48" t="n"/>
      <c r="W344" s="56" t="n">
        <v>1.754544174693152</v>
      </c>
      <c r="X344" s="56" t="n">
        <v>20.5728939236198</v>
      </c>
    </row>
    <row r="345">
      <c r="F345" s="48" t="n"/>
      <c r="W345" s="56" t="n">
        <v>0.6299082996819294</v>
      </c>
      <c r="X345" s="56" t="n">
        <v>15.05872929147866</v>
      </c>
    </row>
    <row r="346">
      <c r="W346" s="56" t="n">
        <v>2.794447496530822</v>
      </c>
      <c r="X346" s="56" t="n">
        <v>13.87801559414827</v>
      </c>
    </row>
    <row r="347">
      <c r="F347" s="48" t="n"/>
      <c r="W347" s="56" t="n">
        <v>2.359535755759651</v>
      </c>
      <c r="X347" s="56" t="n">
        <v>22.69787719962504</v>
      </c>
    </row>
    <row r="348">
      <c r="W348" s="56" t="n">
        <v>-6.338527761617442</v>
      </c>
      <c r="X348" s="56" t="n">
        <v>9.802669998586524</v>
      </c>
    </row>
    <row r="349">
      <c r="F349" s="48" t="n"/>
      <c r="W349" s="56" t="n">
        <v>19.53980105606627</v>
      </c>
      <c r="X349" s="56" t="n">
        <v>5.173791562069084</v>
      </c>
    </row>
    <row r="350">
      <c r="W350" s="56" t="n">
        <v>5.050879166135317</v>
      </c>
      <c r="X350" s="56" t="n">
        <v>14.68795504965415</v>
      </c>
    </row>
    <row r="351">
      <c r="F351" s="48" t="n"/>
      <c r="W351" s="56" t="n">
        <v>7.659385386650975</v>
      </c>
      <c r="X351" s="56" t="n">
        <v>27.15771664251968</v>
      </c>
    </row>
    <row r="352">
      <c r="F352" s="48" t="n"/>
      <c r="W352" s="56" t="n">
        <v>-1.111494594141682</v>
      </c>
      <c r="X352" s="56" t="n">
        <v>16.50237919617188</v>
      </c>
    </row>
    <row r="353">
      <c r="F353" s="48" t="n"/>
      <c r="W353" s="56" t="n">
        <v>4.617084306122933</v>
      </c>
      <c r="X353" s="56" t="n">
        <v>17.01416878033375</v>
      </c>
    </row>
    <row r="354">
      <c r="F354" s="48" t="n"/>
      <c r="W354" s="56" t="n">
        <v>6.294715729028297</v>
      </c>
      <c r="X354" s="56" t="n">
        <v>20.78623600689772</v>
      </c>
    </row>
    <row r="355">
      <c r="W355" s="56" t="n">
        <v>16.38175932446828</v>
      </c>
      <c r="X355" s="56" t="n">
        <v>10.09058647632076</v>
      </c>
    </row>
    <row r="356">
      <c r="F356" s="48" t="n"/>
      <c r="W356" s="56" t="n">
        <v>5.648857402168439</v>
      </c>
      <c r="X356" s="56" t="n">
        <v>14.10854825427322</v>
      </c>
    </row>
    <row r="357">
      <c r="F357" s="48" t="n"/>
      <c r="W357" s="56" t="n">
        <v>3.888366868203825</v>
      </c>
      <c r="X357" s="56" t="n">
        <v>12.33053034389027</v>
      </c>
    </row>
    <row r="358">
      <c r="F358" s="48" t="n"/>
      <c r="W358" s="56" t="n">
        <v>-2.638848283842194</v>
      </c>
      <c r="X358" s="56" t="n">
        <v>13.00571955047435</v>
      </c>
    </row>
    <row r="359">
      <c r="F359" s="48" t="n"/>
      <c r="W359" s="56" t="n">
        <v>1.888383897191893</v>
      </c>
      <c r="X359" s="56" t="n">
        <v>12.56789774927218</v>
      </c>
    </row>
    <row r="360">
      <c r="F360" s="48" t="n"/>
      <c r="W360" s="56" t="n">
        <v>4.884858566056366</v>
      </c>
      <c r="X360" s="56" t="n">
        <v>20.73420266435337</v>
      </c>
    </row>
    <row r="361">
      <c r="F361" s="48" t="n"/>
      <c r="W361" s="56" t="n">
        <v>20.36284672363961</v>
      </c>
      <c r="X361" s="56" t="n">
        <v>31.63848673799087</v>
      </c>
    </row>
    <row r="362">
      <c r="W362" s="56" t="n">
        <v>40.78908979595343</v>
      </c>
      <c r="X362" s="56" t="n">
        <v>18.45442538684591</v>
      </c>
    </row>
    <row r="363">
      <c r="W363" s="56" t="n">
        <v>-0.8591122360612076</v>
      </c>
      <c r="X363" s="56" t="n">
        <v>-0.987453197665431</v>
      </c>
    </row>
    <row r="364">
      <c r="F364" s="48" t="n"/>
      <c r="W364" s="56" t="n">
        <v>1.4855018935381</v>
      </c>
      <c r="X364" s="56" t="n">
        <v>5.862788953433096</v>
      </c>
    </row>
    <row r="365">
      <c r="W365" s="56" t="n">
        <v>1.704820705793992</v>
      </c>
      <c r="X365" s="56" t="n">
        <v>9.504293062428772</v>
      </c>
    </row>
    <row r="366">
      <c r="W366" s="56" t="n">
        <v>4.159647177088345</v>
      </c>
      <c r="X366" s="56" t="n">
        <v>5.251416370729331</v>
      </c>
    </row>
    <row r="367">
      <c r="F367" s="48" t="n"/>
      <c r="W367" s="56" t="n">
        <v>26.21349716886026</v>
      </c>
      <c r="X367" s="56" t="n">
        <v>38.31192007917021</v>
      </c>
    </row>
    <row r="368">
      <c r="F368" s="48" t="n"/>
      <c r="W368" s="56" t="n">
        <v>6.863955858011124</v>
      </c>
      <c r="X368" s="56" t="n">
        <v>8.026899632959385</v>
      </c>
    </row>
    <row r="369">
      <c r="W369" s="56" t="n">
        <v>9.271049955795633</v>
      </c>
      <c r="X369" s="56" t="n">
        <v>15.32442677830969</v>
      </c>
    </row>
    <row r="370">
      <c r="W370" s="56" t="n">
        <v>5.836831630036386</v>
      </c>
      <c r="X370" s="56" t="n">
        <v>20.53344482170458</v>
      </c>
    </row>
    <row r="371">
      <c r="W371" s="56" t="n">
        <v>6.843159389020798</v>
      </c>
      <c r="X371" s="56" t="n">
        <v>13.86578157447808</v>
      </c>
    </row>
    <row r="372">
      <c r="F372" s="48" t="n"/>
      <c r="W372" s="56" t="n">
        <v>4.559602490115044</v>
      </c>
      <c r="X372" s="56" t="n">
        <v>7.722550690030602</v>
      </c>
    </row>
    <row r="373">
      <c r="W373" s="56" t="n">
        <v>0.2807710452734824</v>
      </c>
      <c r="X373" s="56" t="n">
        <v>7.265438356444292</v>
      </c>
    </row>
    <row r="374">
      <c r="F374" s="48" t="n"/>
      <c r="W374" s="56" t="n">
        <v>8.653046942974143</v>
      </c>
      <c r="X374" s="56" t="n">
        <v>10.22758050721166</v>
      </c>
    </row>
    <row r="375">
      <c r="W375" s="56" t="n">
        <v>12.18920937136396</v>
      </c>
      <c r="X375" s="56" t="n">
        <v>5.795943494258033</v>
      </c>
    </row>
    <row r="376">
      <c r="W376" s="56" t="n">
        <v>7.013986565337476</v>
      </c>
      <c r="X376" s="56" t="n">
        <v>-27.01128874273513</v>
      </c>
    </row>
    <row r="377">
      <c r="W377" s="56" t="n">
        <v>20.47401007776202</v>
      </c>
      <c r="X377" s="56" t="n">
        <v>28.46623552023621</v>
      </c>
    </row>
    <row r="378">
      <c r="W378" s="56" t="n">
        <v>-0.4169781513420077</v>
      </c>
      <c r="X378" s="56" t="n">
        <v>1.073953497707436</v>
      </c>
    </row>
    <row r="379">
      <c r="W379" s="56" t="n">
        <v>2.180671936683581</v>
      </c>
      <c r="X379" s="56" t="n">
        <v>7.216204031506415</v>
      </c>
    </row>
    <row r="380">
      <c r="W380" s="56" t="n">
        <v>-1.54875716708586</v>
      </c>
      <c r="X380" s="56" t="n">
        <v>0.221895259987086</v>
      </c>
    </row>
    <row r="381">
      <c r="W381" s="56" t="n">
        <v>34.55694353896146</v>
      </c>
      <c r="X381" s="56" t="n">
        <v>77.92960374555066</v>
      </c>
    </row>
    <row r="382">
      <c r="W382" s="56" t="n">
        <v>6.759873307979419</v>
      </c>
      <c r="X382" s="56" t="n">
        <v>27.99350236169978</v>
      </c>
    </row>
    <row r="383">
      <c r="W383" s="56" t="n">
        <v>-1.847031149008643</v>
      </c>
      <c r="X383" s="56" t="n">
        <v>54.22569668041584</v>
      </c>
    </row>
    <row r="384">
      <c r="W384" s="56" t="n">
        <v>13.34952452293491</v>
      </c>
      <c r="X384" s="56" t="n">
        <v>70.75486378644993</v>
      </c>
    </row>
    <row r="385">
      <c r="W385" s="56" t="n">
        <v>14.70699103887817</v>
      </c>
      <c r="X385" s="56" t="n">
        <v>11.17348531065973</v>
      </c>
    </row>
    <row r="386">
      <c r="F386" s="48" t="n"/>
      <c r="W386" s="56" t="n">
        <v>25.75232262233626</v>
      </c>
      <c r="X386" s="56" t="n">
        <v>28.82206383754195</v>
      </c>
    </row>
    <row r="387">
      <c r="F387" s="48" t="n"/>
      <c r="W387" s="56" t="n">
        <v>8.052148739548947</v>
      </c>
      <c r="X387" s="56" t="n">
        <v>9.971359324160431</v>
      </c>
    </row>
    <row r="388">
      <c r="W388" s="56" t="n">
        <v>-1.761972867488367</v>
      </c>
      <c r="X388" s="56" t="n">
        <v>11.0578960755595</v>
      </c>
    </row>
    <row r="389">
      <c r="W389" s="56" t="n">
        <v>0.8734606553496889</v>
      </c>
      <c r="X389" s="56" t="n">
        <v>14.82382973482653</v>
      </c>
    </row>
    <row r="390">
      <c r="W390" s="56" t="n">
        <v>-1.023209169220777</v>
      </c>
      <c r="X390" s="56" t="n">
        <v>14.22359549892886</v>
      </c>
    </row>
    <row r="391">
      <c r="W391" s="56" t="n">
        <v>-1.807968161693523</v>
      </c>
      <c r="X391" s="56" t="n">
        <v>11.73324519662705</v>
      </c>
    </row>
    <row r="392">
      <c r="W392" s="56" t="n">
        <v>-0.5330239794473073</v>
      </c>
      <c r="X392" s="56" t="n">
        <v>24.75760941706156</v>
      </c>
    </row>
    <row r="393">
      <c r="W393" s="56" t="n">
        <v>-2.869872143825347</v>
      </c>
      <c r="X393" s="56" t="n">
        <v>13.85734515928337</v>
      </c>
    </row>
    <row r="394">
      <c r="W394" s="56" t="n">
        <v>1.072026572626328</v>
      </c>
      <c r="X394" s="56" t="n">
        <v>14.72414290575146</v>
      </c>
    </row>
    <row r="395">
      <c r="W395" s="56" t="n">
        <v>3.809070864993913</v>
      </c>
      <c r="X395" s="56" t="n">
        <v>8.418621292834928</v>
      </c>
    </row>
    <row r="396">
      <c r="W396" s="56" t="n">
        <v>5.943003667238074</v>
      </c>
      <c r="X396" s="56" t="n">
        <v>10.06669664065818</v>
      </c>
    </row>
    <row r="397">
      <c r="F397" s="48" t="n"/>
      <c r="W397" s="56" t="n">
        <v>4.393880056344102</v>
      </c>
      <c r="X397" s="56" t="n">
        <v>6.247192715273115</v>
      </c>
    </row>
    <row r="398">
      <c r="W398" s="56" t="n">
        <v>9.285905446513723</v>
      </c>
      <c r="X398" s="56" t="n">
        <v>-3.617389518850004</v>
      </c>
    </row>
    <row r="399">
      <c r="F399" s="48" t="n"/>
      <c r="W399" s="56" t="n">
        <v>13.01081248559579</v>
      </c>
      <c r="X399" s="56" t="n">
        <v>3.209606876388932</v>
      </c>
    </row>
    <row r="400">
      <c r="F400" s="48" t="n"/>
      <c r="W400" s="56" t="n">
        <v>14.08839865012483</v>
      </c>
      <c r="X400" s="56" t="n">
        <v>17.42779474315843</v>
      </c>
    </row>
    <row r="401">
      <c r="F401" s="48" t="n"/>
      <c r="W401" s="56" t="n">
        <v>1.223336188196171</v>
      </c>
      <c r="X401" s="56" t="n">
        <v>6.002754294996791</v>
      </c>
    </row>
    <row r="402">
      <c r="F402" s="48" t="n"/>
      <c r="W402" s="56" t="n">
        <v>-1.081865305180862</v>
      </c>
      <c r="X402" s="56" t="n">
        <v>-0.6476253567152952</v>
      </c>
    </row>
    <row r="403">
      <c r="W403" s="56" t="n">
        <v>0.8166702363054981</v>
      </c>
      <c r="X403" s="56" t="n">
        <v>4.887015799851298</v>
      </c>
    </row>
    <row r="404">
      <c r="W404" s="56" t="n">
        <v>10.89575435683172</v>
      </c>
      <c r="X404" s="56" t="n">
        <v>13.52268665349155</v>
      </c>
    </row>
    <row r="405">
      <c r="F405" s="48" t="n"/>
      <c r="W405" s="56" t="n">
        <v>0.7993531298973551</v>
      </c>
      <c r="X405" s="56" t="n">
        <v>3.057159606232645</v>
      </c>
    </row>
    <row r="406">
      <c r="W406" s="56" t="n">
        <v>0.5292541227826959</v>
      </c>
      <c r="X406" s="56" t="n">
        <v>2.469410126763592</v>
      </c>
    </row>
    <row r="407">
      <c r="F407" s="48" t="n"/>
      <c r="W407" s="56" t="n">
        <v>15.34501245694589</v>
      </c>
      <c r="X407" s="56" t="n">
        <v>21.65548795746376</v>
      </c>
    </row>
    <row r="408">
      <c r="U408" t="inlineStr">
        <is>
          <t>Non-Domestic</t>
        </is>
      </c>
      <c r="W408" s="56" t="n">
        <v>-1.474506386158083</v>
      </c>
      <c r="X408" s="56" t="n">
        <v>2.306597228793493</v>
      </c>
    </row>
    <row r="409">
      <c r="W409" s="56" t="n">
        <v>1.210034175606395</v>
      </c>
      <c r="X409" s="56" t="n">
        <v>15.10017061913067</v>
      </c>
    </row>
    <row r="410">
      <c r="F410" s="48" t="n"/>
      <c r="W410" s="56" t="n">
        <v>7.922847809389012</v>
      </c>
      <c r="X410" s="56" t="n">
        <v>10.9164396082715</v>
      </c>
    </row>
    <row r="411">
      <c r="F411" s="48" t="n"/>
      <c r="W411" s="56" t="n">
        <v>7.30707271536216</v>
      </c>
      <c r="X411" s="56" t="n">
        <v>4.278953491322845</v>
      </c>
    </row>
    <row r="412">
      <c r="F412" s="48" t="n"/>
      <c r="W412" s="56" t="n">
        <v>2.681230363661257</v>
      </c>
      <c r="X412" s="56" t="n">
        <v>14.69761676387523</v>
      </c>
    </row>
    <row r="413">
      <c r="W413" s="56" t="n">
        <v>8.104089514604908</v>
      </c>
      <c r="X413" s="56" t="n">
        <v>10.25167429329436</v>
      </c>
    </row>
    <row r="414">
      <c r="F414" s="48" t="n"/>
      <c r="W414" s="56" t="n">
        <v>11.54461321894843</v>
      </c>
      <c r="X414" s="56" t="n">
        <v>11.67634935092813</v>
      </c>
    </row>
    <row r="415">
      <c r="F415" s="48" t="n"/>
      <c r="W415" s="56" t="n">
        <v>8.899373499735766</v>
      </c>
      <c r="X415" s="56" t="n">
        <v>10.04422574752491</v>
      </c>
    </row>
    <row r="416">
      <c r="F416" s="48" t="n"/>
      <c r="W416" s="56" t="n">
        <v>2.633519761738917</v>
      </c>
      <c r="X416" s="56" t="n">
        <v>2.256815673065951</v>
      </c>
    </row>
    <row r="417">
      <c r="F417" s="48" t="n"/>
      <c r="W417" s="56" t="n">
        <v>27.13089260528061</v>
      </c>
      <c r="X417" s="56" t="n">
        <v>52.48692656390908</v>
      </c>
    </row>
    <row r="418">
      <c r="W418" s="56" t="n">
        <v>6.935752007134724</v>
      </c>
      <c r="X418" s="56" t="n">
        <v>25.60216934519794</v>
      </c>
    </row>
    <row r="419">
      <c r="W419" s="56" t="n">
        <v>5.270992514156973</v>
      </c>
      <c r="X419" s="56" t="n">
        <v>13.95460427906954</v>
      </c>
    </row>
    <row r="420">
      <c r="W420" s="56" t="n">
        <v>14.9185957885022</v>
      </c>
      <c r="X420" s="56" t="n">
        <v>15.96635763596979</v>
      </c>
    </row>
    <row r="421">
      <c r="W421" s="56" t="n">
        <v>15.44873390862804</v>
      </c>
      <c r="X421" s="56" t="n">
        <v>14.84913065383816</v>
      </c>
    </row>
    <row r="422">
      <c r="W422" s="56" t="n">
        <v>34.35290664601087</v>
      </c>
      <c r="X422" s="56" t="n">
        <v>5.560676874544583</v>
      </c>
    </row>
    <row r="423">
      <c r="W423" s="56" t="n">
        <v>32.77990200495037</v>
      </c>
      <c r="X423" s="56" t="n">
        <v>9.645012595014123</v>
      </c>
    </row>
    <row r="424">
      <c r="F424" s="48" t="n"/>
      <c r="W424" s="56" t="n">
        <v>34.62545730248048</v>
      </c>
      <c r="X424" s="56" t="n">
        <v>48.10087817599298</v>
      </c>
    </row>
    <row r="425">
      <c r="W425" s="56" t="n">
        <v>14.9512843424335</v>
      </c>
      <c r="X425" s="56" t="n">
        <v>18.11248398970086</v>
      </c>
    </row>
    <row r="426">
      <c r="W426" s="56" t="n">
        <v>-1.569353288135503</v>
      </c>
      <c r="X426" s="56" t="n">
        <v>6.765078030946398</v>
      </c>
    </row>
    <row r="427">
      <c r="W427" s="56" t="n">
        <v>-0.00488899272454546</v>
      </c>
      <c r="X427" s="56" t="n">
        <v>17.38901032485944</v>
      </c>
    </row>
    <row r="428">
      <c r="F428" s="48" t="n"/>
      <c r="W428" s="56" t="n">
        <v>-2.57311744699097</v>
      </c>
      <c r="X428" s="56" t="n">
        <v>6.485427237150176</v>
      </c>
    </row>
    <row r="429">
      <c r="F429" s="48" t="n"/>
      <c r="W429" s="56" t="n">
        <v>6.552949390338568</v>
      </c>
      <c r="X429" s="56" t="n">
        <v>18.69977774917183</v>
      </c>
    </row>
    <row r="430">
      <c r="W430" s="56" t="n">
        <v>5.566082116605315</v>
      </c>
      <c r="X430" s="56" t="n">
        <v>14.56946887819892</v>
      </c>
    </row>
    <row r="431">
      <c r="F431" s="48" t="n"/>
      <c r="W431" s="56" t="n">
        <v>0.102375371243852</v>
      </c>
      <c r="X431" s="56" t="n">
        <v>4.524030551921641</v>
      </c>
    </row>
    <row r="432">
      <c r="U432" t="inlineStr">
        <is>
          <t>Non-Domestic</t>
        </is>
      </c>
      <c r="W432" s="56" t="n">
        <v>7.577096763224596</v>
      </c>
      <c r="X432" s="56" t="n">
        <v>10.55734779044899</v>
      </c>
    </row>
    <row r="433">
      <c r="U433" t="inlineStr">
        <is>
          <t>Non-Domestic</t>
        </is>
      </c>
      <c r="W433" s="56" t="n">
        <v>2.274669052866486</v>
      </c>
      <c r="X433" s="56" t="n">
        <v>6.940244804803271</v>
      </c>
    </row>
    <row r="434">
      <c r="W434" s="56" t="n">
        <v>-2.863928599928315</v>
      </c>
      <c r="X434" s="56" t="n">
        <v>6.208355039937558</v>
      </c>
    </row>
    <row r="435">
      <c r="F435" s="48" t="n"/>
      <c r="W435" s="56" t="n">
        <v>-0.5380966133909126</v>
      </c>
      <c r="X435" s="56" t="n">
        <v>3.7883021404906</v>
      </c>
    </row>
    <row r="436">
      <c r="W436" s="56" t="n">
        <v>1.857765041675492</v>
      </c>
      <c r="X436" s="56" t="n">
        <v>16.10511824270799</v>
      </c>
    </row>
    <row r="437">
      <c r="W437" s="56" t="n">
        <v>13.5855092728752</v>
      </c>
      <c r="X437" s="56" t="n">
        <v>-2.515880024429819</v>
      </c>
    </row>
    <row r="438">
      <c r="F438" s="48" t="n"/>
      <c r="W438" s="56" t="n">
        <v>19.6909715938552</v>
      </c>
      <c r="X438" s="56" t="n">
        <v>26.15324379539259</v>
      </c>
    </row>
    <row r="439">
      <c r="F439" s="48" t="n"/>
      <c r="W439" s="56" t="n">
        <v>0.8511663664796458</v>
      </c>
      <c r="X439" s="56" t="n">
        <v>14.38181403556619</v>
      </c>
    </row>
    <row r="440">
      <c r="W440" s="56" t="n">
        <v>3.926895900152154</v>
      </c>
      <c r="X440" s="56" t="n">
        <v>11.7065632084924</v>
      </c>
    </row>
    <row r="441">
      <c r="W441" s="56" t="n">
        <v>11.18002294448685</v>
      </c>
      <c r="X441" s="56" t="n">
        <v>13.91007200939207</v>
      </c>
    </row>
    <row r="442">
      <c r="W442" s="56" t="n">
        <v>0.14051195173964</v>
      </c>
      <c r="X442" s="56" t="n">
        <v>6.616624322765638</v>
      </c>
    </row>
    <row r="443">
      <c r="F443" s="48" t="n"/>
      <c r="W443" s="56" t="n">
        <v>-0.5114091600925619</v>
      </c>
      <c r="X443" s="56" t="n">
        <v>16.26391076393992</v>
      </c>
    </row>
    <row r="444">
      <c r="W444" s="56" t="n">
        <v>-2.06918800309753</v>
      </c>
      <c r="X444" s="56" t="n">
        <v>0.8280320645008103</v>
      </c>
    </row>
    <row r="445">
      <c r="W445" s="56" t="n">
        <v>-4.688914153027113</v>
      </c>
      <c r="X445" s="56" t="n">
        <v>3.035495682927404</v>
      </c>
    </row>
    <row r="446">
      <c r="W446" s="56" t="n">
        <v>-0.781569072622105</v>
      </c>
      <c r="X446" s="56" t="n">
        <v>4.904765542793704</v>
      </c>
    </row>
    <row r="447">
      <c r="W447" s="56" t="n">
        <v>-1.076807142116351</v>
      </c>
      <c r="X447" s="56" t="n">
        <v>4.178437443127869</v>
      </c>
    </row>
    <row r="448">
      <c r="F448" s="48" t="n"/>
      <c r="W448" s="56" t="n">
        <v>-0.197520727824724</v>
      </c>
      <c r="X448" s="56" t="n">
        <v>29.3397275391406</v>
      </c>
    </row>
    <row r="449">
      <c r="F449" s="48" t="n"/>
      <c r="W449" s="56" t="n">
        <v>7.44238804609018</v>
      </c>
      <c r="X449" s="56" t="n">
        <v>13.45805416296177</v>
      </c>
    </row>
    <row r="450">
      <c r="W450" s="56" t="n">
        <v>4.836385805121708</v>
      </c>
      <c r="X450" s="56" t="n">
        <v>16.1290385101024</v>
      </c>
    </row>
    <row r="451">
      <c r="W451" s="56" t="n">
        <v>1.5452417942236</v>
      </c>
      <c r="X451" s="56" t="n">
        <v>13.05773856221256</v>
      </c>
    </row>
    <row r="452">
      <c r="F452" s="48" t="n"/>
      <c r="W452" s="56" t="n">
        <v>7.322009482506587</v>
      </c>
      <c r="X452" s="56" t="n">
        <v>-1.059874704935822</v>
      </c>
    </row>
    <row r="453">
      <c r="W453" s="56" t="n">
        <v>0.7919942529765507</v>
      </c>
      <c r="X453" s="56" t="n">
        <v>13.83635992367323</v>
      </c>
    </row>
    <row r="454">
      <c r="W454" s="56" t="n">
        <v>22.13845950120828</v>
      </c>
      <c r="X454" s="56" t="n">
        <v>23.22271757566861</v>
      </c>
    </row>
    <row r="455">
      <c r="F455" s="48" t="n"/>
      <c r="W455" s="56" t="n">
        <v>2.749434344891228</v>
      </c>
      <c r="X455" s="56" t="n">
        <v>13.25759713843223</v>
      </c>
    </row>
    <row r="456">
      <c r="W456" s="56" t="n">
        <v>-0.2177012769444104</v>
      </c>
      <c r="X456" s="56" t="n">
        <v>13.23370828959499</v>
      </c>
    </row>
    <row r="457">
      <c r="W457" s="56" t="n">
        <v>1.982909962113112</v>
      </c>
      <c r="X457" s="56" t="n">
        <v>14.75324639888565</v>
      </c>
    </row>
    <row r="458">
      <c r="W458" s="56" t="n">
        <v>7.170468737653209</v>
      </c>
      <c r="X458" s="56" t="n">
        <v>8.227724037603878</v>
      </c>
    </row>
    <row r="459">
      <c r="W459" s="56" t="n">
        <v>12.43719573518267</v>
      </c>
      <c r="X459" s="56" t="n">
        <v>15.67404303085812</v>
      </c>
    </row>
    <row r="460">
      <c r="W460" s="56" t="n">
        <v>1.675701147148104</v>
      </c>
      <c r="X460" s="56" t="n">
        <v>19.58964215362334</v>
      </c>
    </row>
    <row r="461">
      <c r="W461" s="56" t="n">
        <v>1.132667068419622</v>
      </c>
      <c r="X461" s="56" t="n">
        <v>20.84827151102398</v>
      </c>
    </row>
    <row r="462">
      <c r="W462" s="56" t="n">
        <v>8.830211202433162</v>
      </c>
      <c r="X462" s="56" t="n">
        <v>14.67987732157417</v>
      </c>
    </row>
    <row r="463">
      <c r="W463" s="56" t="n">
        <v>10.4470351587721</v>
      </c>
      <c r="X463" s="56" t="n">
        <v>13.66289335873167</v>
      </c>
    </row>
    <row r="464">
      <c r="F464" s="48" t="n"/>
      <c r="W464" s="56" t="n">
        <v>-4.154881046626926</v>
      </c>
      <c r="X464" s="56" t="n">
        <v>-0.9599254415546028</v>
      </c>
    </row>
    <row r="465">
      <c r="W465" s="56" t="n">
        <v>-6.0883590357316</v>
      </c>
      <c r="X465" s="56" t="n">
        <v>-2.15376961594859</v>
      </c>
    </row>
    <row r="466">
      <c r="W466" s="56" t="n">
        <v>34.12751938664465</v>
      </c>
      <c r="X466" s="56" t="n">
        <v>55.25346024180266</v>
      </c>
    </row>
    <row r="467">
      <c r="F467" s="48" t="n"/>
      <c r="W467" s="56" t="n">
        <v>-1.401657807368196</v>
      </c>
      <c r="X467" s="56" t="n">
        <v>9.332279835325835</v>
      </c>
    </row>
    <row r="468">
      <c r="F468" s="48" t="n"/>
      <c r="W468" s="56" t="n">
        <v>8.941090054119712</v>
      </c>
      <c r="X468" s="56" t="n">
        <v>10.55408747821771</v>
      </c>
    </row>
    <row r="469">
      <c r="F469" s="48" t="n"/>
      <c r="W469" s="56" t="n">
        <v>33.79495547682598</v>
      </c>
      <c r="X469" s="56" t="n">
        <v>42.90282848235564</v>
      </c>
    </row>
    <row r="470">
      <c r="W470" s="56" t="n">
        <v>5.24586214952987</v>
      </c>
      <c r="X470" s="56" t="n">
        <v>9.895286323357155</v>
      </c>
    </row>
    <row r="471">
      <c r="F471" s="48" t="n"/>
      <c r="W471" s="56" t="n">
        <v>9.284692349902215</v>
      </c>
      <c r="X471" s="56" t="n">
        <v>12.95362537250251</v>
      </c>
    </row>
    <row r="472">
      <c r="W472" s="56" t="n">
        <v>20.57370560324642</v>
      </c>
      <c r="X472" s="56" t="n">
        <v>31.18946911802873</v>
      </c>
    </row>
    <row r="473">
      <c r="W473" s="56" t="n">
        <v>13.73786510285873</v>
      </c>
      <c r="X473" s="56" t="n">
        <v>13.54032858972309</v>
      </c>
    </row>
    <row r="474">
      <c r="F474" s="48" t="n"/>
      <c r="W474" s="56" t="n">
        <v>4.792538631053702</v>
      </c>
      <c r="X474" s="56" t="n">
        <v>17.30773743012952</v>
      </c>
    </row>
    <row r="475">
      <c r="W475" s="56" t="n">
        <v>10.13842786685252</v>
      </c>
      <c r="X475" s="56" t="n">
        <v>4.705687265827819</v>
      </c>
    </row>
    <row r="476">
      <c r="W476" s="56" t="n">
        <v>12.00284950986781</v>
      </c>
      <c r="X476" s="56" t="n">
        <v>-0.8915093818629316</v>
      </c>
    </row>
    <row r="477">
      <c r="W477" s="56" t="n">
        <v>35.67090683500305</v>
      </c>
      <c r="X477" s="56" t="n">
        <v>19.43290747501035</v>
      </c>
    </row>
    <row r="478">
      <c r="W478" s="56" t="n">
        <v>7.203227340475053</v>
      </c>
      <c r="X478" s="56" t="n">
        <v>6.551691382214528</v>
      </c>
    </row>
    <row r="479">
      <c r="W479" s="56" t="n">
        <v>-0.000563439986670744</v>
      </c>
      <c r="X479" s="56" t="n">
        <v>0</v>
      </c>
    </row>
    <row r="480">
      <c r="W480" s="56" t="n">
        <v>0</v>
      </c>
      <c r="X480" s="56" t="n">
        <v>0</v>
      </c>
    </row>
    <row r="481">
      <c r="W481" s="56" t="n">
        <v>-0.947441258179893</v>
      </c>
      <c r="X481" s="56" t="n">
        <v>3.696983503411857</v>
      </c>
    </row>
    <row r="482">
      <c r="F482" s="48" t="n"/>
      <c r="W482" s="56" t="n">
        <v>4.200316780869315</v>
      </c>
      <c r="X482" s="56" t="n">
        <v>10.62668283266396</v>
      </c>
    </row>
    <row r="483">
      <c r="W483" s="56" t="n">
        <v>11.69139457641448</v>
      </c>
      <c r="X483" s="56" t="n">
        <v>12.341776573975</v>
      </c>
    </row>
    <row r="484">
      <c r="W484" s="56" t="n">
        <v>40.41770616297001</v>
      </c>
      <c r="X484" s="56" t="n">
        <v>52.99420413713707</v>
      </c>
    </row>
    <row r="485">
      <c r="F485" s="48" t="n"/>
      <c r="W485" s="56" t="n">
        <v>16.93642525300378</v>
      </c>
      <c r="X485" s="56" t="n">
        <v>33.87492199849229</v>
      </c>
    </row>
    <row r="486">
      <c r="W486" s="56" t="n">
        <v>19.80729291067082</v>
      </c>
      <c r="X486" s="56" t="n">
        <v>28.75487643603363</v>
      </c>
    </row>
    <row r="487">
      <c r="W487" s="56" t="n">
        <v>18.11575372504187</v>
      </c>
      <c r="X487" s="56" t="n">
        <v>18.91810461273817</v>
      </c>
    </row>
    <row r="488">
      <c r="W488" s="56" t="n">
        <v>17.87721556567466</v>
      </c>
      <c r="X488" s="56" t="n">
        <v>30.5679506017845</v>
      </c>
    </row>
    <row r="489">
      <c r="W489" s="56" t="n">
        <v>-3.032801928027993</v>
      </c>
      <c r="X489" s="56" t="n">
        <v>7.225740036788622</v>
      </c>
    </row>
    <row r="490">
      <c r="W490" s="56" t="n">
        <v>11.91508698941809</v>
      </c>
      <c r="X490" s="56" t="n">
        <v>29.58589057922677</v>
      </c>
    </row>
    <row r="491">
      <c r="W491" s="56" t="n">
        <v>1.434738562390223</v>
      </c>
      <c r="X491" s="56" t="n">
        <v>9.645096043127225</v>
      </c>
    </row>
    <row r="492">
      <c r="W492" s="56" t="n">
        <v>17.84858294480222</v>
      </c>
      <c r="X492" s="56" t="n">
        <v>21.43583993633581</v>
      </c>
    </row>
    <row r="493">
      <c r="F493" s="48" t="n"/>
      <c r="W493" s="56" t="n">
        <v>4.16741948162597</v>
      </c>
      <c r="X493" s="56" t="n">
        <v>16.58023690996093</v>
      </c>
    </row>
    <row r="494">
      <c r="F494" s="48" t="n"/>
      <c r="W494" s="56" t="n">
        <v>7.548410671607058</v>
      </c>
      <c r="X494" s="56" t="n">
        <v>18.83150026590745</v>
      </c>
    </row>
    <row r="495">
      <c r="W495" s="56" t="n">
        <v>5.484665704007064</v>
      </c>
      <c r="X495" s="56" t="n">
        <v>14.16534234776366</v>
      </c>
    </row>
    <row r="496">
      <c r="F496" s="48" t="n"/>
      <c r="W496" s="56" t="n">
        <v>3.787724224506178</v>
      </c>
      <c r="X496" s="56" t="n">
        <v>10.96241116911894</v>
      </c>
    </row>
    <row r="497">
      <c r="W497" s="56" t="n">
        <v>6.786962247994246</v>
      </c>
      <c r="X497" s="56" t="n">
        <v>11.94762997797855</v>
      </c>
    </row>
    <row r="498">
      <c r="W498" s="56" t="n">
        <v>7.371010324300514</v>
      </c>
      <c r="X498" s="56" t="n">
        <v>12.90793467549631</v>
      </c>
    </row>
    <row r="499">
      <c r="W499" s="56" t="n">
        <v>11.89959180478788</v>
      </c>
      <c r="X499" s="56" t="n">
        <v>21.87120959026582</v>
      </c>
    </row>
    <row r="500">
      <c r="W500" s="56" t="n">
        <v>4.708024756882438</v>
      </c>
      <c r="X500" s="56" t="n">
        <v>6.466806180303266</v>
      </c>
    </row>
    <row r="501">
      <c r="W501" s="56" t="n">
        <v>12.55773948590067</v>
      </c>
      <c r="X501" s="56" t="n">
        <v>9.78608262939327</v>
      </c>
    </row>
    <row r="502">
      <c r="W502" s="56" t="n">
        <v>18.59703026627423</v>
      </c>
      <c r="X502" s="56" t="n">
        <v>32.43674851203318</v>
      </c>
    </row>
    <row r="503">
      <c r="W503" s="56" t="n">
        <v>3.159494239780059</v>
      </c>
      <c r="X503" s="56" t="n">
        <v>8.389168420801212</v>
      </c>
    </row>
    <row r="504">
      <c r="F504" s="48" t="n"/>
      <c r="W504" s="56" t="n">
        <v>6.944167627491865</v>
      </c>
      <c r="X504" s="56" t="n">
        <v>11.62136030741651</v>
      </c>
    </row>
    <row r="505">
      <c r="F505" s="48" t="n"/>
      <c r="W505" s="56" t="n">
        <v>4.246760139775567</v>
      </c>
      <c r="X505" s="56" t="n">
        <v>3.70906965501117</v>
      </c>
    </row>
    <row r="506">
      <c r="F506" s="48" t="n"/>
      <c r="W506" s="56" t="n">
        <v>4.777952564475001</v>
      </c>
      <c r="X506" s="56" t="n">
        <v>14.90322247396882</v>
      </c>
    </row>
    <row r="507">
      <c r="W507" s="56" t="n">
        <v>21.67123195343385</v>
      </c>
      <c r="X507" s="56" t="n">
        <v>20.96298218849722</v>
      </c>
    </row>
    <row r="508">
      <c r="F508" s="48" t="n"/>
      <c r="W508" s="56" t="n">
        <v>2.330063872964146</v>
      </c>
      <c r="X508" s="56" t="n">
        <v>0.08455636366484498</v>
      </c>
    </row>
    <row r="509">
      <c r="W509" s="56" t="n">
        <v>34.28031414023559</v>
      </c>
      <c r="X509" s="56" t="n">
        <v>38.06701953065738</v>
      </c>
    </row>
    <row r="510">
      <c r="F510" s="48" t="n"/>
      <c r="W510" s="56" t="n">
        <v>-6.73602483216095</v>
      </c>
      <c r="X510" s="56" t="n">
        <v>-72.36055597630673</v>
      </c>
    </row>
    <row r="511">
      <c r="F511" s="48" t="n"/>
      <c r="W511" s="56" t="n">
        <v>-18.11973077412298</v>
      </c>
      <c r="X511" s="56" t="n">
        <v>15.46306862920719</v>
      </c>
    </row>
    <row r="512">
      <c r="F512" s="48" t="n"/>
      <c r="W512" s="56" t="n">
        <v>2.9316294318904</v>
      </c>
      <c r="X512" s="56" t="n">
        <v>57.67166678140558</v>
      </c>
    </row>
    <row r="513">
      <c r="W513" s="56" t="n">
        <v>-3.531729161790679</v>
      </c>
      <c r="X513" s="56" t="n">
        <v>75.51931190761653</v>
      </c>
    </row>
    <row r="514">
      <c r="W514" s="56" t="n">
        <v>4.365864213255364</v>
      </c>
      <c r="X514" s="56" t="n">
        <v>10.23899868657505</v>
      </c>
    </row>
    <row r="515">
      <c r="W515" s="56" t="n">
        <v>6.57427660280419</v>
      </c>
      <c r="X515" s="56" t="n">
        <v>10.929633468048</v>
      </c>
    </row>
    <row r="516">
      <c r="W516" s="56" t="n">
        <v>-11.75381630770643</v>
      </c>
      <c r="X516" s="56" t="n">
        <v>-48.81234862028251</v>
      </c>
    </row>
    <row r="517">
      <c r="W517" s="56" t="n">
        <v>4.551957751850175</v>
      </c>
      <c r="X517" s="56" t="n">
        <v>3.72230408979626</v>
      </c>
    </row>
    <row r="518">
      <c r="F518" s="48" t="n"/>
      <c r="W518" s="56" t="n">
        <v>2.641311475180174</v>
      </c>
      <c r="X518" s="56" t="n">
        <v>-16.35679331768159</v>
      </c>
    </row>
    <row r="519">
      <c r="F519" s="48" t="n"/>
      <c r="W519" s="56" t="n">
        <v>7.37267854890267</v>
      </c>
      <c r="X519" s="56" t="n">
        <v>-18.3054239821931</v>
      </c>
    </row>
    <row r="520">
      <c r="F520" s="48" t="n"/>
      <c r="W520" s="56" t="n">
        <v>9.794846510596869</v>
      </c>
      <c r="X520" s="56" t="n">
        <v>-8.882636183349064</v>
      </c>
    </row>
    <row r="521">
      <c r="W521" s="56" t="n">
        <v>4.206293435181493</v>
      </c>
      <c r="X521" s="56" t="n">
        <v>-18.22672967976888</v>
      </c>
    </row>
    <row r="522">
      <c r="F522" s="48" t="n"/>
      <c r="W522" s="56" t="n">
        <v>7.995105426959782</v>
      </c>
      <c r="X522" s="56" t="n">
        <v>-22.97702064901627</v>
      </c>
    </row>
    <row r="523">
      <c r="W523" s="56" t="n">
        <v>37.23805619923439</v>
      </c>
      <c r="X523" s="56" t="n">
        <v>45.46675292913255</v>
      </c>
    </row>
    <row r="524">
      <c r="W524" s="56" t="n">
        <v>30.2141404417093</v>
      </c>
      <c r="X524" s="56" t="n">
        <v>36.13475741575792</v>
      </c>
    </row>
    <row r="525">
      <c r="W525" s="56" t="n">
        <v>36.96057389210787</v>
      </c>
      <c r="X525" s="56" t="n">
        <v>71.40844243934959</v>
      </c>
    </row>
    <row r="526">
      <c r="U526" t="inlineStr">
        <is>
          <t>Domestic</t>
        </is>
      </c>
      <c r="W526" s="56" t="n">
        <v>1.239467037508142</v>
      </c>
      <c r="X526" s="56" t="n">
        <v>6.861008596563899</v>
      </c>
    </row>
    <row r="527">
      <c r="W527" s="56" t="n">
        <v>0.9174855009820462</v>
      </c>
      <c r="X527" s="56" t="n">
        <v>9.862330466010931</v>
      </c>
    </row>
    <row r="528">
      <c r="W528" s="56" t="n">
        <v>-1.066186280984326</v>
      </c>
      <c r="X528" s="56" t="n">
        <v>5.858363501012178</v>
      </c>
    </row>
    <row r="529">
      <c r="F529" s="48" t="n"/>
      <c r="W529" s="56" t="n">
        <v>3.00154957624656</v>
      </c>
      <c r="X529" s="56" t="n">
        <v>14.06523312445123</v>
      </c>
    </row>
    <row r="530">
      <c r="F530" s="48" t="n"/>
      <c r="W530" s="56" t="n">
        <v>1.484610713539134</v>
      </c>
      <c r="X530" s="56" t="n">
        <v>11.74379954466954</v>
      </c>
    </row>
    <row r="531">
      <c r="F531" s="48" t="n"/>
      <c r="W531" s="56" t="n">
        <v>-5.743242404765965</v>
      </c>
      <c r="X531" s="56" t="n">
        <v>2.483684209641751</v>
      </c>
    </row>
    <row r="532">
      <c r="W532" s="56" t="n">
        <v>0.2357479941161458</v>
      </c>
      <c r="X532" s="56" t="n">
        <v>7.06575219748165</v>
      </c>
    </row>
    <row r="533">
      <c r="F533" s="48" t="n"/>
      <c r="W533" s="56" t="n">
        <v>1.318463863273735</v>
      </c>
      <c r="X533" s="56" t="n">
        <v>7.190259411393988</v>
      </c>
    </row>
    <row r="534">
      <c r="W534" s="56" t="n">
        <v>0.4901084971267267</v>
      </c>
      <c r="X534" s="56" t="n">
        <v>9.442169847898725</v>
      </c>
    </row>
    <row r="535">
      <c r="W535" s="56" t="n">
        <v>30.83140948959574</v>
      </c>
      <c r="X535" s="56" t="n">
        <v>50.39086000391584</v>
      </c>
    </row>
    <row r="536">
      <c r="F536" s="48" t="n"/>
      <c r="W536" s="56" t="n">
        <v>13.06020400193412</v>
      </c>
      <c r="X536" s="56" t="n">
        <v>33.12689201917348</v>
      </c>
    </row>
    <row r="537">
      <c r="W537" s="56" t="n">
        <v>18.36732807847542</v>
      </c>
      <c r="X537" s="56" t="n">
        <v>25.43394611918843</v>
      </c>
    </row>
    <row r="538">
      <c r="F538" s="48" t="n"/>
      <c r="W538" s="56" t="n">
        <v>4.670142516634243</v>
      </c>
      <c r="X538" s="56" t="n">
        <v>3.230038428701505</v>
      </c>
    </row>
    <row r="539">
      <c r="F539" s="48" t="n"/>
      <c r="W539" s="56" t="n">
        <v>1.033769901976811</v>
      </c>
      <c r="X539" s="56" t="n">
        <v>2.239986103640479</v>
      </c>
    </row>
    <row r="540">
      <c r="W540" s="56" t="n">
        <v>-1.583370828497564</v>
      </c>
      <c r="X540" s="56" t="n">
        <v>6.223207761134603</v>
      </c>
    </row>
    <row r="541">
      <c r="W541" s="56" t="n">
        <v>26.55359872119474</v>
      </c>
      <c r="X541" s="56" t="n">
        <v>34.73773782427894</v>
      </c>
    </row>
    <row r="542">
      <c r="W542" s="56" t="n">
        <v>9.622788023677685</v>
      </c>
      <c r="X542" s="56" t="n">
        <v>17.95940252140569</v>
      </c>
    </row>
    <row r="543">
      <c r="W543" s="56" t="n">
        <v>6.259410774060242</v>
      </c>
      <c r="X543" s="56" t="n">
        <v>23.88746689948091</v>
      </c>
    </row>
    <row r="544">
      <c r="W544" s="56" t="n">
        <v>28.68115988833385</v>
      </c>
      <c r="X544" s="56" t="n">
        <v>58.78375912886726</v>
      </c>
    </row>
    <row r="545">
      <c r="F545" s="48" t="n"/>
      <c r="W545" s="56" t="n">
        <v>0.9285991562763662</v>
      </c>
      <c r="X545" s="56" t="n">
        <v>-0.4654174625008984</v>
      </c>
    </row>
    <row r="546">
      <c r="U546" t="inlineStr">
        <is>
          <t>Domestic</t>
        </is>
      </c>
      <c r="W546" s="56" t="n">
        <v>1.05581307921608</v>
      </c>
      <c r="X546" s="56" t="n">
        <v>-0.7290245037120826</v>
      </c>
    </row>
    <row r="547">
      <c r="W547" s="56" t="n">
        <v>7.678649630487229</v>
      </c>
      <c r="X547" s="56" t="n">
        <v>12.38774900434237</v>
      </c>
    </row>
    <row r="548">
      <c r="F548" s="48" t="n"/>
      <c r="W548" s="56" t="n">
        <v>3.256701674359135</v>
      </c>
      <c r="X548" s="56" t="n">
        <v>-10.44447001104464</v>
      </c>
    </row>
    <row r="549">
      <c r="F549" s="48" t="n"/>
      <c r="W549" s="56" t="n">
        <v>13.49368940917923</v>
      </c>
      <c r="X549" s="56" t="n">
        <v>18.64033869150406</v>
      </c>
    </row>
    <row r="550">
      <c r="F550" s="48" t="n"/>
      <c r="W550" s="56" t="n">
        <v>-0.7929761706514711</v>
      </c>
      <c r="X550" s="56" t="n">
        <v>-0.4789902770473873</v>
      </c>
    </row>
    <row r="551">
      <c r="F551" s="48" t="n"/>
      <c r="W551" s="56" t="n">
        <v>21.39078955999656</v>
      </c>
      <c r="X551" s="56" t="n">
        <v>51.17722455007006</v>
      </c>
    </row>
    <row r="552">
      <c r="W552" s="56" t="n">
        <v>15.59796068843215</v>
      </c>
      <c r="X552" s="56" t="n">
        <v>26.8185384111012</v>
      </c>
    </row>
    <row r="553">
      <c r="F553" s="48" t="n"/>
      <c r="W553" s="56" t="n">
        <v>23.76831497970885</v>
      </c>
      <c r="X553" s="56" t="n">
        <v>40.00122370316328</v>
      </c>
    </row>
    <row r="554">
      <c r="W554" s="56" t="n">
        <v>12.07116020329426</v>
      </c>
      <c r="X554" s="56" t="n">
        <v>20.68840341014112</v>
      </c>
    </row>
    <row r="555">
      <c r="F555" s="48" t="n"/>
      <c r="W555" s="56" t="n">
        <v>9.317631942644937</v>
      </c>
      <c r="X555" s="56" t="n">
        <v>9.386162786261764</v>
      </c>
    </row>
    <row r="556">
      <c r="F556" s="48" t="n"/>
      <c r="W556" s="56" t="n">
        <v>6.55360381371294</v>
      </c>
      <c r="X556" s="56" t="n">
        <v>10.08942525950961</v>
      </c>
    </row>
    <row r="557">
      <c r="F557" s="48" t="n"/>
      <c r="W557" s="56" t="n">
        <v>2.904543989967323</v>
      </c>
      <c r="X557" s="56" t="n">
        <v>6.027996553039316</v>
      </c>
    </row>
    <row r="558">
      <c r="W558" s="56" t="n">
        <v>6.319566634424831</v>
      </c>
      <c r="X558" s="56" t="n">
        <v>14.72339152738533</v>
      </c>
    </row>
    <row r="559">
      <c r="W559" s="56" t="n">
        <v>6.118855700600477</v>
      </c>
      <c r="X559" s="56" t="n">
        <v>17.45419528280554</v>
      </c>
    </row>
    <row r="560">
      <c r="F560" s="48" t="n"/>
      <c r="W560" s="56" t="n">
        <v>7.465949892434928</v>
      </c>
      <c r="X560" s="56" t="n">
        <v>13.66731444132463</v>
      </c>
    </row>
    <row r="561">
      <c r="W561" s="56" t="n">
        <v>10.89977042303929</v>
      </c>
      <c r="X561" s="56" t="n">
        <v>-5.04388143959045</v>
      </c>
    </row>
    <row r="562">
      <c r="W562" s="56" t="n">
        <v>0.2873235931796501</v>
      </c>
      <c r="X562" s="56" t="n">
        <v>5.195423899138802</v>
      </c>
    </row>
    <row r="563">
      <c r="W563" s="56" t="n">
        <v>12.61075884201136</v>
      </c>
      <c r="X563" s="56" t="n">
        <v>9.86491593371094</v>
      </c>
    </row>
    <row r="564">
      <c r="W564" s="56" t="n">
        <v>-2.31531034601678</v>
      </c>
      <c r="X564" s="56" t="n">
        <v>7.730602871540412</v>
      </c>
    </row>
    <row r="565">
      <c r="W565" s="56" t="n">
        <v>9.14212884646318</v>
      </c>
      <c r="X565" s="56" t="n">
        <v>8.340112834568217</v>
      </c>
    </row>
    <row r="566">
      <c r="W566" s="56" t="n">
        <v>16.52124775587912</v>
      </c>
      <c r="X566" s="56" t="n">
        <v>15.56150260223147</v>
      </c>
    </row>
    <row r="567">
      <c r="W567" s="56" t="n">
        <v>13.97919848033922</v>
      </c>
      <c r="X567" s="56" t="n">
        <v>28.91557187541633</v>
      </c>
    </row>
    <row r="568">
      <c r="W568" s="56" t="n">
        <v>2.134412849840629</v>
      </c>
      <c r="X568" s="56" t="n">
        <v>2.016273130194605</v>
      </c>
    </row>
    <row r="569">
      <c r="W569" s="56" t="n">
        <v>3.72568007552465</v>
      </c>
      <c r="X569" s="56" t="n">
        <v>20.3339490926752</v>
      </c>
    </row>
    <row r="570">
      <c r="F570" s="48" t="n"/>
      <c r="W570" s="56" t="n">
        <v>12.76536684470328</v>
      </c>
      <c r="X570" s="56" t="n">
        <v>10.7895276593152</v>
      </c>
    </row>
    <row r="571">
      <c r="F571" s="48" t="n"/>
      <c r="W571" s="56" t="n">
        <v>10.94772847798866</v>
      </c>
      <c r="X571" s="56" t="n">
        <v>12.82168571053084</v>
      </c>
    </row>
    <row r="572">
      <c r="W572" s="56" t="n">
        <v>9.304251821204318</v>
      </c>
      <c r="X572" s="56" t="n">
        <v>3.30858087628252</v>
      </c>
    </row>
    <row r="573">
      <c r="F573" s="48" t="n"/>
      <c r="W573" s="56" t="n">
        <v>11.16768156214467</v>
      </c>
      <c r="X573" s="56" t="n">
        <v>5.309910134748407</v>
      </c>
    </row>
    <row r="574">
      <c r="F574" s="48" t="n"/>
      <c r="W574" s="56" t="n">
        <v>5.418984379338454</v>
      </c>
      <c r="X574" s="56" t="n">
        <v>-0.04241532480438792</v>
      </c>
    </row>
    <row r="575">
      <c r="W575" s="56" t="n">
        <v>13.5282632240132</v>
      </c>
      <c r="X575" s="56" t="n">
        <v>8.887437605642738</v>
      </c>
    </row>
    <row r="576">
      <c r="W576" s="56" t="n">
        <v>24.61003237885448</v>
      </c>
      <c r="X576" s="56" t="n">
        <v>28.03679680512597</v>
      </c>
    </row>
    <row r="577">
      <c r="W577" s="56" t="n">
        <v>19.81692358950158</v>
      </c>
      <c r="X577" s="56" t="n">
        <v>55.92065801961846</v>
      </c>
    </row>
    <row r="578">
      <c r="W578" s="56" t="n">
        <v>33.07728566762623</v>
      </c>
      <c r="X578" s="56" t="n">
        <v>52.41475093526992</v>
      </c>
    </row>
    <row r="579">
      <c r="W579" s="56" t="n">
        <v>6.309559584631216</v>
      </c>
      <c r="X579" s="56" t="n">
        <v>6.434207633162146</v>
      </c>
    </row>
    <row r="580">
      <c r="W580" s="56" t="n">
        <v>47.84987804830149</v>
      </c>
      <c r="X580" s="56" t="n">
        <v>109.7553444851773</v>
      </c>
    </row>
    <row r="581">
      <c r="W581" s="56" t="n">
        <v>42.07705921167622</v>
      </c>
      <c r="X581" s="56" t="n">
        <v>42.81585821964543</v>
      </c>
    </row>
    <row r="582">
      <c r="W582" s="56" t="n">
        <v>5.714342497456741</v>
      </c>
      <c r="X582" s="56" t="n">
        <v>25.07482966764329</v>
      </c>
    </row>
    <row r="583">
      <c r="F583" s="48" t="n"/>
      <c r="W583" s="56" t="n">
        <v>-1.516446106230852</v>
      </c>
      <c r="X583" s="56" t="n">
        <v>1.838362488034264</v>
      </c>
    </row>
    <row r="584">
      <c r="F584" s="48" t="n"/>
      <c r="W584" s="56" t="n">
        <v>-0.6404246506926086</v>
      </c>
      <c r="X584" s="56" t="n">
        <v>10.42555596662463</v>
      </c>
    </row>
    <row r="585">
      <c r="W585" s="56" t="n">
        <v>-2.172191791391846</v>
      </c>
      <c r="X585" s="56" t="n">
        <v>8.105326527768277</v>
      </c>
    </row>
    <row r="586">
      <c r="F586" s="48" t="n"/>
      <c r="U586" t="inlineStr">
        <is>
          <t>Domestic</t>
        </is>
      </c>
      <c r="W586" s="56" t="n">
        <v>0.3511639396672521</v>
      </c>
      <c r="X586" s="56" t="n">
        <v>1.462875216829786</v>
      </c>
    </row>
    <row r="587">
      <c r="W587" s="56" t="n">
        <v>27.70827610100322</v>
      </c>
      <c r="X587" s="56" t="n">
        <v>55.48593768329255</v>
      </c>
    </row>
    <row r="588">
      <c r="W588" s="56" t="n">
        <v>28.6012611646961</v>
      </c>
      <c r="X588" s="56" t="n">
        <v>49.98402789805759</v>
      </c>
    </row>
    <row r="589">
      <c r="W589" s="56" t="n">
        <v>21.88505136550219</v>
      </c>
      <c r="X589" s="56" t="n">
        <v>45.39139557041828</v>
      </c>
    </row>
    <row r="590">
      <c r="W590" s="56" t="n">
        <v>27.38419202743532</v>
      </c>
      <c r="X590" s="56" t="n">
        <v>38.16810522731927</v>
      </c>
    </row>
    <row r="591">
      <c r="W591" s="56" t="n">
        <v>30.09744599288521</v>
      </c>
      <c r="X591" s="56" t="n">
        <v>59.49784714895337</v>
      </c>
    </row>
    <row r="592">
      <c r="W592" s="56" t="n">
        <v>25.03651460440287</v>
      </c>
      <c r="X592" s="56" t="n">
        <v>44.81030035972861</v>
      </c>
    </row>
    <row r="593">
      <c r="W593" s="56" t="n">
        <v>22.23824375734924</v>
      </c>
      <c r="X593" s="56" t="n">
        <v>45.23197279094651</v>
      </c>
    </row>
    <row r="594">
      <c r="F594" s="48" t="n"/>
      <c r="W594" s="56" t="n">
        <v>22.88868155206359</v>
      </c>
      <c r="X594" s="56" t="n">
        <v>42.43787245393756</v>
      </c>
    </row>
    <row r="595">
      <c r="F595" s="48" t="n"/>
      <c r="W595" s="56" t="n">
        <v>26.24004042655147</v>
      </c>
      <c r="X595" s="56" t="n">
        <v>6.902636123477208</v>
      </c>
    </row>
    <row r="596">
      <c r="U596" t="inlineStr">
        <is>
          <t>Non-Domestic</t>
        </is>
      </c>
      <c r="W596" s="56" t="n">
        <v>5.045850707465817</v>
      </c>
      <c r="X596" s="56" t="n">
        <v>13.63769729364276</v>
      </c>
    </row>
    <row r="597">
      <c r="F597" s="48" t="n"/>
      <c r="U597" t="inlineStr">
        <is>
          <t>Non-Domestic</t>
        </is>
      </c>
      <c r="W597" s="56" t="n">
        <v>2.008501561559783</v>
      </c>
      <c r="X597" s="56" t="n">
        <v>0.4611337329816365</v>
      </c>
    </row>
    <row r="598">
      <c r="W598" s="56" t="n">
        <v>33.43791299435633</v>
      </c>
      <c r="X598" s="56" t="n">
        <v>48.4667144318921</v>
      </c>
    </row>
    <row r="599">
      <c r="F599" s="48" t="n"/>
      <c r="W599" s="56" t="n">
        <v>3.460753990211877</v>
      </c>
      <c r="X599" s="56" t="n">
        <v>18.45636246076054</v>
      </c>
    </row>
    <row r="600">
      <c r="F600" s="48" t="n"/>
      <c r="W600" s="56" t="n">
        <v>-0.7515094159204381</v>
      </c>
      <c r="X600" s="56" t="n">
        <v>11.03646127451969</v>
      </c>
    </row>
    <row r="601">
      <c r="F601" s="48" t="n"/>
      <c r="W601" s="56" t="n">
        <v>13.04239364314088</v>
      </c>
      <c r="X601" s="56" t="n">
        <v>10.7340641299982</v>
      </c>
    </row>
    <row r="602">
      <c r="F602" s="48" t="n"/>
      <c r="W602" s="56" t="n">
        <v>4.810876530670043</v>
      </c>
      <c r="X602" s="56" t="n">
        <v>-32.66814763705966</v>
      </c>
    </row>
    <row r="603">
      <c r="W603" s="56" t="n">
        <v>4.780320923561746</v>
      </c>
      <c r="X603" s="56" t="n">
        <v>5.343593099547732</v>
      </c>
    </row>
    <row r="604">
      <c r="F604" s="48" t="n"/>
      <c r="W604" s="56" t="n">
        <v>8.843159186251668</v>
      </c>
      <c r="X604" s="56" t="n">
        <v>14.38332555223843</v>
      </c>
    </row>
    <row r="605">
      <c r="F605" s="48" t="n"/>
      <c r="W605" s="56" t="n">
        <v>0.4818722221379872</v>
      </c>
      <c r="X605" s="56" t="n">
        <v>9.677155919472185</v>
      </c>
    </row>
    <row r="606">
      <c r="W606" s="56" t="n">
        <v>-71.72422411572302</v>
      </c>
      <c r="X606" s="56" t="n">
        <v>-107.0938687960658</v>
      </c>
    </row>
    <row r="607">
      <c r="F607" s="48" t="n"/>
      <c r="W607" s="56" t="n">
        <v>17.22143181566345</v>
      </c>
      <c r="X607" s="56" t="n">
        <v>27.30345512431276</v>
      </c>
    </row>
    <row r="608">
      <c r="W608" s="56" t="n">
        <v>13.0229028642873</v>
      </c>
      <c r="X608" s="56" t="n">
        <v>18.06989411071453</v>
      </c>
    </row>
    <row r="609">
      <c r="F609" s="48" t="n"/>
      <c r="W609" s="56" t="n">
        <v>15.12835793732968</v>
      </c>
      <c r="X609" s="56" t="n">
        <v>17.82299533044477</v>
      </c>
    </row>
    <row r="610">
      <c r="W610" s="56" t="n">
        <v>4.59447622307448</v>
      </c>
      <c r="X610" s="56" t="n">
        <v>24.58140415431257</v>
      </c>
    </row>
    <row r="611">
      <c r="W611" s="56" t="n">
        <v>9.713320153641391</v>
      </c>
      <c r="X611" s="56" t="n">
        <v>19.0938373730784</v>
      </c>
    </row>
    <row r="612">
      <c r="W612" s="56" t="n">
        <v>15.14108389620299</v>
      </c>
      <c r="X612" s="56" t="n">
        <v>18.69116398215931</v>
      </c>
    </row>
    <row r="613">
      <c r="W613" s="56" t="n">
        <v>11.50884641131429</v>
      </c>
      <c r="X613" s="56" t="n">
        <v>11.78838365484218</v>
      </c>
    </row>
    <row r="614">
      <c r="F614" s="48" t="n"/>
      <c r="W614" s="56" t="n">
        <v>30.5238226576579</v>
      </c>
      <c r="X614" s="56" t="n">
        <v>43.43631121228138</v>
      </c>
    </row>
    <row r="615">
      <c r="F615" s="48" t="n"/>
      <c r="W615" s="56" t="n">
        <v>15.9394649619904</v>
      </c>
      <c r="X615" s="56" t="n">
        <v>20.51476224575566</v>
      </c>
    </row>
    <row r="616">
      <c r="F616" s="48" t="n"/>
      <c r="W616" s="56" t="n">
        <v>15.89636169437473</v>
      </c>
      <c r="X616" s="56" t="n">
        <v>16.84500149628477</v>
      </c>
    </row>
    <row r="617">
      <c r="W617" s="56" t="n">
        <v>8.764974758606272</v>
      </c>
      <c r="X617" s="56" t="n">
        <v>24.67787236682587</v>
      </c>
    </row>
    <row r="618">
      <c r="W618" s="56" t="n">
        <v>7.470728658105401</v>
      </c>
      <c r="X618" s="56" t="n">
        <v>9.617498815970734</v>
      </c>
    </row>
    <row r="619">
      <c r="W619" s="56" t="n">
        <v>17.46006240789579</v>
      </c>
      <c r="X619" s="56" t="n">
        <v>24.8332308534328</v>
      </c>
    </row>
    <row r="620">
      <c r="W620" s="56" t="n">
        <v>4.588161951267608</v>
      </c>
      <c r="X620" s="56" t="n">
        <v>14.92013573656933</v>
      </c>
    </row>
    <row r="621">
      <c r="F621" s="48" t="n"/>
      <c r="W621" s="56" t="n">
        <v>1.651007003932506</v>
      </c>
      <c r="X621" s="56" t="n">
        <v>6.024256510395205</v>
      </c>
    </row>
    <row r="622">
      <c r="W622" s="56" t="n">
        <v>7.839765692022723</v>
      </c>
      <c r="X622" s="56" t="n">
        <v>12.89300583110699</v>
      </c>
    </row>
    <row r="623">
      <c r="W623" s="56" t="n">
        <v>10.58731192358285</v>
      </c>
      <c r="X623" s="56" t="n">
        <v>22.76824864147358</v>
      </c>
    </row>
    <row r="624">
      <c r="F624" s="48" t="n"/>
      <c r="W624" s="56" t="n">
        <v>5.672630671992906</v>
      </c>
      <c r="X624" s="56" t="n">
        <v>41.75460916763005</v>
      </c>
    </row>
    <row r="625">
      <c r="W625" s="56" t="n">
        <v>2.210047380772252</v>
      </c>
      <c r="X625" s="56" t="n">
        <v>40.51692861542838</v>
      </c>
    </row>
    <row r="626">
      <c r="W626" s="56" t="n">
        <v>18.33555859127564</v>
      </c>
      <c r="X626" s="56" t="n">
        <v>4.577643555050344</v>
      </c>
    </row>
    <row r="627">
      <c r="U627" t="inlineStr">
        <is>
          <t>Domestic</t>
        </is>
      </c>
      <c r="W627" s="56" t="n">
        <v>0.07079595671257266</v>
      </c>
      <c r="X627" s="56" t="n">
        <v>3.737688125931342</v>
      </c>
    </row>
    <row r="628">
      <c r="F628" s="48" t="n"/>
      <c r="W628" s="56" t="n">
        <v>-5.54117091532234</v>
      </c>
      <c r="X628" s="56" t="n">
        <v>6.098503513855441</v>
      </c>
    </row>
    <row r="629">
      <c r="W629" s="56" t="n">
        <v>4.418956567251222</v>
      </c>
      <c r="X629" s="56" t="n">
        <v>12.13919352921669</v>
      </c>
    </row>
    <row r="630">
      <c r="W630" s="56" t="n">
        <v>7.779249681701486</v>
      </c>
      <c r="X630" s="56" t="n">
        <v>9.485090643891084</v>
      </c>
    </row>
    <row r="631">
      <c r="F631" s="48" t="n"/>
      <c r="W631" s="56" t="n">
        <v>13.46132499688125</v>
      </c>
      <c r="X631" s="56" t="n">
        <v>16.29022364811791</v>
      </c>
    </row>
    <row r="632">
      <c r="F632" s="48" t="n"/>
      <c r="W632" s="56" t="n">
        <v>-0.5957928413763511</v>
      </c>
      <c r="X632" s="56" t="n">
        <v>33.26628386506096</v>
      </c>
    </row>
    <row r="633">
      <c r="W633" s="56" t="n">
        <v>3.707793223109391</v>
      </c>
      <c r="X633" s="56" t="n">
        <v>9.972813124928969</v>
      </c>
    </row>
    <row r="634">
      <c r="W634" s="56" t="n">
        <v>25.56992535666606</v>
      </c>
      <c r="X634" s="56" t="n">
        <v>25.10275989398266</v>
      </c>
    </row>
    <row r="635">
      <c r="W635" s="56" t="n">
        <v>15.22860683748989</v>
      </c>
      <c r="X635" s="56" t="n">
        <v>4.140420774288557</v>
      </c>
    </row>
    <row r="636">
      <c r="W636" s="56" t="n">
        <v>22.08137716221847</v>
      </c>
      <c r="X636" s="56" t="n">
        <v>34.26168784973157</v>
      </c>
    </row>
    <row r="637">
      <c r="F637" s="48" t="n"/>
      <c r="W637" s="56" t="n">
        <v>28.06432498220909</v>
      </c>
      <c r="X637" s="56" t="n">
        <v>25.09585124614907</v>
      </c>
    </row>
    <row r="638">
      <c r="W638" s="56" t="n">
        <v>9.033733321739838</v>
      </c>
      <c r="X638" s="56" t="n">
        <v>6.214974650179371</v>
      </c>
    </row>
    <row r="639">
      <c r="U639" t="inlineStr">
        <is>
          <t>Non-Domestic</t>
        </is>
      </c>
      <c r="W639" s="56" t="n">
        <v>4.816788372739047</v>
      </c>
      <c r="X639" s="56" t="n">
        <v>1.133586085899651</v>
      </c>
    </row>
    <row r="640">
      <c r="U640" t="inlineStr">
        <is>
          <t>Non-Domestic</t>
        </is>
      </c>
      <c r="W640" s="56" t="n">
        <v>3.941571795617946</v>
      </c>
      <c r="X640" s="56" t="n">
        <v>3.129328788842315</v>
      </c>
    </row>
    <row r="641">
      <c r="F641" s="48" t="n"/>
      <c r="W641" s="56" t="n">
        <v>1.973045614988692</v>
      </c>
      <c r="X641" s="56" t="n">
        <v>11.86060747660973</v>
      </c>
    </row>
    <row r="642">
      <c r="W642" s="56" t="n">
        <v>3.776584161481992</v>
      </c>
      <c r="X642" s="56" t="n">
        <v>19.05060246813852</v>
      </c>
    </row>
    <row r="643">
      <c r="F643" s="48" t="n"/>
      <c r="W643" s="56" t="n">
        <v>9.713939109281625</v>
      </c>
      <c r="X643" s="56" t="n">
        <v>11.17925141769844</v>
      </c>
    </row>
    <row r="644">
      <c r="F644" s="48" t="n"/>
      <c r="W644" s="56" t="n">
        <v>4.492861300423613</v>
      </c>
      <c r="X644" s="56" t="n">
        <v>15.74233744724964</v>
      </c>
    </row>
    <row r="645">
      <c r="F645" s="48" t="n"/>
      <c r="W645" s="56" t="n">
        <v>9.410693002022953</v>
      </c>
      <c r="X645" s="56" t="n">
        <v>21.62883840029063</v>
      </c>
    </row>
    <row r="646">
      <c r="F646" s="48" t="n"/>
      <c r="W646" s="56" t="n">
        <v>1.242831346966312</v>
      </c>
      <c r="X646" s="56" t="n">
        <v>-1.289953965823656</v>
      </c>
    </row>
    <row r="647">
      <c r="F647" s="48" t="n"/>
      <c r="W647" s="56" t="n">
        <v>17.78388837394482</v>
      </c>
      <c r="X647" s="56" t="n">
        <v>27.88193242892538</v>
      </c>
    </row>
    <row r="648">
      <c r="F648" s="48" t="n"/>
      <c r="W648" s="56" t="n">
        <v>1.445275944303717</v>
      </c>
      <c r="X648" s="56" t="n">
        <v>4.374242275569202</v>
      </c>
    </row>
    <row r="649">
      <c r="W649" s="56" t="n">
        <v>-2.604285920795178</v>
      </c>
      <c r="X649" s="56" t="n">
        <v>-0.5915880510048623</v>
      </c>
    </row>
    <row r="650">
      <c r="F650" s="48" t="n"/>
      <c r="W650" s="56" t="n">
        <v>-0.6966061482532382</v>
      </c>
      <c r="X650" s="56" t="n">
        <v>-4.910964594663483</v>
      </c>
    </row>
    <row r="651">
      <c r="F651" s="48" t="n"/>
      <c r="W651" s="56" t="n">
        <v>-0.4062961536218381</v>
      </c>
      <c r="X651" s="56" t="n">
        <v>13.70622017671707</v>
      </c>
    </row>
    <row r="652">
      <c r="F652" s="48" t="n"/>
      <c r="W652" s="56" t="n">
        <v>18.94759287626567</v>
      </c>
      <c r="X652" s="56" t="n">
        <v>8.834809756135996</v>
      </c>
    </row>
    <row r="653">
      <c r="F653" s="48" t="n"/>
      <c r="W653" s="56" t="n">
        <v>2.71036731550123</v>
      </c>
      <c r="X653" s="56" t="n">
        <v>4.174826792609963</v>
      </c>
    </row>
    <row r="654">
      <c r="W654" s="56" t="n">
        <v>24.54248198701791</v>
      </c>
      <c r="X654" s="56" t="n">
        <v>17.868811034065</v>
      </c>
    </row>
    <row r="655">
      <c r="F655" s="48" t="n"/>
      <c r="W655" s="56" t="n">
        <v>28.98270168548655</v>
      </c>
      <c r="X655" s="56" t="n">
        <v>9.155103292597829</v>
      </c>
    </row>
    <row r="656">
      <c r="F656" s="48" t="n"/>
      <c r="W656" s="56" t="n">
        <v>13.16086295588872</v>
      </c>
      <c r="X656" s="56" t="n">
        <v>-1.187679539757426</v>
      </c>
    </row>
    <row r="657">
      <c r="F657" s="48" t="n"/>
      <c r="W657" s="56" t="n">
        <v>19.66010081791438</v>
      </c>
      <c r="X657" s="56" t="n">
        <v>4.806366160889695</v>
      </c>
    </row>
    <row r="658">
      <c r="F658" s="48" t="n"/>
      <c r="W658" s="56" t="n">
        <v>2.726350382209787</v>
      </c>
      <c r="X658" s="56" t="e">
        <v>#VALUE!</v>
      </c>
    </row>
    <row r="659">
      <c r="W659" s="56" t="n">
        <v>7.510573366604874</v>
      </c>
      <c r="X659" s="56" t="n">
        <v>13.60818826657095</v>
      </c>
    </row>
    <row r="660">
      <c r="W660" s="56" t="n">
        <v>4.950341743130892</v>
      </c>
      <c r="X660" s="56" t="n">
        <v>15.65456151879822</v>
      </c>
    </row>
    <row r="661">
      <c r="W661" s="56" t="n">
        <v>-1.911407622372622</v>
      </c>
      <c r="X661" s="56" t="n">
        <v>11.08792966105158</v>
      </c>
    </row>
    <row r="662">
      <c r="W662" s="56" t="n">
        <v>4.853955155872612</v>
      </c>
      <c r="X662" s="56" t="n">
        <v>9.191641802020911</v>
      </c>
    </row>
    <row r="663">
      <c r="W663" s="56" t="n">
        <v>12.81374674875639</v>
      </c>
      <c r="X663" s="56" t="n">
        <v>33.76394331395014</v>
      </c>
    </row>
    <row r="664">
      <c r="W664" s="56" t="n">
        <v>15.18111439466003</v>
      </c>
      <c r="X664" s="56" t="n">
        <v>49.0298182594353</v>
      </c>
    </row>
    <row r="665">
      <c r="W665" s="56" t="n">
        <v>5.925066118256126</v>
      </c>
      <c r="X665" s="56" t="n">
        <v>45.29163352691661</v>
      </c>
    </row>
    <row r="666">
      <c r="W666" s="56" t="n">
        <v>15.26656787219027</v>
      </c>
      <c r="X666" s="56" t="n">
        <v>41.33206127456414</v>
      </c>
    </row>
    <row r="667">
      <c r="W667" s="56" t="n">
        <v>1.209813387595858</v>
      </c>
      <c r="X667" s="56" t="n">
        <v>11.34410367886574</v>
      </c>
    </row>
    <row r="668">
      <c r="W668" s="56" t="n">
        <v>-0.1063339541354509</v>
      </c>
      <c r="X668" s="56" t="n">
        <v>10.45587596887054</v>
      </c>
    </row>
    <row r="669">
      <c r="F669" s="48" t="n"/>
      <c r="W669" s="56" t="n">
        <v>6.098082879164366</v>
      </c>
      <c r="X669" s="56" t="n">
        <v>21.64131946994772</v>
      </c>
    </row>
    <row r="670">
      <c r="W670" s="56" t="n">
        <v>3.857866868466672</v>
      </c>
      <c r="X670" s="56" t="n">
        <v>-12.43442811086814</v>
      </c>
    </row>
    <row r="671">
      <c r="W671" s="56" t="n">
        <v>13.96611523045515</v>
      </c>
      <c r="X671" s="56" t="n">
        <v>-1.877395625197948</v>
      </c>
    </row>
    <row r="672">
      <c r="W672" s="56" t="n">
        <v>11.7985807680673</v>
      </c>
      <c r="X672" s="56" t="n">
        <v>4.51058590787747</v>
      </c>
    </row>
    <row r="673">
      <c r="F673" s="48" t="n"/>
      <c r="W673" s="56" t="n">
        <v>21.78703854849807</v>
      </c>
      <c r="X673" s="56" t="n">
        <v>26.16416098621768</v>
      </c>
    </row>
    <row r="674">
      <c r="W674" s="56" t="n">
        <v>9.833056690807211</v>
      </c>
      <c r="X674" s="56" t="n">
        <v>17.6160789361429</v>
      </c>
    </row>
    <row r="675">
      <c r="W675" s="56" t="n">
        <v>6.370217581919214</v>
      </c>
      <c r="X675" s="56" t="n">
        <v>14.68490676032774</v>
      </c>
    </row>
    <row r="676">
      <c r="W676" s="56" t="n">
        <v>0.1020207493023122</v>
      </c>
      <c r="X676" s="56" t="n">
        <v>11.86739334941339</v>
      </c>
    </row>
    <row r="677">
      <c r="W677" s="56" t="n">
        <v>9.155197040993187</v>
      </c>
      <c r="X677" s="56" t="n">
        <v>13.7351572559416</v>
      </c>
    </row>
    <row r="678">
      <c r="F678" s="48" t="n"/>
      <c r="W678" s="56" t="n">
        <v>2.863057930806889</v>
      </c>
      <c r="X678" s="56" t="n">
        <v>5.664774782375844</v>
      </c>
    </row>
    <row r="679">
      <c r="F679" s="48" t="n"/>
      <c r="W679" s="56" t="n">
        <v>-0.5637526975091731</v>
      </c>
      <c r="X679" s="56" t="n">
        <v>0.5647626373902739</v>
      </c>
    </row>
    <row r="680" ht="13.5" customHeight="1">
      <c r="W680" s="56" t="n">
        <v>1.076092534556533</v>
      </c>
      <c r="X680" s="56" t="n">
        <v>5.72846802826832</v>
      </c>
    </row>
    <row r="681">
      <c r="W681" s="56" t="n">
        <v>6.83704524992784</v>
      </c>
      <c r="X681" s="56" t="n">
        <v>9.652194657249865</v>
      </c>
    </row>
    <row r="682">
      <c r="W682" s="56" t="n">
        <v>12.96425669076298</v>
      </c>
      <c r="X682" s="56" t="n">
        <v>19.95060774495317</v>
      </c>
    </row>
    <row r="683">
      <c r="W683" s="56" t="n">
        <v>16.16412937371985</v>
      </c>
      <c r="X683" s="56" t="n">
        <v>24.11487159820715</v>
      </c>
    </row>
    <row r="684">
      <c r="F684" s="48" t="n"/>
      <c r="W684" s="56" t="n">
        <v>19.73552084685087</v>
      </c>
      <c r="X684" s="56" t="n">
        <v>10.13099883054672</v>
      </c>
    </row>
    <row r="685">
      <c r="F685" s="48" t="n"/>
      <c r="W685" s="56" t="n">
        <v>17.05117860533042</v>
      </c>
      <c r="X685" s="56" t="n">
        <v>19.44662098094879</v>
      </c>
    </row>
    <row r="686">
      <c r="F686" s="48" t="n"/>
      <c r="W686" s="56" t="n">
        <v>32.15646128709817</v>
      </c>
      <c r="X686" s="56" t="n">
        <v>68.39728129961387</v>
      </c>
    </row>
    <row r="687">
      <c r="F687" s="48" t="n"/>
      <c r="W687" s="56" t="n">
        <v>16.36359955443467</v>
      </c>
      <c r="X687" s="56" t="n">
        <v>23.71996308513748</v>
      </c>
    </row>
    <row r="688">
      <c r="F688" s="48" t="n"/>
      <c r="W688" s="56" t="n">
        <v>-6.289477001788114</v>
      </c>
      <c r="X688" s="56" t="n">
        <v>3.902008947561654</v>
      </c>
    </row>
    <row r="689">
      <c r="F689" s="48" t="n"/>
      <c r="W689" s="56" t="n">
        <v>1.591607105374209</v>
      </c>
      <c r="X689" s="56" t="n">
        <v>-8.476124970750874</v>
      </c>
    </row>
    <row r="690">
      <c r="F690" s="48" t="n"/>
      <c r="U690" t="inlineStr">
        <is>
          <t>Non-Domestic</t>
        </is>
      </c>
      <c r="W690" s="56" t="n">
        <v>5.718951760154638</v>
      </c>
      <c r="X690" s="56" t="n">
        <v>8.952036222438451</v>
      </c>
    </row>
    <row r="691">
      <c r="F691" s="48" t="n"/>
      <c r="W691" s="56" t="n">
        <v>16.33383631924488</v>
      </c>
      <c r="X691" s="56" t="n">
        <v>49.61103534577893</v>
      </c>
    </row>
    <row r="692">
      <c r="F692" s="48" t="n"/>
      <c r="W692" s="56" t="n">
        <v>17.69211861222337</v>
      </c>
      <c r="X692" s="56" t="n">
        <v>33.2478310382169</v>
      </c>
    </row>
    <row r="693">
      <c r="W693" s="56" t="n">
        <v>-3.569248986489129</v>
      </c>
      <c r="X693" s="56" t="n">
        <v>8.130374054223552</v>
      </c>
    </row>
    <row r="694">
      <c r="W694" s="56" t="n">
        <v>-0.6120791740688105</v>
      </c>
      <c r="X694" s="56" t="n">
        <v>5.323409575766149</v>
      </c>
    </row>
    <row r="695">
      <c r="W695" s="56" t="n">
        <v>1.290683536331684</v>
      </c>
      <c r="X695" s="56" t="n">
        <v>13.46098477600537</v>
      </c>
    </row>
    <row r="696">
      <c r="F696" s="48" t="n"/>
      <c r="W696" s="56" t="n">
        <v>2.910418018366215</v>
      </c>
      <c r="X696" s="56" t="n">
        <v>12.05198774794805</v>
      </c>
    </row>
    <row r="697">
      <c r="U697" t="inlineStr">
        <is>
          <t>Non-Domestic</t>
        </is>
      </c>
      <c r="W697" s="56" t="n">
        <v>9.034616905101224</v>
      </c>
      <c r="X697" s="56" t="n">
        <v>4.548095814608843</v>
      </c>
    </row>
    <row r="698">
      <c r="W698" s="56" t="n">
        <v>0.317008274787753</v>
      </c>
      <c r="X698" s="56" t="n">
        <v>15.87407261080665</v>
      </c>
    </row>
    <row r="699">
      <c r="F699" s="48" t="n"/>
      <c r="W699" s="56" t="n">
        <v>4.278251284646231</v>
      </c>
      <c r="X699" s="56" t="n">
        <v>10.54678621740594</v>
      </c>
    </row>
    <row r="700">
      <c r="F700" s="48" t="n"/>
      <c r="W700" s="56" t="n">
        <v>28.76008414432485</v>
      </c>
      <c r="X700" s="56" t="n">
        <v>39.6030751019095</v>
      </c>
    </row>
    <row r="701">
      <c r="F701" s="48" t="n"/>
      <c r="W701" s="56" t="n">
        <v>33.63100401236453</v>
      </c>
      <c r="X701" s="56" t="n">
        <v>35.24600480026194</v>
      </c>
    </row>
    <row r="702">
      <c r="W702" s="56" t="n">
        <v>3.684253098347369</v>
      </c>
      <c r="X702" s="56" t="n">
        <v>8.918226842385103</v>
      </c>
    </row>
    <row r="703">
      <c r="W703" s="56" t="n">
        <v>2.178882505474441</v>
      </c>
      <c r="X703" s="56" t="n">
        <v>6.70860484297954</v>
      </c>
    </row>
    <row r="704">
      <c r="W704" s="56" t="n">
        <v>1.180069553269398</v>
      </c>
      <c r="X704" s="56" t="n">
        <v>6.179375708301755</v>
      </c>
    </row>
    <row r="705">
      <c r="F705" s="48" t="n"/>
      <c r="W705" s="56" t="n">
        <v>15.46907671855298</v>
      </c>
      <c r="X705" s="56" t="n">
        <v>19.62703896098138</v>
      </c>
    </row>
    <row r="706">
      <c r="W706" s="56" t="n">
        <v>-0.6541940224198868</v>
      </c>
      <c r="X706" s="56" t="n">
        <v>9.055738139925904</v>
      </c>
    </row>
    <row r="707">
      <c r="F707" s="48" t="n"/>
      <c r="W707" s="56" t="n">
        <v>0.05382321241822297</v>
      </c>
      <c r="X707" s="56" t="n">
        <v>7.201349522662042</v>
      </c>
    </row>
    <row r="708">
      <c r="F708" s="48" t="n"/>
      <c r="W708" s="56" t="n">
        <v>7.036085003742834</v>
      </c>
      <c r="X708" s="56" t="n">
        <v>8.494514140920231</v>
      </c>
    </row>
    <row r="709">
      <c r="F709" s="48" t="n"/>
      <c r="W709" s="56" t="n">
        <v>-1.744284953188405</v>
      </c>
      <c r="X709" s="56" t="n">
        <v>2.44881802096711</v>
      </c>
    </row>
    <row r="710">
      <c r="F710" s="48" t="n"/>
      <c r="W710" s="56" t="n">
        <v>-0.5398745909977478</v>
      </c>
      <c r="X710" s="56" t="n">
        <v>8.381357356959299</v>
      </c>
    </row>
    <row r="711">
      <c r="U711" t="inlineStr">
        <is>
          <t>Non-Domestic</t>
        </is>
      </c>
      <c r="W711" s="56" t="n">
        <v>6.334144340811939</v>
      </c>
      <c r="X711" s="56" t="n">
        <v>7.447592889857184</v>
      </c>
    </row>
    <row r="712">
      <c r="U712" t="inlineStr">
        <is>
          <t>Non-Domestic</t>
        </is>
      </c>
      <c r="W712" s="56" t="n">
        <v>2.71005189380999</v>
      </c>
      <c r="X712" s="56" t="n">
        <v>8.045453613449453</v>
      </c>
    </row>
    <row r="713">
      <c r="W713" s="56" t="n">
        <v>25.46756382450223</v>
      </c>
      <c r="X713" s="56" t="n">
        <v>39.65734276686194</v>
      </c>
    </row>
    <row r="714">
      <c r="W714" s="56" t="n">
        <v>16.18591728592541</v>
      </c>
      <c r="X714" s="56" t="n">
        <v>22.95878836175537</v>
      </c>
    </row>
    <row r="715">
      <c r="W715" s="56" t="n">
        <v>-5.774842717337862</v>
      </c>
      <c r="X715" s="56" t="n">
        <v>-18.15257567653043</v>
      </c>
    </row>
    <row r="716">
      <c r="F716" s="48" t="n"/>
      <c r="W716" s="56" t="n">
        <v>12.88912644501344</v>
      </c>
      <c r="X716" s="56" t="n">
        <v>13.50355141395107</v>
      </c>
    </row>
    <row r="717">
      <c r="F717" s="48" t="n"/>
      <c r="W717" s="56" t="n">
        <v>4.341231216882477</v>
      </c>
      <c r="X717" s="56" t="n">
        <v>-12.61883226067414</v>
      </c>
    </row>
    <row r="718">
      <c r="W718" s="56" t="n">
        <v>9.725897067588832</v>
      </c>
      <c r="X718" s="56" t="e">
        <v>#VALUE!</v>
      </c>
    </row>
    <row r="719">
      <c r="W719" s="56" t="n">
        <v>28.61764603633459</v>
      </c>
      <c r="X719" s="56" t="n">
        <v>33.5695644723655</v>
      </c>
    </row>
    <row r="720">
      <c r="W720" s="56" t="n">
        <v>24.31395497856137</v>
      </c>
      <c r="X720" s="56" t="n">
        <v>34.14620808348431</v>
      </c>
    </row>
    <row r="721">
      <c r="W721" s="56" t="n">
        <v>-0.24682590453817</v>
      </c>
      <c r="X721" s="56" t="n">
        <v>5.744771765224577</v>
      </c>
    </row>
    <row r="722">
      <c r="W722" s="56" t="n">
        <v>2.120122407422087</v>
      </c>
      <c r="X722" s="56" t="n">
        <v>4.06403521175946</v>
      </c>
    </row>
    <row r="723">
      <c r="W723" s="56" t="n">
        <v>0.2257878511183264</v>
      </c>
      <c r="X723" s="56" t="n">
        <v>5.14720757860125</v>
      </c>
    </row>
    <row r="724">
      <c r="W724" s="56" t="n">
        <v>48.69149503148864</v>
      </c>
      <c r="X724" s="56" t="n">
        <v>113.8510283486146</v>
      </c>
    </row>
    <row r="725">
      <c r="W725" s="56" t="n">
        <v>28.07231804432388</v>
      </c>
      <c r="X725" s="56" t="n">
        <v>53.72970846954036</v>
      </c>
    </row>
    <row r="726">
      <c r="F726" s="48" t="n"/>
      <c r="W726" s="56" t="n">
        <v>26.82927461115844</v>
      </c>
      <c r="X726" s="56" t="n">
        <v>46.44199684366612</v>
      </c>
    </row>
    <row r="727">
      <c r="F727" s="48" t="n"/>
      <c r="W727" s="56" t="n">
        <v>32.29943310613555</v>
      </c>
      <c r="X727" s="56" t="n">
        <v>69.37865557705254</v>
      </c>
    </row>
    <row r="728">
      <c r="W728" s="56" t="n">
        <v>-0.5240146724795807</v>
      </c>
      <c r="X728" s="56" t="n">
        <v>17.54214886831234</v>
      </c>
    </row>
    <row r="729">
      <c r="W729" s="56" t="n">
        <v>-9.355306506939797</v>
      </c>
      <c r="X729" s="56" t="n">
        <v>1.007831464182416</v>
      </c>
    </row>
    <row r="730">
      <c r="F730" s="48" t="n"/>
      <c r="W730" s="56" t="n">
        <v>6.140003129072554</v>
      </c>
      <c r="X730" s="56" t="n">
        <v>8.836871578782507</v>
      </c>
    </row>
    <row r="731">
      <c r="F731" s="48" t="n"/>
      <c r="W731" s="56" t="n">
        <v>3.41316021555501</v>
      </c>
      <c r="X731" s="56" t="n">
        <v>7.641823165055641</v>
      </c>
    </row>
    <row r="732">
      <c r="W732" s="56" t="n">
        <v>7.995975042855889</v>
      </c>
      <c r="X732" s="56" t="n">
        <v>16.62722606354829</v>
      </c>
    </row>
    <row r="733">
      <c r="W733" s="56" t="n">
        <v>-0.0425833142767118</v>
      </c>
      <c r="X733" s="56" t="n">
        <v>4.76099330048244</v>
      </c>
    </row>
    <row r="734">
      <c r="W734" s="56" t="n">
        <v>5.715078739326088</v>
      </c>
      <c r="X734" s="56" t="n">
        <v>18.90540845536788</v>
      </c>
    </row>
    <row r="735">
      <c r="F735" s="48" t="n"/>
      <c r="W735" s="56" t="n">
        <v>-0.1502356608061746</v>
      </c>
      <c r="X735" s="56" t="n">
        <v>23.47600310678025</v>
      </c>
    </row>
    <row r="736">
      <c r="W736" s="56" t="n">
        <v>4.804109475978677</v>
      </c>
      <c r="X736" s="56" t="n">
        <v>8.000295434656934</v>
      </c>
    </row>
    <row r="737">
      <c r="W737" s="56" t="n">
        <v>2.163331504504548</v>
      </c>
      <c r="X737" s="56" t="n">
        <v>2.964370727441874</v>
      </c>
    </row>
    <row r="738">
      <c r="W738" s="56" t="n">
        <v>5.365169058050441</v>
      </c>
      <c r="X738" s="56" t="n">
        <v>7.704304661377471</v>
      </c>
    </row>
    <row r="739">
      <c r="W739" s="56" t="n">
        <v>24.79682878145783</v>
      </c>
      <c r="X739" s="56" t="n">
        <v>18.42604023293288</v>
      </c>
    </row>
    <row r="740">
      <c r="W740" s="56" t="n">
        <v>8.127502219613945</v>
      </c>
      <c r="X740" s="56" t="n">
        <v>6.44878622583434</v>
      </c>
    </row>
    <row r="741">
      <c r="F741" s="48" t="n"/>
      <c r="W741" s="56" t="n">
        <v>1.673784997711863</v>
      </c>
      <c r="X741" s="56" t="n">
        <v>6.911491114309896</v>
      </c>
    </row>
    <row r="742">
      <c r="F742" s="48" t="n"/>
      <c r="W742" s="56" t="n">
        <v>8.927671007064021</v>
      </c>
      <c r="X742" s="56" t="n">
        <v>18.38720281672892</v>
      </c>
    </row>
    <row r="743">
      <c r="F743" s="48" t="n"/>
      <c r="W743" s="56" t="n">
        <v>-1.380009682885103</v>
      </c>
      <c r="X743" s="56" t="n">
        <v>3.117943829947833</v>
      </c>
    </row>
    <row r="744">
      <c r="F744" s="48" t="n"/>
      <c r="W744" s="56" t="n">
        <v>11.56272133928846</v>
      </c>
      <c r="X744" s="56" t="n">
        <v>12.26444257543324</v>
      </c>
    </row>
    <row r="745">
      <c r="W745" s="56" t="n">
        <v>5.44487352916245</v>
      </c>
      <c r="X745" s="56" t="n">
        <v>10.35046609574792</v>
      </c>
    </row>
    <row r="746">
      <c r="W746" s="56" t="n">
        <v>6.518959043841761</v>
      </c>
      <c r="X746" s="56" t="n">
        <v>10.37828272857498</v>
      </c>
    </row>
    <row r="747">
      <c r="W747" s="56" t="n">
        <v>5.752173622589822</v>
      </c>
      <c r="X747" s="56" t="n">
        <v>7.354816947849201</v>
      </c>
    </row>
    <row r="748">
      <c r="W748" s="56" t="n">
        <v>3.043908932482637</v>
      </c>
      <c r="X748" s="56" t="n">
        <v>6.020507765608968</v>
      </c>
    </row>
    <row r="749">
      <c r="W749" s="56" t="n">
        <v>1.208033950284374</v>
      </c>
      <c r="X749" s="56" t="n">
        <v>8.245576388338691</v>
      </c>
    </row>
    <row r="750">
      <c r="F750" s="48" t="n"/>
      <c r="W750" s="56" t="n">
        <v>9.739429360180502</v>
      </c>
      <c r="X750" s="56" t="n">
        <v>8.83659491137135</v>
      </c>
    </row>
    <row r="751">
      <c r="F751" s="48" t="n"/>
      <c r="W751" s="56" t="n">
        <v>5.291114081317559</v>
      </c>
      <c r="X751" s="56" t="n">
        <v>10.43740657792937</v>
      </c>
    </row>
    <row r="752">
      <c r="F752" s="48" t="n"/>
      <c r="W752" s="56" t="n">
        <v>9.187612426077649</v>
      </c>
      <c r="X752" s="56" t="n">
        <v>19.21608083221491</v>
      </c>
    </row>
    <row r="753">
      <c r="W753" s="56" t="n">
        <v>25.8433144357283</v>
      </c>
      <c r="X753" s="56" t="n">
        <v>32.46818127282867</v>
      </c>
    </row>
    <row r="754">
      <c r="W754" s="56" t="n">
        <v>5.813645285374392</v>
      </c>
      <c r="X754" s="56" t="n">
        <v>21.95689689546606</v>
      </c>
    </row>
    <row r="755">
      <c r="F755" s="48" t="n"/>
      <c r="W755" s="56" t="n">
        <v>3.342301596520358</v>
      </c>
      <c r="X755" s="56" t="n">
        <v>15.574507637541</v>
      </c>
    </row>
    <row r="756">
      <c r="F756" s="48" t="n"/>
      <c r="W756" s="56" t="n">
        <v>0.713674587568434</v>
      </c>
      <c r="X756" s="56" t="n">
        <v>19.17799257664642</v>
      </c>
    </row>
    <row r="757">
      <c r="W757" s="56" t="n">
        <v>17.12865288852913</v>
      </c>
      <c r="X757" s="56" t="n">
        <v>26.11333585858857</v>
      </c>
    </row>
    <row r="758">
      <c r="W758" s="56" t="n">
        <v>18.71874054528899</v>
      </c>
      <c r="X758" s="56" t="n">
        <v>24.12416970524395</v>
      </c>
    </row>
    <row r="759">
      <c r="W759" s="56" t="n">
        <v>16.68061797632315</v>
      </c>
      <c r="X759" s="56" t="n">
        <v>26.28738966968521</v>
      </c>
    </row>
    <row r="760">
      <c r="W760" s="56" t="n">
        <v>18.25474236484858</v>
      </c>
      <c r="X760" s="56" t="n">
        <v>28.16330920674893</v>
      </c>
    </row>
    <row r="761">
      <c r="W761" s="56" t="n">
        <v>9.575632872330942</v>
      </c>
      <c r="X761" s="56" t="n">
        <v>18.05339577011387</v>
      </c>
    </row>
    <row r="762">
      <c r="F762" s="48" t="n"/>
      <c r="W762" s="56" t="n">
        <v>3.553847573893762</v>
      </c>
      <c r="X762" s="56" t="n">
        <v>11.12561368761867</v>
      </c>
    </row>
    <row r="763">
      <c r="F763" s="48" t="n"/>
      <c r="W763" s="56" t="n">
        <v>10.81037581615391</v>
      </c>
      <c r="X763" s="56" t="n">
        <v>8.654233751722664</v>
      </c>
    </row>
    <row r="764">
      <c r="W764" s="56" t="n">
        <v>1.208348478565789</v>
      </c>
      <c r="X764" s="56" t="n">
        <v>4.278794363369464</v>
      </c>
    </row>
    <row r="765">
      <c r="W765" s="56" t="n">
        <v>-1.774927434878407</v>
      </c>
      <c r="X765" s="56" t="n">
        <v>-64.40929410121987</v>
      </c>
    </row>
    <row r="766">
      <c r="W766" s="56" t="n">
        <v>13.47147648517119</v>
      </c>
      <c r="X766" s="56" t="n">
        <v>-16.05194662206713</v>
      </c>
    </row>
    <row r="767">
      <c r="W767" s="56" t="n">
        <v>32.42706986320388</v>
      </c>
      <c r="X767" s="56" t="n">
        <v>40.79976617080439</v>
      </c>
    </row>
    <row r="768">
      <c r="W768" s="56" t="n">
        <v>-0.2439259445298987</v>
      </c>
      <c r="X768" s="56" t="n">
        <v>-0.2439259445298987</v>
      </c>
    </row>
    <row r="769">
      <c r="W769" s="56" t="n">
        <v>0.01854016135750669</v>
      </c>
      <c r="X769" s="56" t="n">
        <v>0.01854016135750669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F114"/>
  <sheetViews>
    <sheetView zoomScale="70" zoomScaleNormal="70" workbookViewId="0">
      <selection activeCell="A1" sqref="A1:XFD1048576"/>
    </sheetView>
  </sheetViews>
  <sheetFormatPr baseColWidth="8" defaultRowHeight="14.4"/>
  <cols>
    <col width="30.44140625" bestFit="1" customWidth="1" min="1" max="1"/>
    <col width="30.77734375" bestFit="1" customWidth="1" min="2" max="4"/>
    <col width="16.21875" bestFit="1" customWidth="1" min="5" max="5"/>
    <col width="14" bestFit="1" customWidth="1" min="6" max="6"/>
    <col width="16" bestFit="1" customWidth="1" min="7" max="7"/>
    <col width="22.77734375" bestFit="1" customWidth="1" min="8" max="8"/>
    <col width="10.5546875" bestFit="1" customWidth="1" min="9" max="9"/>
    <col width="8.21875" bestFit="1" customWidth="1" min="10" max="10"/>
    <col width="7.77734375" bestFit="1" customWidth="1" style="55" min="11" max="11"/>
    <col width="22.21875" bestFit="1" customWidth="1" style="55" min="12" max="12"/>
    <col width="23.21875" bestFit="1" customWidth="1" style="55" min="13" max="13"/>
    <col width="9.5546875" bestFit="1" customWidth="1" style="57" min="14" max="14"/>
    <col width="11.21875" bestFit="1" customWidth="1" min="15" max="15"/>
    <col width="20.21875" bestFit="1" customWidth="1" min="16" max="16"/>
    <col width="8.77734375" bestFit="1" customWidth="1" min="17" max="17"/>
    <col width="23.21875" bestFit="1" customWidth="1" style="56" min="18" max="18"/>
    <col width="24.21875" bestFit="1" customWidth="1" style="56" min="19" max="19"/>
    <col width="9.21875" bestFit="1" customWidth="1" min="20" max="20"/>
    <col width="13.21875" bestFit="1" customWidth="1" min="21" max="21"/>
    <col width="12" bestFit="1" customWidth="1" min="22" max="22"/>
    <col width="23.77734375" bestFit="1" customWidth="1" min="23" max="23"/>
    <col width="25" bestFit="1" customWidth="1" min="24" max="24"/>
  </cols>
  <sheetData>
    <row r="1" ht="21" customHeight="1">
      <c r="A1" s="69" t="n"/>
      <c r="B1" s="88" t="n"/>
      <c r="C1" s="88" t="n"/>
      <c r="D1" s="89" t="n"/>
    </row>
    <row r="2" ht="15.6" customHeight="1">
      <c r="A2" s="49" t="n"/>
      <c r="B2" s="50" t="n"/>
      <c r="C2" s="51" t="n"/>
      <c r="D2" s="52" t="n"/>
    </row>
    <row r="3" ht="15.6" customHeight="1">
      <c r="A3" s="49" t="n"/>
      <c r="B3" s="50" t="n"/>
      <c r="C3" s="51" t="n"/>
      <c r="D3" s="52" t="n"/>
    </row>
    <row r="4" ht="15.6" customHeight="1">
      <c r="A4" s="53" t="n"/>
      <c r="B4" s="53" t="n"/>
      <c r="C4" s="53" t="n"/>
      <c r="D4" s="53" t="n"/>
    </row>
    <row r="5" ht="18" customHeight="1">
      <c r="A5" s="70" t="n"/>
      <c r="B5" s="88" t="n"/>
      <c r="C5" s="89" t="n"/>
      <c r="D5" s="53" t="n"/>
    </row>
    <row r="6" ht="15.6" customHeight="1">
      <c r="A6" s="54" t="n"/>
      <c r="B6" s="54" t="n"/>
      <c r="C6" s="54" t="n"/>
      <c r="D6" s="53" t="n"/>
    </row>
    <row r="12">
      <c r="F12" s="48" t="n"/>
    </row>
    <row r="13">
      <c r="F13" s="48" t="n"/>
    </row>
    <row r="14">
      <c r="F14" s="48" t="n"/>
    </row>
    <row r="15">
      <c r="F15" s="48" t="n"/>
    </row>
    <row r="16">
      <c r="F16" s="48" t="n"/>
    </row>
    <row r="17">
      <c r="F17" s="48" t="n"/>
    </row>
    <row r="18">
      <c r="F18" s="48" t="n"/>
    </row>
    <row r="19">
      <c r="F19" s="48" t="n"/>
    </row>
    <row r="20">
      <c r="F20" s="48" t="n"/>
    </row>
    <row r="25">
      <c r="F25" s="48" t="n"/>
    </row>
    <row r="26">
      <c r="F26" s="48" t="n"/>
    </row>
    <row r="27">
      <c r="F27" s="48" t="n"/>
    </row>
    <row r="28">
      <c r="F28" s="48" t="n"/>
    </row>
    <row r="29">
      <c r="F29" s="48" t="n"/>
    </row>
    <row r="30">
      <c r="F30" s="48" t="n"/>
    </row>
    <row r="31">
      <c r="F31" s="48" t="n"/>
    </row>
    <row r="32">
      <c r="F32" s="48" t="n"/>
    </row>
    <row r="33">
      <c r="F33" s="48" t="n"/>
    </row>
    <row r="34">
      <c r="F34" s="48" t="n"/>
    </row>
    <row r="35">
      <c r="F35" s="48" t="n"/>
    </row>
    <row r="36">
      <c r="F36" s="48" t="n"/>
    </row>
    <row r="42">
      <c r="F42" s="48" t="n"/>
    </row>
    <row r="43">
      <c r="F43" s="48" t="n"/>
    </row>
    <row r="44">
      <c r="F44" s="48" t="n"/>
    </row>
    <row r="45">
      <c r="F45" s="48" t="n"/>
    </row>
    <row r="46">
      <c r="F46" s="48" t="n"/>
    </row>
    <row r="47">
      <c r="F47" s="48" t="n"/>
    </row>
    <row r="48">
      <c r="F48" s="48" t="n"/>
    </row>
    <row r="49">
      <c r="F49" s="48" t="n"/>
    </row>
    <row r="50">
      <c r="F50" s="48" t="n"/>
    </row>
    <row r="51">
      <c r="F51" s="48" t="n"/>
    </row>
    <row r="52">
      <c r="F52" s="48" t="n"/>
    </row>
    <row r="58">
      <c r="F58" s="48" t="n"/>
    </row>
    <row r="59">
      <c r="F59" s="48" t="n"/>
    </row>
    <row r="60">
      <c r="F60" s="48" t="n"/>
    </row>
    <row r="61">
      <c r="F61" s="48" t="n"/>
    </row>
    <row r="62">
      <c r="F62" s="48" t="n"/>
    </row>
    <row r="63">
      <c r="F63" s="48" t="n"/>
    </row>
    <row r="64">
      <c r="F64" s="48" t="n"/>
    </row>
    <row r="65">
      <c r="F65" s="48" t="n"/>
    </row>
    <row r="66">
      <c r="F66" s="48" t="n"/>
    </row>
    <row r="67">
      <c r="F67" s="48" t="n"/>
    </row>
    <row r="68">
      <c r="F68" s="48" t="n"/>
    </row>
    <row r="75">
      <c r="F75" s="48" t="n"/>
    </row>
    <row r="76">
      <c r="F76" s="48" t="n"/>
    </row>
    <row r="77">
      <c r="F77" s="48" t="n"/>
    </row>
    <row r="78">
      <c r="F78" s="48" t="n"/>
    </row>
    <row r="79">
      <c r="F79" s="48" t="n"/>
    </row>
    <row r="80">
      <c r="F80" s="48" t="n"/>
    </row>
    <row r="81">
      <c r="F81" s="48" t="n"/>
    </row>
    <row r="82">
      <c r="F82" s="48" t="n"/>
    </row>
    <row r="83">
      <c r="F83" s="48" t="n"/>
    </row>
    <row r="84">
      <c r="F84" s="48" t="n"/>
    </row>
    <row r="98">
      <c r="F98" s="48" t="n"/>
    </row>
    <row r="99">
      <c r="F99" s="48" t="n"/>
    </row>
    <row r="100">
      <c r="F100" s="48" t="n"/>
    </row>
    <row r="101">
      <c r="F101" s="48" t="n"/>
    </row>
    <row r="102">
      <c r="F102" s="48" t="n"/>
    </row>
    <row r="103">
      <c r="F103" s="48" t="n"/>
    </row>
    <row r="104">
      <c r="F104" s="48" t="n"/>
    </row>
    <row r="105">
      <c r="F105" s="48" t="n"/>
    </row>
    <row r="106">
      <c r="F106" s="48" t="n"/>
    </row>
    <row r="112">
      <c r="F112" s="48" t="n"/>
    </row>
    <row r="113">
      <c r="F113" s="48" t="n"/>
    </row>
    <row r="114">
      <c r="F114" s="48" t="n"/>
    </row>
  </sheetData>
  <mergeCells count="2">
    <mergeCell ref="A5:C5"/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F1:R98"/>
  <sheetViews>
    <sheetView zoomScale="70" zoomScaleNormal="70" workbookViewId="0">
      <selection activeCell="A1" sqref="A1:XFD1048576"/>
    </sheetView>
  </sheetViews>
  <sheetFormatPr baseColWidth="8" defaultRowHeight="14.4"/>
  <cols>
    <col width="36.44140625" bestFit="1" customWidth="1" min="1" max="1"/>
    <col width="9.21875" bestFit="1" customWidth="1" min="2" max="2"/>
    <col width="27.21875" bestFit="1" customWidth="1" min="3" max="3"/>
    <col width="13.77734375" bestFit="1" customWidth="1" min="4" max="4"/>
    <col width="17.21875" bestFit="1" customWidth="1" min="5" max="5"/>
    <col width="14" bestFit="1" customWidth="1" min="6" max="6"/>
    <col width="16.44140625" bestFit="1" customWidth="1" min="7" max="7"/>
    <col width="24.44140625" bestFit="1" customWidth="1" min="8" max="8"/>
    <col width="13.77734375" bestFit="1" customWidth="1" min="9" max="9"/>
    <col width="11" bestFit="1" customWidth="1" min="10" max="10"/>
    <col width="10.21875" bestFit="1" customWidth="1" style="55" min="11" max="11"/>
    <col width="29.5546875" bestFit="1" customWidth="1" style="55" min="12" max="12"/>
    <col width="31" bestFit="1" customWidth="1" style="55" min="13" max="13"/>
    <col width="13.21875" bestFit="1" customWidth="1" style="56" min="14" max="14"/>
    <col width="15.21875" bestFit="1" customWidth="1" min="15" max="15"/>
    <col width="27.21875" bestFit="1" customWidth="1" min="16" max="16"/>
    <col width="11.5546875" bestFit="1" customWidth="1" min="17" max="17"/>
    <col width="31" bestFit="1" customWidth="1" style="56" min="18" max="18"/>
    <col width="32.21875" bestFit="1" customWidth="1" style="56" min="19" max="19"/>
    <col width="12" bestFit="1" customWidth="1" min="20" max="20"/>
    <col width="20.21875" bestFit="1" customWidth="1" min="21" max="21"/>
    <col width="9.21875" bestFit="1" customWidth="1" min="22" max="22"/>
    <col width="13.21875" bestFit="1" customWidth="1" min="23" max="23"/>
    <col width="12" bestFit="1" customWidth="1" min="24" max="24"/>
  </cols>
  <sheetData>
    <row r="1">
      <c r="R1" s="57" t="n"/>
    </row>
    <row r="2">
      <c r="R2" s="57" t="n"/>
    </row>
    <row r="3">
      <c r="R3" s="57" t="n"/>
    </row>
    <row r="4">
      <c r="R4" s="57" t="n"/>
    </row>
    <row r="5">
      <c r="R5" s="57" t="n"/>
    </row>
    <row r="6">
      <c r="R6" s="57" t="n"/>
    </row>
    <row r="7">
      <c r="R7" s="57" t="n"/>
    </row>
    <row r="8">
      <c r="R8" s="57" t="n"/>
    </row>
    <row r="9">
      <c r="F9" s="48" t="n"/>
      <c r="R9" s="57" t="n"/>
    </row>
    <row r="10">
      <c r="R10" s="57" t="n"/>
    </row>
    <row r="11">
      <c r="R11" s="57" t="n"/>
    </row>
    <row r="13">
      <c r="R13" s="57" t="n"/>
    </row>
    <row r="14">
      <c r="R14" s="57" t="n"/>
    </row>
    <row r="15">
      <c r="R15" s="57" t="n"/>
    </row>
    <row r="16">
      <c r="R16" s="57" t="n"/>
    </row>
    <row r="17">
      <c r="F17" s="48" t="n"/>
      <c r="R17" s="57" t="n"/>
    </row>
    <row r="18">
      <c r="R18" s="57" t="n"/>
    </row>
    <row r="19">
      <c r="R19" s="57" t="n"/>
    </row>
    <row r="20">
      <c r="R20" s="57" t="n"/>
    </row>
    <row r="21">
      <c r="F21" s="48" t="n"/>
      <c r="R21" s="57" t="n"/>
    </row>
    <row r="22">
      <c r="F22" s="48" t="n"/>
      <c r="R22" s="57" t="n"/>
    </row>
    <row r="23">
      <c r="R23" s="57" t="n"/>
    </row>
    <row r="26">
      <c r="R26" s="57" t="n"/>
    </row>
    <row r="27">
      <c r="R27" s="57" t="n"/>
    </row>
    <row r="28">
      <c r="F28" s="48" t="n"/>
      <c r="R28" s="57" t="n"/>
    </row>
    <row r="29">
      <c r="R29" s="57" t="n"/>
    </row>
    <row r="30">
      <c r="R30" s="57" t="n"/>
    </row>
    <row r="31">
      <c r="R31" s="57" t="n"/>
    </row>
    <row r="32">
      <c r="R32" s="57" t="n"/>
    </row>
    <row r="33">
      <c r="R33" s="57" t="n"/>
    </row>
    <row r="34">
      <c r="R34" s="57" t="n"/>
    </row>
    <row r="35">
      <c r="R35" s="57" t="n"/>
    </row>
    <row r="36">
      <c r="R36" s="57" t="n"/>
    </row>
    <row r="38">
      <c r="R38" s="57" t="n"/>
    </row>
    <row r="39">
      <c r="R39" s="57" t="n"/>
    </row>
    <row r="40">
      <c r="R40" s="57" t="n"/>
    </row>
    <row r="41">
      <c r="R41" s="57" t="n"/>
    </row>
    <row r="42">
      <c r="R42" s="57" t="n"/>
    </row>
    <row r="43">
      <c r="F43" s="48" t="n"/>
      <c r="R43" s="57" t="n"/>
    </row>
    <row r="44">
      <c r="R44" s="57" t="n"/>
    </row>
    <row r="45">
      <c r="F45" s="48" t="n"/>
      <c r="R45" s="57" t="n"/>
    </row>
    <row r="46">
      <c r="F46" s="48" t="n"/>
      <c r="R46" s="57" t="n"/>
    </row>
    <row r="47">
      <c r="F47" s="48" t="n"/>
      <c r="R47" s="57" t="n"/>
    </row>
    <row r="48">
      <c r="R48" s="57" t="n"/>
    </row>
    <row r="51">
      <c r="R51" s="57" t="n"/>
    </row>
    <row r="52">
      <c r="F52" s="48" t="n"/>
      <c r="R52" s="57" t="n"/>
    </row>
    <row r="53">
      <c r="R53" s="57" t="n"/>
    </row>
    <row r="54">
      <c r="R54" s="57" t="n"/>
    </row>
    <row r="55">
      <c r="R55" s="57" t="n"/>
    </row>
    <row r="56">
      <c r="F56" s="48" t="n"/>
      <c r="R56" s="57" t="n"/>
    </row>
    <row r="57">
      <c r="F57" s="48" t="n"/>
      <c r="R57" s="57" t="n"/>
    </row>
    <row r="58">
      <c r="R58" s="57" t="n"/>
    </row>
    <row r="59">
      <c r="R59" s="57" t="n"/>
    </row>
    <row r="60">
      <c r="R60" s="57" t="n"/>
    </row>
    <row r="61">
      <c r="F61" s="48" t="n"/>
      <c r="R61" s="57" t="n"/>
    </row>
    <row r="63">
      <c r="R63" s="57" t="n"/>
    </row>
    <row r="64">
      <c r="R64" s="57" t="n"/>
    </row>
    <row r="65">
      <c r="F65" s="48" t="n"/>
      <c r="R65" s="57" t="n"/>
    </row>
    <row r="66">
      <c r="R66" s="57" t="n"/>
    </row>
    <row r="67">
      <c r="R67" s="57" t="n"/>
    </row>
    <row r="68">
      <c r="R68" s="57" t="n"/>
    </row>
    <row r="69">
      <c r="R69" s="57" t="n"/>
    </row>
    <row r="70">
      <c r="R70" s="57" t="n"/>
    </row>
    <row r="71">
      <c r="R71" s="57" t="n"/>
    </row>
    <row r="72">
      <c r="F72" s="48" t="n"/>
      <c r="R72" s="57" t="n"/>
    </row>
    <row r="73">
      <c r="R73" s="57" t="n"/>
    </row>
    <row r="76">
      <c r="R76" s="57" t="n"/>
    </row>
    <row r="77">
      <c r="R77" s="57" t="n"/>
    </row>
    <row r="78">
      <c r="R78" s="57" t="n"/>
    </row>
    <row r="79">
      <c r="R79" s="57" t="n"/>
    </row>
    <row r="80">
      <c r="F80" s="48" t="n"/>
      <c r="R80" s="57" t="n"/>
    </row>
    <row r="81">
      <c r="R81" s="57" t="n"/>
    </row>
    <row r="82">
      <c r="F82" s="48" t="n"/>
      <c r="R82" s="57" t="n"/>
    </row>
    <row r="83">
      <c r="R83" s="57" t="n"/>
    </row>
    <row r="84">
      <c r="R84" s="57" t="n"/>
    </row>
    <row r="85">
      <c r="R85" s="57" t="n"/>
    </row>
    <row r="86">
      <c r="R86" s="57" t="n"/>
    </row>
    <row r="88">
      <c r="R88" s="57" t="n"/>
    </row>
    <row r="89">
      <c r="R89" s="57" t="n"/>
    </row>
    <row r="90">
      <c r="F90" s="48" t="n"/>
      <c r="R90" s="57" t="n"/>
    </row>
    <row r="91">
      <c r="F91" s="48" t="n"/>
      <c r="R91" s="57" t="n"/>
    </row>
    <row r="92">
      <c r="R92" s="57" t="n"/>
    </row>
    <row r="93">
      <c r="R93" s="57" t="n"/>
    </row>
    <row r="94">
      <c r="R94" s="57" t="n"/>
    </row>
    <row r="95">
      <c r="R95" s="57" t="n"/>
    </row>
    <row r="96">
      <c r="F96" s="48" t="n"/>
      <c r="R96" s="57" t="n"/>
    </row>
    <row r="97">
      <c r="F97" s="48" t="n"/>
      <c r="R97" s="57" t="n"/>
    </row>
    <row r="98">
      <c r="R98" s="57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F1:S98"/>
  <sheetViews>
    <sheetView tabSelected="1" topLeftCell="A68" zoomScale="70" zoomScaleNormal="70" workbookViewId="0">
      <selection activeCell="F107" sqref="F107"/>
    </sheetView>
  </sheetViews>
  <sheetFormatPr baseColWidth="8" defaultRowHeight="14.4"/>
  <cols>
    <col width="36.44140625" bestFit="1" customWidth="1" min="1" max="1"/>
    <col width="9.21875" bestFit="1" customWidth="1" min="2" max="2"/>
    <col width="28.21875" bestFit="1" customWidth="1" min="3" max="3"/>
    <col width="13.77734375" bestFit="1" customWidth="1" min="4" max="4"/>
    <col width="17.21875" bestFit="1" customWidth="1" min="5" max="5"/>
    <col width="14" bestFit="1" customWidth="1" min="6" max="6"/>
    <col width="16.44140625" bestFit="1" customWidth="1" min="7" max="7"/>
    <col width="24.44140625" bestFit="1" customWidth="1" min="8" max="8"/>
    <col width="13.77734375" bestFit="1" customWidth="1" min="9" max="9"/>
    <col width="11" bestFit="1" customWidth="1" min="10" max="10"/>
    <col width="10.21875" bestFit="1" customWidth="1" style="55" min="11" max="11"/>
    <col width="29.5546875" bestFit="1" customWidth="1" style="55" min="12" max="12"/>
    <col width="31" bestFit="1" customWidth="1" style="55" min="13" max="13"/>
    <col width="13.21875" bestFit="1" customWidth="1" style="56" min="14" max="14"/>
    <col width="15.21875" bestFit="1" customWidth="1" min="15" max="15"/>
    <col width="27.21875" bestFit="1" customWidth="1" min="16" max="16"/>
    <col width="11.5546875" bestFit="1" customWidth="1" min="17" max="17"/>
    <col width="31" bestFit="1" customWidth="1" style="56" min="18" max="18"/>
    <col width="32.21875" bestFit="1" customWidth="1" style="56" min="19" max="19"/>
    <col width="12" bestFit="1" customWidth="1" min="20" max="20"/>
    <col width="20.21875" bestFit="1" customWidth="1" min="21" max="21"/>
    <col width="9.21875" bestFit="1" customWidth="1" min="22" max="22"/>
    <col width="13.21875" bestFit="1" customWidth="1" min="23" max="23"/>
    <col width="12" bestFit="1" customWidth="1" min="24" max="24"/>
  </cols>
  <sheetData>
    <row r="1">
      <c r="S1" s="57" t="n"/>
    </row>
    <row r="2">
      <c r="S2" s="57" t="n"/>
    </row>
    <row r="3">
      <c r="S3" s="57" t="n"/>
    </row>
    <row r="4">
      <c r="S4" s="57" t="n"/>
    </row>
    <row r="5">
      <c r="S5" s="57" t="n"/>
    </row>
    <row r="6">
      <c r="S6" s="57" t="n"/>
    </row>
    <row r="7">
      <c r="S7" s="57" t="n"/>
    </row>
    <row r="8">
      <c r="F8" s="48" t="n"/>
      <c r="S8" s="57" t="n"/>
    </row>
    <row r="9">
      <c r="S9" s="57" t="n"/>
    </row>
    <row r="10">
      <c r="S10" s="57" t="n"/>
    </row>
    <row r="11">
      <c r="F11" s="48" t="n"/>
      <c r="S11" s="57" t="n"/>
    </row>
    <row r="13">
      <c r="S13" s="57" t="n"/>
    </row>
    <row r="14">
      <c r="S14" s="57" t="n"/>
    </row>
    <row r="15">
      <c r="F15" s="48" t="n"/>
      <c r="S15" s="57" t="n"/>
    </row>
    <row r="16">
      <c r="S16" s="57" t="n"/>
    </row>
    <row r="17">
      <c r="S17" s="57" t="n"/>
    </row>
    <row r="18">
      <c r="S18" s="57" t="n"/>
    </row>
    <row r="19">
      <c r="F19" s="48" t="n"/>
      <c r="S19" s="57" t="n"/>
    </row>
    <row r="20">
      <c r="F20" s="48" t="n"/>
      <c r="S20" s="57" t="n"/>
    </row>
    <row r="21">
      <c r="F21" s="48" t="n"/>
      <c r="S21" s="57" t="n"/>
    </row>
    <row r="22">
      <c r="S22" s="57" t="n"/>
    </row>
    <row r="23">
      <c r="S23" s="57" t="n"/>
    </row>
    <row r="26">
      <c r="S26" s="57" t="n"/>
    </row>
    <row r="27">
      <c r="S27" s="57" t="n"/>
    </row>
    <row r="28">
      <c r="S28" s="57" t="n"/>
    </row>
    <row r="29">
      <c r="S29" s="57" t="n"/>
    </row>
    <row r="30">
      <c r="S30" s="57" t="n"/>
    </row>
    <row r="31">
      <c r="F31" s="48" t="n"/>
      <c r="S31" s="57" t="n"/>
    </row>
    <row r="32">
      <c r="S32" s="57" t="n"/>
    </row>
    <row r="33">
      <c r="S33" s="57" t="n"/>
    </row>
    <row r="34">
      <c r="F34" s="48" t="n"/>
      <c r="S34" s="57" t="n"/>
    </row>
    <row r="35">
      <c r="S35" s="57" t="n"/>
    </row>
    <row r="36">
      <c r="S36" s="57" t="n"/>
    </row>
    <row r="38">
      <c r="S38" s="57" t="n"/>
    </row>
    <row r="39">
      <c r="S39" s="57" t="n"/>
    </row>
    <row r="40">
      <c r="S40" s="57" t="n"/>
    </row>
    <row r="41">
      <c r="F41" s="48" t="n"/>
      <c r="S41" s="57" t="n"/>
    </row>
    <row r="42">
      <c r="S42" s="57" t="n"/>
    </row>
    <row r="43">
      <c r="F43" s="48" t="n"/>
      <c r="S43" s="57" t="n"/>
    </row>
    <row r="44">
      <c r="F44" s="48" t="n"/>
      <c r="S44" s="57" t="n"/>
    </row>
    <row r="45">
      <c r="F45" s="48" t="n"/>
      <c r="S45" s="57" t="n"/>
    </row>
    <row r="46">
      <c r="S46" s="57" t="n"/>
    </row>
    <row r="47">
      <c r="S47" s="57" t="n"/>
    </row>
    <row r="48">
      <c r="F48" s="48" t="n"/>
      <c r="S48" s="57" t="n"/>
    </row>
    <row r="51">
      <c r="S51" s="57" t="n"/>
    </row>
    <row r="52">
      <c r="S52" s="57" t="n"/>
    </row>
    <row r="53">
      <c r="S53" s="57" t="n"/>
    </row>
    <row r="54">
      <c r="F54" s="48" t="n"/>
      <c r="S54" s="57" t="n"/>
    </row>
    <row r="55">
      <c r="S55" s="57" t="n"/>
    </row>
    <row r="56">
      <c r="S56" s="57" t="n"/>
    </row>
    <row r="57">
      <c r="S57" s="57" t="n"/>
    </row>
    <row r="58">
      <c r="F58" s="48" t="n"/>
      <c r="S58" s="57" t="n"/>
    </row>
    <row r="59">
      <c r="S59" s="57" t="n"/>
    </row>
    <row r="60">
      <c r="F60" s="48" t="n"/>
      <c r="S60" s="57" t="n"/>
    </row>
    <row r="61">
      <c r="S61" s="57" t="n"/>
    </row>
    <row r="63">
      <c r="S63" s="57" t="n"/>
    </row>
    <row r="64">
      <c r="F64" s="48" t="n"/>
      <c r="S64" s="57" t="n"/>
    </row>
    <row r="65">
      <c r="S65" s="57" t="n"/>
    </row>
    <row r="66">
      <c r="S66" s="57" t="n"/>
    </row>
    <row r="67" ht="14.25" customHeight="1">
      <c r="S67" s="57" t="n"/>
    </row>
    <row r="68">
      <c r="S68" s="57" t="n"/>
    </row>
    <row r="69">
      <c r="S69" s="57" t="n"/>
    </row>
    <row r="70">
      <c r="S70" s="57" t="n"/>
    </row>
    <row r="71">
      <c r="S71" s="57" t="n"/>
    </row>
    <row r="72">
      <c r="S72" s="57" t="n"/>
    </row>
    <row r="73">
      <c r="S73" s="57" t="n"/>
    </row>
    <row r="76">
      <c r="S76" s="57" t="n"/>
    </row>
    <row r="77">
      <c r="S77" s="57" t="n"/>
    </row>
    <row r="78">
      <c r="F78" s="48" t="n"/>
      <c r="S78" s="57" t="n"/>
    </row>
    <row r="79">
      <c r="S79" s="57" t="n"/>
    </row>
    <row r="80">
      <c r="S80" s="57" t="n"/>
    </row>
    <row r="81">
      <c r="S81" s="57" t="n"/>
    </row>
    <row r="82">
      <c r="F82" s="48" t="n"/>
      <c r="S82" s="57" t="n"/>
    </row>
    <row r="83">
      <c r="S83" s="57" t="n"/>
    </row>
    <row r="84">
      <c r="F84" s="48" t="n"/>
      <c r="S84" s="57" t="n"/>
    </row>
    <row r="85">
      <c r="S85" s="57" t="n"/>
    </row>
    <row r="86">
      <c r="S86" s="57" t="n"/>
    </row>
    <row r="88">
      <c r="S88" s="57" t="n"/>
    </row>
    <row r="89">
      <c r="S89" s="57" t="n"/>
    </row>
    <row r="90">
      <c r="F90" s="48" t="n"/>
      <c r="S90" s="57" t="n"/>
    </row>
    <row r="91">
      <c r="S91" s="57" t="n"/>
    </row>
    <row r="92">
      <c r="S92" s="57" t="n"/>
    </row>
    <row r="93">
      <c r="F93" s="48" t="n"/>
      <c r="S93" s="57" t="n"/>
    </row>
    <row r="94">
      <c r="F94" s="48" t="n"/>
      <c r="S94" s="57" t="n"/>
    </row>
    <row r="95">
      <c r="F95" s="48" t="n"/>
      <c r="S95" s="57" t="n"/>
    </row>
    <row r="96">
      <c r="F96" s="48" t="n"/>
      <c r="S96" s="57" t="n"/>
    </row>
    <row r="97">
      <c r="S97" s="57" t="n"/>
    </row>
    <row r="98">
      <c r="F98" s="48" t="n"/>
      <c r="S98" s="57" t="n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3AB7C8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70" customWidth="1" min="1" max="1"/>
  </cols>
  <sheetData>
    <row r="1">
      <c r="A1" s="105" t="inlineStr">
        <is>
          <t>Populated by MacroSPREADSINCE (module SPREAD_SINCE). Run RM_VERSION_WITH_SINCE.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I1087"/>
  <sheetViews>
    <sheetView zoomScaleNormal="100" workbookViewId="0">
      <selection activeCell="A3" sqref="A3"/>
    </sheetView>
  </sheetViews>
  <sheetFormatPr baseColWidth="8" defaultColWidth="9.21875" defaultRowHeight="15"/>
  <cols>
    <col width="14.77734375" bestFit="1" customWidth="1" style="23" min="1" max="1"/>
    <col width="24.21875" bestFit="1" customWidth="1" style="23" min="2" max="2"/>
    <col width="24" bestFit="1" customWidth="1" style="23" min="3" max="3"/>
    <col width="14" customWidth="1" style="23" min="4" max="9"/>
    <col width="9.21875" customWidth="1" style="23" min="10" max="16384"/>
  </cols>
  <sheetData>
    <row r="1" ht="15" customHeight="1">
      <c r="A1" s="37">
        <f>TODAY()-7</f>
        <v/>
      </c>
      <c r="B1" s="71" t="inlineStr">
        <is>
          <t>DO NOT DELETE THE DATES</t>
        </is>
      </c>
      <c r="C1" s="90" t="inlineStr">
        <is>
          <t>FIXED ANCHOR DATE -&gt;</t>
        </is>
      </c>
      <c r="D1" s="106" t="n">
        <v>46217</v>
      </c>
      <c r="E1" s="92" t="n"/>
      <c r="F1" s="92" t="n"/>
      <c r="G1" s="92" t="n"/>
      <c r="H1" s="92" t="n"/>
      <c r="I1" s="92" t="n"/>
    </row>
    <row r="2" ht="15" customHeight="1">
      <c r="A2" s="37">
        <f>TODAY()-30</f>
        <v/>
      </c>
      <c r="C2" s="93" t="inlineStr">
        <is>
          <t>Edit D1 only. A1/A2 stay dynamic (TODAY()-7 / TODAY()-30).</t>
        </is>
      </c>
      <c r="D2" s="92" t="n"/>
      <c r="E2" s="92" t="n"/>
      <c r="F2" s="92" t="n"/>
      <c r="G2" s="92" t="n"/>
      <c r="H2" s="92" t="n"/>
      <c r="I2" s="92" t="n"/>
    </row>
    <row r="3" ht="15" customHeight="1">
      <c r="A3" s="94" t="inlineStr">
        <is>
          <t>ISIN</t>
        </is>
      </c>
      <c r="B3" s="94" t="inlineStr">
        <is>
          <t>Company name</t>
        </is>
      </c>
      <c r="C3" s="94" t="inlineStr">
        <is>
          <t>Company description</t>
        </is>
      </c>
      <c r="D3" s="92" t="n"/>
      <c r="E3" s="92" t="inlineStr">
        <is>
          <t>#N/A N/A</t>
        </is>
      </c>
      <c r="F3" s="92" t="n"/>
      <c r="G3" s="92" t="n"/>
      <c r="H3" s="92" t="n"/>
      <c r="I3" s="92" t="n"/>
    </row>
    <row r="4" ht="15" customHeight="1">
      <c r="A4" s="23" t="inlineStr">
        <is>
          <t>US88579YBJ91</t>
        </is>
      </c>
      <c r="B4" s="92">
        <f>PROPER(_xll.BDP($A4&amp;" Corp","NAME"))</f>
        <v/>
      </c>
      <c r="C4" s="23" t="inlineStr">
        <is>
          <t>US industrial and consumer company</t>
        </is>
      </c>
      <c r="D4" s="92" t="n"/>
      <c r="E4" s="92" t="n"/>
      <c r="F4" s="92" t="n"/>
      <c r="G4" s="92" t="n"/>
      <c r="H4" s="92" t="n"/>
      <c r="I4" s="92" t="n"/>
    </row>
    <row r="5" ht="15" customHeight="1">
      <c r="A5" s="92" t="inlineStr">
        <is>
          <t>XS2534976886</t>
        </is>
      </c>
      <c r="B5" s="92">
        <f>PROPER(_xll.BDP($A5&amp;" Corp","NAME"))</f>
        <v/>
      </c>
      <c r="C5" s="92" t="inlineStr">
        <is>
          <t>Italian diversified utility in electricity, renewables, gas, water, waste management</t>
        </is>
      </c>
      <c r="D5" s="92" t="n"/>
      <c r="E5" s="92" t="n"/>
      <c r="F5" s="92" t="n"/>
      <c r="G5" s="92" t="n"/>
      <c r="H5" s="92" t="n"/>
      <c r="I5" s="92" t="n"/>
    </row>
    <row r="6" ht="15" customHeight="1">
      <c r="A6" s="92" t="inlineStr">
        <is>
          <t>XS2583205906</t>
        </is>
      </c>
      <c r="B6" s="92">
        <f>PROPER(_xll.BDP($A6&amp;" Corp","NAME"))</f>
        <v/>
      </c>
      <c r="C6" s="92" t="inlineStr">
        <is>
          <t>Italian diversified utility in electricity, renewables, gas, water, waste management</t>
        </is>
      </c>
      <c r="D6" s="92" t="n"/>
      <c r="E6" s="92" t="n"/>
      <c r="F6" s="92" t="n"/>
      <c r="G6" s="92" t="n"/>
      <c r="H6" s="92" t="n"/>
      <c r="I6" s="92" t="n"/>
    </row>
    <row r="7" ht="15" customHeight="1">
      <c r="A7" s="23" t="inlineStr">
        <is>
          <t>XS2575555938</t>
        </is>
      </c>
      <c r="B7" s="92">
        <f>PROPER(_xll.BDP($A7&amp;" Corp","NAME"))</f>
        <v/>
      </c>
      <c r="C7" s="23" t="inlineStr">
        <is>
          <t xml:space="preserve">Provides power and automation technologies </t>
        </is>
      </c>
      <c r="D7" s="92" t="n"/>
      <c r="E7" s="92" t="inlineStr">
        <is>
          <t>nurferg</t>
        </is>
      </c>
      <c r="F7" s="92" t="n"/>
      <c r="G7" s="92" t="n"/>
      <c r="H7" s="92" t="n"/>
      <c r="I7" s="92" t="n"/>
    </row>
    <row r="8" ht="15" customHeight="1">
      <c r="A8" s="23" t="inlineStr">
        <is>
          <t>XS1709529520</t>
        </is>
      </c>
      <c r="B8" s="92">
        <f>PROPER(_xll.BDP($A8&amp;" Corp","NAME"))</f>
        <v/>
      </c>
      <c r="C8" s="23" t="inlineStr">
        <is>
          <t>Abu Dhabi Crude Oil Pipeline L.L.C. operates as a pipeline company.</t>
        </is>
      </c>
      <c r="D8" s="92" t="n"/>
      <c r="E8" s="92" t="inlineStr">
        <is>
          <t>#N/A N/A</t>
        </is>
      </c>
      <c r="F8" s="92" t="n"/>
      <c r="G8" s="92" t="n"/>
      <c r="H8" s="92" t="n"/>
      <c r="I8" s="92" t="n"/>
    </row>
    <row r="9" ht="15" customHeight="1">
      <c r="A9" s="23" t="inlineStr">
        <is>
          <t>XS1402929746</t>
        </is>
      </c>
      <c r="B9" s="92">
        <f>PROPER(_xll.BDP($A9&amp;" Corp","NAME"))</f>
        <v/>
      </c>
      <c r="C9" s="23" t="inlineStr">
        <is>
          <t>United Arab Emirates Government</t>
        </is>
      </c>
      <c r="D9" s="92" t="n"/>
      <c r="E9" s="92" t="n">
        <v>26</v>
      </c>
      <c r="F9" s="92" t="n"/>
      <c r="G9" s="92" t="n"/>
      <c r="H9" s="92" t="n"/>
      <c r="I9" s="92" t="n"/>
    </row>
    <row r="10" ht="15" customHeight="1">
      <c r="A10" s="23" t="inlineStr">
        <is>
          <t>XS2600248335</t>
        </is>
      </c>
      <c r="B10" s="92">
        <f>PROPER(_xll.BDP($A10&amp;" Corp","NAME"))</f>
        <v/>
      </c>
      <c r="C10" s="23" t="inlineStr">
        <is>
          <t>Abu Dhabi majority state-owned energy company</t>
        </is>
      </c>
      <c r="D10" s="92" t="n"/>
      <c r="E10" s="92" t="n">
        <v>25</v>
      </c>
      <c r="F10" s="92" t="n"/>
      <c r="G10" s="92" t="n"/>
      <c r="H10" s="92" t="n"/>
      <c r="I10" s="92" t="n"/>
    </row>
    <row r="11" ht="15" customHeight="1">
      <c r="A11" s="23" t="inlineStr">
        <is>
          <t>FR0014006ND8</t>
        </is>
      </c>
      <c r="B11" s="92">
        <f>PROPER(_xll.BDP($A11&amp;" Corp","NAME"))</f>
        <v/>
      </c>
      <c r="C11" s="23" t="inlineStr">
        <is>
          <t>operates managed and franchised hotels, resort and vacation facility</t>
        </is>
      </c>
      <c r="D11" s="92" t="n"/>
      <c r="E11" s="92" t="n">
        <v>24</v>
      </c>
      <c r="F11" s="92" t="n"/>
      <c r="G11" s="92" t="n"/>
      <c r="H11" s="92" t="n"/>
      <c r="I11" s="92" t="n"/>
    </row>
    <row r="12" ht="15" customHeight="1">
      <c r="A12" s="23" t="inlineStr">
        <is>
          <t>XS1799545329</t>
        </is>
      </c>
      <c r="B12" s="92">
        <f>PROPER(_xll.BDP($A12&amp;" Corp","NAME"))</f>
        <v/>
      </c>
      <c r="C12" s="23" t="inlineStr">
        <is>
          <t>Spanish engineering and contracting company</t>
        </is>
      </c>
      <c r="D12" s="92" t="n"/>
      <c r="E12" s="92" t="n">
        <v>23</v>
      </c>
      <c r="F12" s="92" t="n"/>
      <c r="G12" s="92" t="n"/>
      <c r="H12" s="92" t="n"/>
      <c r="I12" s="92" t="n"/>
    </row>
    <row r="13" ht="15" customHeight="1">
      <c r="A13" s="23" t="inlineStr">
        <is>
          <t>XS2109438205</t>
        </is>
      </c>
      <c r="B13" s="92">
        <f>PROPER(_xll.BDP($A13&amp;" Corp","NAME"))</f>
        <v/>
      </c>
      <c r="C13" s="23" t="inlineStr">
        <is>
          <t>Provides rail transportation, catering and tourism services, majority state-owned</t>
        </is>
      </c>
      <c r="D13" s="92" t="n"/>
      <c r="E13" s="92" t="n">
        <v>22</v>
      </c>
      <c r="F13" s="92" t="n"/>
      <c r="G13" s="92" t="n"/>
      <c r="H13" s="92" t="n"/>
      <c r="I13" s="92" t="n"/>
    </row>
    <row r="14" ht="15" customHeight="1">
      <c r="A14" s="23" t="inlineStr">
        <is>
          <t>XS1636266832</t>
        </is>
      </c>
      <c r="B14" s="92">
        <f>PROPER(_xll.BDP($A14&amp;" Corp","NAME"))</f>
        <v/>
      </c>
      <c r="C14" s="23" t="inlineStr">
        <is>
          <t>Indian operator of shipping port and special economic zones</t>
        </is>
      </c>
      <c r="D14" s="92" t="n"/>
      <c r="E14" s="92" t="n">
        <v>21</v>
      </c>
      <c r="F14" s="92" t="n"/>
      <c r="G14" s="92" t="n"/>
      <c r="H14" s="92" t="n"/>
      <c r="I14" s="92" t="n"/>
    </row>
    <row r="15" ht="15" customHeight="1">
      <c r="A15" s="23" t="inlineStr">
        <is>
          <t>USY00130VS35</t>
        </is>
      </c>
      <c r="B15" s="92">
        <f>PROPER(_xll.BDP($A15&amp;" Corp","NAME"))</f>
        <v/>
      </c>
      <c r="C15" s="23" t="inlineStr">
        <is>
          <t>Indian operator of shipping port and special economic zones</t>
        </is>
      </c>
      <c r="D15" s="92" t="n"/>
      <c r="E15" s="92" t="n">
        <v>20</v>
      </c>
      <c r="F15" s="92" t="n"/>
      <c r="G15" s="92" t="n"/>
      <c r="H15" s="92" t="n"/>
      <c r="I15" s="92" t="n"/>
    </row>
    <row r="16" ht="15" customHeight="1">
      <c r="A16" s="23" t="inlineStr">
        <is>
          <t>USY00130RP42</t>
        </is>
      </c>
      <c r="B16" s="92">
        <f>PROPER(_xll.BDP($A16&amp;" Corp","NAME"))</f>
        <v/>
      </c>
      <c r="C16" s="23" t="inlineStr">
        <is>
          <t>Indian operator of shipping port and special economic zones</t>
        </is>
      </c>
      <c r="D16" s="92" t="n"/>
      <c r="E16" s="92" t="n">
        <v>19</v>
      </c>
      <c r="F16" s="92" t="n"/>
      <c r="G16" s="92" t="n"/>
      <c r="H16" s="92" t="n"/>
      <c r="I16" s="92" t="n"/>
    </row>
    <row r="17" ht="15" customHeight="1">
      <c r="A17" s="23" t="inlineStr">
        <is>
          <t>USY00130XS17</t>
        </is>
      </c>
      <c r="B17" s="92">
        <f>PROPER(_xll.BDP($A17&amp;" Corp","NAME"))</f>
        <v/>
      </c>
      <c r="C17" s="23" t="inlineStr">
        <is>
          <t>Indian operator of shipping port and special economic zones</t>
        </is>
      </c>
      <c r="D17" s="92" t="n"/>
      <c r="E17" s="92" t="n">
        <v>18</v>
      </c>
      <c r="F17" s="92" t="n"/>
      <c r="G17" s="92" t="n"/>
      <c r="H17" s="92" t="n"/>
      <c r="I17" s="92" t="n"/>
    </row>
    <row r="18" ht="15" customHeight="1">
      <c r="A18" s="23" t="inlineStr">
        <is>
          <t>USY00130YU53</t>
        </is>
      </c>
      <c r="B18" s="92">
        <f>PROPER(_xll.BDP($A18&amp;" Corp","NAME"))</f>
        <v/>
      </c>
      <c r="C18" s="23" t="inlineStr">
        <is>
          <t>Indian operator of shipping port and special economic zones</t>
        </is>
      </c>
      <c r="D18" s="92" t="n"/>
      <c r="E18" s="92" t="n">
        <v>17</v>
      </c>
      <c r="F18" s="92" t="n"/>
      <c r="G18" s="92" t="n"/>
      <c r="H18" s="92" t="n"/>
      <c r="I18" s="92" t="n"/>
    </row>
    <row r="19" ht="15" customHeight="1">
      <c r="A19" s="92" t="inlineStr">
        <is>
          <t>CH0539032950</t>
        </is>
      </c>
      <c r="B19" s="92">
        <f>PROPER(_xll.BDP($A19&amp;" Corp","NAME"))</f>
        <v/>
      </c>
      <c r="C19" s="92" t="inlineStr">
        <is>
          <t>A personnel and temporary employment company</t>
        </is>
      </c>
      <c r="D19" s="92" t="n"/>
      <c r="E19" s="92" t="n">
        <v>16</v>
      </c>
      <c r="F19" s="92" t="n"/>
      <c r="G19" s="92" t="n"/>
      <c r="H19" s="92" t="n"/>
      <c r="I19" s="92" t="n"/>
    </row>
    <row r="20" ht="15" customHeight="1">
      <c r="A20" s="23" t="inlineStr">
        <is>
          <t>CH1214797206</t>
        </is>
      </c>
      <c r="B20" s="92">
        <f>PROPER(_xll.BDP($A20&amp;" Corp","NAME"))</f>
        <v/>
      </c>
      <c r="C20" s="23" t="inlineStr">
        <is>
          <t>A personnel and temporary employment company</t>
        </is>
      </c>
      <c r="D20" s="92" t="n"/>
      <c r="E20" s="92" t="n">
        <v>15</v>
      </c>
      <c r="F20" s="92" t="n"/>
      <c r="G20" s="92" t="n"/>
      <c r="H20" s="92" t="n"/>
      <c r="I20" s="92" t="n"/>
    </row>
    <row r="21" ht="15" customHeight="1">
      <c r="A21" s="23" t="inlineStr">
        <is>
          <t>USL00849AA47</t>
        </is>
      </c>
      <c r="B21" s="92">
        <f>PROPER(_xll.BDP($A21&amp;" Corp","NAME"))</f>
        <v/>
      </c>
      <c r="C21" s="23" t="inlineStr">
        <is>
          <t>Agricultural company in South America</t>
        </is>
      </c>
      <c r="D21" s="92" t="n"/>
      <c r="E21" s="92" t="n">
        <v>14</v>
      </c>
      <c r="F21" s="92" t="n"/>
      <c r="G21" s="92" t="n"/>
      <c r="H21" s="92" t="n"/>
      <c r="I21" s="92" t="n"/>
    </row>
    <row r="22" ht="15" customHeight="1">
      <c r="A22" s="92" t="inlineStr">
        <is>
          <t>XS2555178644</t>
        </is>
      </c>
      <c r="B22" s="92">
        <f>PROPER(_xll.BDP($A22&amp;" Corp","NAME"))</f>
        <v/>
      </c>
      <c r="C22" s="92" t="inlineStr">
        <is>
          <t>Adidas AG manufactures sports shoes and sports equipment.</t>
        </is>
      </c>
      <c r="D22" s="92" t="n"/>
      <c r="E22" s="92" t="n">
        <v>12</v>
      </c>
      <c r="F22" s="92" t="n"/>
      <c r="G22" s="92" t="n"/>
      <c r="H22" s="92" t="n"/>
      <c r="I22" s="92" t="n"/>
    </row>
    <row r="23" ht="15" customHeight="1">
      <c r="A23" s="23" t="inlineStr">
        <is>
          <t>XS2555179378</t>
        </is>
      </c>
      <c r="B23" s="92">
        <f>PROPER(_xll.BDP($A23&amp;" Corp","NAME"))</f>
        <v/>
      </c>
      <c r="C23" s="23" t="inlineStr">
        <is>
          <t>Adidas AG manufactures sports shoes and sports equipment.</t>
        </is>
      </c>
      <c r="D23" s="92" t="n"/>
      <c r="E23" s="92" t="n">
        <v>11</v>
      </c>
      <c r="F23" s="92" t="n"/>
      <c r="G23" s="92" t="n"/>
      <c r="H23" s="92" t="n"/>
      <c r="I23" s="92" t="n"/>
    </row>
    <row r="24" ht="15" customHeight="1">
      <c r="A24" s="23" t="inlineStr">
        <is>
          <t>USP0608AAB28</t>
        </is>
      </c>
      <c r="B24" s="92">
        <f>PROPER(_xll.BDP($A24&amp;" Corp","NAME"))</f>
        <v/>
      </c>
      <c r="C24" s="23" t="inlineStr">
        <is>
          <t xml:space="preserve">Utility company </t>
        </is>
      </c>
      <c r="D24" s="92" t="n"/>
      <c r="E24" s="92" t="n">
        <v>10</v>
      </c>
      <c r="F24" s="92" t="n"/>
      <c r="G24" s="92" t="n"/>
      <c r="H24" s="92" t="n"/>
      <c r="I24" s="92" t="n"/>
    </row>
    <row r="25" ht="15" customHeight="1">
      <c r="A25" s="23" t="inlineStr">
        <is>
          <t>CH0569237701</t>
        </is>
      </c>
      <c r="B25" s="92">
        <f>PROPER(_xll.BDP($A25&amp;" Corp","NAME"))</f>
        <v/>
      </c>
      <c r="C25" s="23" t="inlineStr">
        <is>
          <t>Provides banking solutions</t>
        </is>
      </c>
      <c r="D25" s="95" t="n"/>
      <c r="E25" s="92" t="n">
        <v>9</v>
      </c>
      <c r="F25" s="95" t="n"/>
      <c r="G25" s="95" t="n"/>
      <c r="H25" s="95" t="n"/>
      <c r="I25" s="95" t="n"/>
    </row>
    <row r="26">
      <c r="A26" s="23" t="inlineStr">
        <is>
          <t>US00828EER62</t>
        </is>
      </c>
      <c r="B26" s="92">
        <f>PROPER(_xll.BDP($A26&amp;" Corp","NAME"))</f>
        <v/>
      </c>
      <c r="C26" s="23" t="inlineStr">
        <is>
          <t>Regional multilateral development finance institution</t>
        </is>
      </c>
      <c r="E26" s="92" t="n">
        <v>8</v>
      </c>
    </row>
    <row r="27">
      <c r="A27" s="23" t="inlineStr">
        <is>
          <t>XS2434390600</t>
        </is>
      </c>
      <c r="B27" s="92">
        <f>PROPER(_xll.BDP($A27&amp;" Corp","NAME"))</f>
        <v/>
      </c>
      <c r="C27" s="23" t="inlineStr">
        <is>
          <t>Regional multilateral development finance institution</t>
        </is>
      </c>
      <c r="E27" s="92" t="n">
        <v>7</v>
      </c>
    </row>
    <row r="28">
      <c r="A28" s="23" t="inlineStr">
        <is>
          <t>US00828EEP07</t>
        </is>
      </c>
      <c r="B28" s="92">
        <f>PROPER(_xll.BDP($A28&amp;" Corp","NAME"))</f>
        <v/>
      </c>
      <c r="C28" s="23" t="inlineStr">
        <is>
          <t>A multilateral development bank</t>
        </is>
      </c>
      <c r="E28" s="92" t="n">
        <v>6</v>
      </c>
    </row>
    <row r="29">
      <c r="A29" s="23" t="inlineStr">
        <is>
          <t>XS2343006958</t>
        </is>
      </c>
      <c r="B29" s="92">
        <f>PROPER(_xll.BDP($A29&amp;" Corp","NAME"))</f>
        <v/>
      </c>
      <c r="C29" s="23" t="inlineStr">
        <is>
          <t>Operates as a bank</t>
        </is>
      </c>
      <c r="E29" s="92" t="n">
        <v>5</v>
      </c>
    </row>
    <row r="30">
      <c r="A30" s="92" t="inlineStr">
        <is>
          <t>FR001400F5D1</t>
        </is>
      </c>
      <c r="B30" s="92">
        <f>PROPER(_xll.BDP($A30&amp;" Corp","NAME"))</f>
        <v/>
      </c>
      <c r="C30" s="92" t="inlineStr">
        <is>
          <t>Operates as a public development bank</t>
        </is>
      </c>
      <c r="E30" s="92" t="n">
        <v>4</v>
      </c>
    </row>
    <row r="31">
      <c r="A31" s="23" t="inlineStr">
        <is>
          <t>FR0013190188</t>
        </is>
      </c>
      <c r="B31" s="92">
        <f>PROPER(_xll.BDP($A31&amp;" Corp","NAME"))</f>
        <v/>
      </c>
      <c r="C31" s="23" t="inlineStr">
        <is>
          <t>Operates as a public development bank</t>
        </is>
      </c>
      <c r="E31" s="92" t="n">
        <v>3</v>
      </c>
    </row>
    <row r="32">
      <c r="A32" s="23" t="inlineStr">
        <is>
          <t>FR001400F5D1</t>
        </is>
      </c>
      <c r="B32" s="92">
        <f>PROPER(_xll.BDP($A32&amp;" Corp","NAME"))</f>
        <v/>
      </c>
      <c r="C32" s="23" t="inlineStr">
        <is>
          <t>Operates as a public development bank</t>
        </is>
      </c>
      <c r="E32" s="92" t="n">
        <v>2</v>
      </c>
    </row>
    <row r="33">
      <c r="A33" s="23" t="inlineStr">
        <is>
          <t>FR001400FVZ1</t>
        </is>
      </c>
      <c r="B33" s="92">
        <f>PROPER(_xll.BDP($A33&amp;" Corp","NAME"))</f>
        <v/>
      </c>
      <c r="C33" s="23" t="inlineStr">
        <is>
          <t>Operates as a public development bank</t>
        </is>
      </c>
      <c r="E33" s="92" t="n">
        <v>1</v>
      </c>
    </row>
    <row r="34">
      <c r="A34" s="23" t="inlineStr">
        <is>
          <t>FR001400CRX1</t>
        </is>
      </c>
      <c r="B34" s="92">
        <f>PROPER(_xll.BDP($A34&amp;" Corp","NAME"))</f>
        <v/>
      </c>
      <c r="C34" s="23" t="inlineStr">
        <is>
          <t>Operates as a public development bank</t>
        </is>
      </c>
    </row>
    <row r="35">
      <c r="A35" s="23" t="inlineStr">
        <is>
          <t>FR0013190188</t>
        </is>
      </c>
      <c r="B35" s="92">
        <f>PROPER(_xll.BDP($A35&amp;" Corp","NAME"))</f>
        <v/>
      </c>
      <c r="C35" s="23" t="inlineStr">
        <is>
          <t>Operates as a public development bank</t>
        </is>
      </c>
    </row>
    <row r="36">
      <c r="A36" s="23" t="inlineStr">
        <is>
          <t>USE0R75RAB28</t>
        </is>
      </c>
      <c r="B36" s="92">
        <f>PROPER(_xll.BDP($A36&amp;" Corp","NAME"))</f>
        <v/>
      </c>
      <c r="C36" s="23" t="inlineStr">
        <is>
          <t>Holding company of oil pipeline</t>
        </is>
      </c>
    </row>
    <row r="37">
      <c r="A37" s="23" t="inlineStr">
        <is>
          <t>FR0014004AE8</t>
        </is>
      </c>
      <c r="B37" s="92">
        <f>PROPER(_xll.BDP($A37&amp;" Corp","NAME"))</f>
        <v/>
      </c>
      <c r="C37" s="23" t="inlineStr">
        <is>
          <t>Offers air transportation services</t>
        </is>
      </c>
    </row>
    <row r="38">
      <c r="A38" s="23" t="inlineStr">
        <is>
          <t xml:space="preserve">FR001400F2Q0 </t>
        </is>
      </c>
      <c r="B38" s="92">
        <f>PROPER(_xll.BDP($A38&amp;" Corp","NAME"))</f>
        <v/>
      </c>
      <c r="C38" s="23" t="inlineStr">
        <is>
          <t>Offers air transportation services</t>
        </is>
      </c>
    </row>
    <row r="39">
      <c r="A39" s="23" t="inlineStr">
        <is>
          <t xml:space="preserve">FR001400F2R8 </t>
        </is>
      </c>
      <c r="B39" s="92">
        <f>PROPER(_xll.BDP($A39&amp;" Corp","NAME"))</f>
        <v/>
      </c>
      <c r="C39" s="23" t="inlineStr">
        <is>
          <t>Offers air transportation services</t>
        </is>
      </c>
    </row>
    <row r="40">
      <c r="A40" s="23" t="inlineStr">
        <is>
          <t>XS2627338580</t>
        </is>
      </c>
      <c r="B40" s="92">
        <f>PROPER(_xll.BDP($A40&amp;" Corp","NAME"))</f>
        <v/>
      </c>
      <c r="C40" s="23" t="inlineStr">
        <is>
          <t>Abu Dhabi property company with partial state ownership</t>
        </is>
      </c>
    </row>
    <row r="41">
      <c r="A41" s="23" t="inlineStr">
        <is>
          <t>XS2627338580</t>
        </is>
      </c>
      <c r="B41" s="92">
        <f>PROPER(_xll.BDP($A41&amp;" Corp","NAME"))</f>
        <v/>
      </c>
      <c r="C41" s="23" t="inlineStr">
        <is>
          <t>Abu Dhbai partially state-owned property company</t>
        </is>
      </c>
    </row>
    <row r="42">
      <c r="A42" s="23" t="inlineStr">
        <is>
          <t>XS2068063465</t>
        </is>
      </c>
      <c r="B42" s="92">
        <f>PROPER(_xll.BDP($A42&amp;" Corp","NAME"))</f>
        <v/>
      </c>
      <c r="C42" s="23" t="inlineStr">
        <is>
          <t>Abu Dhabi property company with partial state ownership</t>
        </is>
      </c>
    </row>
    <row r="43">
      <c r="A43" s="23" t="inlineStr">
        <is>
          <t>US01609WAQ50</t>
        </is>
      </c>
      <c r="B43" s="92">
        <f>PROPER(_xll.BDP($A43&amp;" Corp","NAME"))</f>
        <v/>
      </c>
      <c r="C43" s="23" t="inlineStr">
        <is>
          <t>World largest online b2b trading platform for small businesses</t>
        </is>
      </c>
    </row>
    <row r="44">
      <c r="A44" s="23" t="inlineStr">
        <is>
          <t>XS1400167133</t>
        </is>
      </c>
      <c r="B44" s="92">
        <f>PROPER(_xll.BDP($A44&amp;" Corp","NAME"))</f>
        <v/>
      </c>
      <c r="C44" s="23" t="inlineStr">
        <is>
          <t xml:space="preserve">Dutch utilities company distributing electricity, natural gas and heat </t>
        </is>
      </c>
    </row>
    <row r="45">
      <c r="A45" s="23" t="inlineStr">
        <is>
          <t>XS2641777235</t>
        </is>
      </c>
      <c r="B45" s="92">
        <f>PROPER(_xll.BDP($A45&amp;" Corp","NAME"))</f>
        <v/>
      </c>
      <c r="C45" s="23" t="inlineStr">
        <is>
          <t>Saudi partially state-owned food and dairy company</t>
        </is>
      </c>
    </row>
    <row r="46">
      <c r="A46" s="23" t="inlineStr">
        <is>
          <t>USP01703AD22</t>
        </is>
      </c>
      <c r="B46" s="92">
        <f>PROPER(_xll.BDP($A46&amp;" Corp","NAME"))</f>
        <v/>
      </c>
      <c r="C46" s="23" t="inlineStr">
        <is>
          <t>One of the largest PET and PTA producers in the Americas</t>
        </is>
      </c>
    </row>
    <row r="47">
      <c r="A47" s="92" t="inlineStr">
        <is>
          <t>US02079KAD90</t>
        </is>
      </c>
      <c r="B47" s="92">
        <f>PROPER(_xll.BDP($A47&amp;" Corp","NAME"))</f>
        <v/>
      </c>
      <c r="C47" s="92" t="inlineStr">
        <is>
          <t>World's leading internet search engine</t>
        </is>
      </c>
      <c r="E47" s="36">
        <f>TODAY()-7</f>
        <v/>
      </c>
    </row>
    <row r="48">
      <c r="A48" s="23" t="inlineStr">
        <is>
          <t>US02079KAC18</t>
        </is>
      </c>
      <c r="B48" s="92">
        <f>PROPER(_xll.BDP($A48&amp;" Corp","NAME"))</f>
        <v/>
      </c>
      <c r="C48" s="23" t="inlineStr">
        <is>
          <t>World's leading internet search engine</t>
        </is>
      </c>
      <c r="E48" s="23">
        <f>_xll.BDP("254687FM3 Corp","YAS_BOND_YLD","YAS_YLD_FLAG=15", "YAS_BOND_PX=100")</f>
        <v/>
      </c>
    </row>
    <row r="49">
      <c r="A49" s="23" t="inlineStr">
        <is>
          <t>US02079KAE73</t>
        </is>
      </c>
      <c r="B49" s="92">
        <f>PROPER(_xll.BDP($A49&amp;" Corp","NAME"))</f>
        <v/>
      </c>
      <c r="C49" s="23" t="inlineStr">
        <is>
          <t>World's leading internet search engine</t>
        </is>
      </c>
      <c r="E49" s="23">
        <f>_xll.BDP("BJ457937@BGN Corp","YAS_BOND_YLD", "YAS_YLD_FLAG=15", "SETTLE_DT",A1)</f>
        <v/>
      </c>
    </row>
    <row r="50">
      <c r="A50" s="92" t="inlineStr">
        <is>
          <t>CH1251030123</t>
        </is>
      </c>
      <c r="B50" s="92">
        <f>PROPER(_xll.BDP($A50&amp;" Corp","NAME"))</f>
        <v/>
      </c>
      <c r="C50" s="92" t="inlineStr">
        <is>
          <t>Generates, transmits and distributes electricity throughout Europe</t>
        </is>
      </c>
    </row>
    <row r="51">
      <c r="A51" s="92" t="inlineStr">
        <is>
          <t>US023135CM69</t>
        </is>
      </c>
      <c r="B51" s="92">
        <f>PROPER(_xll.BDP($A51&amp;" Corp","NAME"))</f>
        <v/>
      </c>
      <c r="C51" s="92" t="inlineStr">
        <is>
          <t>Online retailer that offers a wide range of products</t>
        </is>
      </c>
    </row>
    <row r="52">
      <c r="A52" s="92" t="inlineStr">
        <is>
          <t>US023135CR56</t>
        </is>
      </c>
      <c r="B52" s="92">
        <f>PROPER(_xll.BDP($A52&amp;" Corp","NAME"))</f>
        <v/>
      </c>
      <c r="C52" s="92" t="inlineStr">
        <is>
          <t>Online retailer that offers a wide range of products</t>
        </is>
      </c>
    </row>
    <row r="53">
      <c r="A53" s="23" t="inlineStr">
        <is>
          <t xml:space="preserve"> US023135CN43</t>
        </is>
      </c>
      <c r="B53" s="92">
        <f>PROPER(_xll.BDP($A53&amp;" Corp","NAME"))</f>
        <v/>
      </c>
      <c r="C53" s="23" t="inlineStr">
        <is>
          <t>Online retailer that offers a wide range of products</t>
        </is>
      </c>
    </row>
    <row r="54">
      <c r="A54" s="23" t="inlineStr">
        <is>
          <t>US023135CP90</t>
        </is>
      </c>
      <c r="B54" s="92">
        <f>PROPER(_xll.BDP($A54&amp;" Corp","NAME"))</f>
        <v/>
      </c>
      <c r="C54" s="23" t="inlineStr">
        <is>
          <t>Online retailer that offers a wide range of products</t>
        </is>
      </c>
    </row>
    <row r="55">
      <c r="A55" s="23" t="inlineStr">
        <is>
          <t>US023135CQ73</t>
        </is>
      </c>
      <c r="B55" s="92">
        <f>PROPER(_xll.BDP($A55&amp;" Corp","NAME"))</f>
        <v/>
      </c>
      <c r="C55" s="23" t="inlineStr">
        <is>
          <t>Online retailer that offers a wide range of products</t>
        </is>
      </c>
    </row>
    <row r="56">
      <c r="A56" s="23" t="inlineStr">
        <is>
          <t>XS0699618350</t>
        </is>
      </c>
      <c r="B56" s="92">
        <f>PROPER(_xll.BDP($A56&amp;" Corp","NAME"))</f>
        <v/>
      </c>
      <c r="C56" s="23" t="inlineStr">
        <is>
          <t>provides telecommunications services</t>
        </is>
      </c>
    </row>
    <row r="57">
      <c r="A57" s="23" t="inlineStr">
        <is>
          <t>USG0R209AA85</t>
        </is>
      </c>
      <c r="B57" s="92">
        <f>PROPER(_xll.BDP($A57&amp;" Corp","NAME"))</f>
        <v/>
      </c>
      <c r="C57" s="23" t="inlineStr">
        <is>
          <t>One of the largest global airlines</t>
        </is>
      </c>
    </row>
    <row r="58">
      <c r="A58" s="23" t="inlineStr">
        <is>
          <t>USG0R209AB68</t>
        </is>
      </c>
      <c r="B58" s="92">
        <f>PROPER(_xll.BDP($A58&amp;" Corp","NAME"))</f>
        <v/>
      </c>
      <c r="C58" s="23" t="inlineStr">
        <is>
          <t>One of the largest global airlines</t>
        </is>
      </c>
    </row>
    <row r="59">
      <c r="A59" s="23" t="inlineStr">
        <is>
          <t>US025816DB21</t>
        </is>
      </c>
      <c r="B59" s="92">
        <f>PROPER(_xll.BDP($A59&amp;" Corp","NAME"))</f>
        <v/>
      </c>
      <c r="C59" s="23" t="inlineStr">
        <is>
          <t>Global payments company</t>
        </is>
      </c>
    </row>
    <row r="60">
      <c r="A60" s="23" t="inlineStr">
        <is>
          <t>US026874DH71</t>
        </is>
      </c>
      <c r="B60" s="92">
        <f>PROPER(_xll.BDP($A60&amp;" Corp","NAME"))</f>
        <v/>
      </c>
      <c r="C60" s="23" t="inlineStr">
        <is>
          <t>American multinational insurance corporation</t>
        </is>
      </c>
    </row>
    <row r="61">
      <c r="A61" s="23" t="inlineStr">
        <is>
          <t>XS2355105292</t>
        </is>
      </c>
      <c r="B61" s="92">
        <f>PROPER(_xll.BDP($A61&amp;" Corp","NAME"))</f>
        <v/>
      </c>
      <c r="C61" s="23" t="inlineStr">
        <is>
          <t>Produces and markets beer and malt and non-alcoholic beverages</t>
        </is>
      </c>
    </row>
    <row r="62">
      <c r="A62" s="23" t="inlineStr">
        <is>
          <t>USG0446NAM68</t>
        </is>
      </c>
      <c r="B62" s="92">
        <f>PROPER(_xll.BDP($A62&amp;" Corp","NAME"))</f>
        <v/>
      </c>
      <c r="C62" s="23" t="inlineStr">
        <is>
          <t>Global leader in the mining and natural resources sectors</t>
        </is>
      </c>
    </row>
    <row r="63">
      <c r="A63" s="23" t="inlineStr">
        <is>
          <t>XS1686846061</t>
        </is>
      </c>
      <c r="B63" s="92">
        <f>PROPER(_xll.BDP($A63&amp;" Corp","NAME"))</f>
        <v/>
      </c>
      <c r="C63" s="23" t="inlineStr">
        <is>
          <t>Global leader in the mining and natural resources sectors</t>
        </is>
      </c>
    </row>
    <row r="64">
      <c r="A64" s="23" t="inlineStr">
        <is>
          <t>XS1962515372</t>
        </is>
      </c>
      <c r="B64" s="92">
        <f>PROPER(_xll.BDP($A64&amp;" Corp","NAME"))</f>
        <v/>
      </c>
      <c r="C64" s="23" t="inlineStr">
        <is>
          <t>Mining of diamonds, copper, platinum, coal, nickel, iron ore and others minerals</t>
        </is>
      </c>
    </row>
    <row r="65">
      <c r="A65" s="23" t="inlineStr">
        <is>
          <t>US03512TAF84</t>
        </is>
      </c>
      <c r="B65" s="92">
        <f>PROPER(_xll.BDP($A65&amp;" Corp","NAME"))</f>
        <v/>
      </c>
      <c r="C65" s="23" t="inlineStr">
        <is>
          <t>Provides gold mining and exploration services</t>
        </is>
      </c>
    </row>
    <row r="66">
      <c r="A66" s="23" t="inlineStr">
        <is>
          <t>BE6258029741</t>
        </is>
      </c>
      <c r="B66" s="92">
        <f>PROPER(_xll.BDP($A66&amp;" Corp","NAME"))</f>
        <v/>
      </c>
      <c r="C66" s="23" t="inlineStr">
        <is>
          <t>the world's largest brewing company</t>
        </is>
      </c>
    </row>
    <row r="67">
      <c r="A67" s="23" t="inlineStr">
        <is>
          <t>BE6295393936</t>
        </is>
      </c>
      <c r="B67" s="92">
        <f>PROPER(_xll.BDP($A67&amp;" Corp","NAME"))</f>
        <v/>
      </c>
      <c r="C67" s="23" t="inlineStr">
        <is>
          <t>the world's largest brewing company</t>
        </is>
      </c>
    </row>
    <row r="68">
      <c r="A68" s="23" t="inlineStr">
        <is>
          <t>BE6312821612</t>
        </is>
      </c>
      <c r="B68" s="92">
        <f>PROPER(_xll.BDP($A68&amp;" Corp","NAME"))</f>
        <v/>
      </c>
      <c r="C68" s="23" t="inlineStr">
        <is>
          <t>World's largest brewing company</t>
        </is>
      </c>
    </row>
    <row r="69">
      <c r="A69" s="92" t="inlineStr">
        <is>
          <t>XS1789699607</t>
        </is>
      </c>
      <c r="B69" s="92">
        <f>PROPER(_xll.BDP($A69&amp;" Corp","NAME"))</f>
        <v/>
      </c>
      <c r="C69" s="92" t="inlineStr">
        <is>
          <t>Danish operator of container vessels, tankers and supply ships</t>
        </is>
      </c>
    </row>
    <row r="70">
      <c r="A70" s="92" t="inlineStr">
        <is>
          <t>US037833EV87</t>
        </is>
      </c>
      <c r="B70" s="92">
        <f>PROPER(_xll.BDP($A70&amp;" Corp","NAME"))</f>
        <v/>
      </c>
      <c r="C70" s="92" t="inlineStr">
        <is>
          <t>Leading global designer and seller of premium electronic devices</t>
        </is>
      </c>
    </row>
    <row r="71">
      <c r="A71" s="23" t="inlineStr">
        <is>
          <t>US037833BG48</t>
        </is>
      </c>
      <c r="B71" s="92">
        <f>PROPER(_xll.BDP($A71&amp;" Corp","NAME"))</f>
        <v/>
      </c>
      <c r="C71" s="23" t="inlineStr">
        <is>
          <t>Leading global designer and seller of premium electronic devices</t>
        </is>
      </c>
    </row>
    <row r="72">
      <c r="A72" s="23" t="inlineStr">
        <is>
          <t>US037833ES58</t>
        </is>
      </c>
      <c r="B72" s="92">
        <f>PROPER(_xll.BDP($A72&amp;" Corp","NAME"))</f>
        <v/>
      </c>
      <c r="C72" s="23" t="inlineStr">
        <is>
          <t>Leading global designer and seller of premium electronic devices</t>
        </is>
      </c>
    </row>
    <row r="73">
      <c r="A73" s="23" t="inlineStr">
        <is>
          <t>US037833ET32</t>
        </is>
      </c>
      <c r="B73" s="92">
        <f>PROPER(_xll.BDP($A73&amp;" Corp","NAME"))</f>
        <v/>
      </c>
      <c r="C73" s="23" t="inlineStr">
        <is>
          <t>Leading global designer and seller of premium electronic devices</t>
        </is>
      </c>
    </row>
    <row r="74">
      <c r="A74" s="23" t="inlineStr">
        <is>
          <t>US037833EU05</t>
        </is>
      </c>
      <c r="B74" s="92">
        <f>PROPER(_xll.BDP($A74&amp;" Corp","NAME"))</f>
        <v/>
      </c>
      <c r="C74" s="23" t="inlineStr">
        <is>
          <t>Leading global designer and seller of premium electronic devices</t>
        </is>
      </c>
    </row>
    <row r="75">
      <c r="A75" s="23" t="inlineStr">
        <is>
          <t>US037833EW60</t>
        </is>
      </c>
      <c r="B75" s="92">
        <f>PROPER(_xll.BDP($A75&amp;" Corp","NAME"))</f>
        <v/>
      </c>
      <c r="C75" s="23" t="inlineStr">
        <is>
          <t>Leading global designer and seller of premium electronic devices</t>
        </is>
      </c>
    </row>
    <row r="76">
      <c r="A76" s="23" t="inlineStr">
        <is>
          <t>XS1269175466</t>
        </is>
      </c>
      <c r="B76" s="92">
        <f>PROPER(_xll.BDP($A76&amp;" Corp","NAME"))</f>
        <v/>
      </c>
      <c r="C76" s="23" t="inlineStr">
        <is>
          <t xml:space="preserve">Leading global designer and seller of premium electronic devices </t>
        </is>
      </c>
    </row>
    <row r="77">
      <c r="A77" s="23" t="inlineStr">
        <is>
          <t>XS1269176191</t>
        </is>
      </c>
      <c r="B77" s="92">
        <f>PROPER(_xll.BDP($A77&amp;" Corp","NAME"))</f>
        <v/>
      </c>
      <c r="C77" s="23" t="inlineStr">
        <is>
          <t xml:space="preserve">Leading global designer and seller of premium electronic devices </t>
        </is>
      </c>
    </row>
    <row r="78">
      <c r="A78" s="23" t="inlineStr">
        <is>
          <t>XS1619312173</t>
        </is>
      </c>
      <c r="B78" s="92">
        <f>PROPER(_xll.BDP($A78&amp;" Corp","NAME"))</f>
        <v/>
      </c>
      <c r="C78" s="23" t="inlineStr">
        <is>
          <t>Leading global designer and seller of premium electronic devices</t>
        </is>
      </c>
    </row>
    <row r="79">
      <c r="A79" s="23" t="inlineStr">
        <is>
          <t>XS2346972263</t>
        </is>
      </c>
      <c r="B79" s="92">
        <f>PROPER(_xll.BDP($A79&amp;" Corp","NAME"))</f>
        <v/>
      </c>
      <c r="C79" s="23" t="inlineStr">
        <is>
          <t>Turkish household appliances manufacturer</t>
        </is>
      </c>
    </row>
    <row r="80">
      <c r="A80" s="92" t="inlineStr">
        <is>
          <t>XS2082324018</t>
        </is>
      </c>
      <c r="B80" s="92">
        <f>PROPER(_xll.BDP($A80&amp;" Corp","NAME"))</f>
        <v/>
      </c>
      <c r="C80" s="92" t="inlineStr">
        <is>
          <t>World's largest producer of steel</t>
        </is>
      </c>
    </row>
    <row r="81">
      <c r="A81" s="23" t="inlineStr">
        <is>
          <t>USU04354AC78</t>
        </is>
      </c>
      <c r="B81" s="92">
        <f>PROPER(_xll.BDP($A81&amp;" Corp","NAME"))</f>
        <v/>
      </c>
      <c r="C81" s="23" t="inlineStr">
        <is>
          <t>A natural gas company</t>
        </is>
      </c>
    </row>
    <row r="82">
      <c r="A82" s="23" t="inlineStr">
        <is>
          <t>USU04354AF00</t>
        </is>
      </c>
      <c r="B82" s="92">
        <f>PROPER(_xll.BDP($A82&amp;" Corp","NAME"))</f>
        <v/>
      </c>
      <c r="C82" s="23" t="inlineStr">
        <is>
          <t>A natural gas company</t>
        </is>
      </c>
    </row>
    <row r="83">
      <c r="A83" s="23" t="inlineStr">
        <is>
          <t>XS2521786272</t>
        </is>
      </c>
      <c r="B83" s="92">
        <f>PROPER(_xll.BDP($A83&amp;" Corp","NAME"))</f>
        <v/>
      </c>
      <c r="C83" s="23" t="inlineStr">
        <is>
          <t>Regional multilateral development finance institution</t>
        </is>
      </c>
    </row>
    <row r="84">
      <c r="A84" s="23" t="inlineStr">
        <is>
          <t>US04522KAJ51</t>
        </is>
      </c>
      <c r="B84" s="92">
        <f>PROPER(_xll.BDP($A84&amp;" Corp","NAME"))</f>
        <v/>
      </c>
      <c r="C84" s="23" t="inlineStr">
        <is>
          <t>Regional multilateral development finance institution</t>
        </is>
      </c>
    </row>
    <row r="85">
      <c r="A85" s="23" t="inlineStr">
        <is>
          <t>XS2586011491</t>
        </is>
      </c>
      <c r="B85" s="92">
        <f>PROPER(_xll.BDP($A85&amp;" Corp","NAME"))</f>
        <v/>
      </c>
      <c r="C85" s="23" t="inlineStr">
        <is>
          <t>Asian multilateral development finance institution</t>
        </is>
      </c>
    </row>
    <row r="86">
      <c r="A86" s="23" t="inlineStr">
        <is>
          <t>XS2574249871</t>
        </is>
      </c>
      <c r="B86" s="92">
        <f>PROPER(_xll.BDP($A86&amp;" Corp","NAME"))</f>
        <v/>
      </c>
      <c r="C86" s="23" t="inlineStr">
        <is>
          <t xml:space="preserve">A multilateral development bank offering sovereign and non-sovereign financing </t>
        </is>
      </c>
    </row>
    <row r="87">
      <c r="A87" s="92" t="inlineStr">
        <is>
          <t>XS2631416950</t>
        </is>
      </c>
      <c r="B87" s="92">
        <f>PROPER(_xll.BDP($A87&amp;" Corp","NAME"))</f>
        <v/>
      </c>
      <c r="C87" s="92" t="inlineStr">
        <is>
          <t>is a global innovation leader in the chip industry that provides chipmakers.</t>
        </is>
      </c>
    </row>
    <row r="88">
      <c r="A88" s="92" t="inlineStr">
        <is>
          <t>XS2056491587</t>
        </is>
      </c>
      <c r="B88" s="92">
        <f>PROPER(_xll.BDP($A88&amp;" Corp","NAME"))</f>
        <v/>
      </c>
      <c r="C88" s="92" t="inlineStr">
        <is>
          <t>Largest insurer group in Italy</t>
        </is>
      </c>
    </row>
    <row r="89">
      <c r="A89" s="23" t="inlineStr">
        <is>
          <t>US04636NAB91</t>
        </is>
      </c>
      <c r="B89" s="92">
        <f>PROPER(_xll.BDP($A89&amp;" Corp","NAME"))</f>
        <v/>
      </c>
      <c r="C89" s="23" t="inlineStr">
        <is>
          <t>Anglo-Swedish multinational pharmaceutical company</t>
        </is>
      </c>
    </row>
    <row r="90">
      <c r="A90" s="92" t="inlineStr">
        <is>
          <t>US046353AT52</t>
        </is>
      </c>
      <c r="B90" s="92">
        <f>PROPER(_xll.BDP($A90&amp;" Corp","NAME"))</f>
        <v/>
      </c>
      <c r="C90" s="92" t="inlineStr">
        <is>
          <t>Anglo-Swedish multinational pharmaceutical company</t>
        </is>
      </c>
    </row>
    <row r="91">
      <c r="A91" s="92" t="inlineStr">
        <is>
          <t>XS0330497149</t>
        </is>
      </c>
      <c r="B91" s="92">
        <f>PROPER(_xll.BDP($A91&amp;" Corp","NAME"))</f>
        <v/>
      </c>
      <c r="C91" s="92" t="inlineStr">
        <is>
          <t xml:space="preserve">Anglo-Swedish multinational pharmaceutical company </t>
        </is>
      </c>
    </row>
    <row r="92">
      <c r="A92" s="92" t="inlineStr">
        <is>
          <t>XS2593105393</t>
        </is>
      </c>
      <c r="B92" s="92">
        <f>PROPER(_xll.BDP($A92&amp;" Corp","NAME"))</f>
        <v/>
      </c>
      <c r="C92" s="92" t="inlineStr">
        <is>
          <t>Anglo-Swedish multinational pharmaceutical company</t>
        </is>
      </c>
    </row>
    <row r="93">
      <c r="A93" s="23" t="inlineStr">
        <is>
          <t>XS2347663507</t>
        </is>
      </c>
      <c r="B93" s="92">
        <f>PROPER(_xll.BDP($A93&amp;" Corp","NAME"))</f>
        <v/>
      </c>
      <c r="C93" s="23" t="inlineStr">
        <is>
          <t>Anglo-Swedish multinational pharmaceutical company</t>
        </is>
      </c>
    </row>
    <row r="94">
      <c r="A94" s="23" t="inlineStr">
        <is>
          <t>XS2593105476</t>
        </is>
      </c>
      <c r="B94" s="92">
        <f>PROPER(_xll.BDP($A94&amp;" Corp","NAME"))</f>
        <v/>
      </c>
      <c r="C94" s="23" t="inlineStr">
        <is>
          <t>Anglo-Swedish multinational pharmaceutical company</t>
        </is>
      </c>
    </row>
    <row r="95">
      <c r="A95" s="23" t="inlineStr">
        <is>
          <t>XS0291949120</t>
        </is>
      </c>
      <c r="B95" s="92">
        <f>PROPER(_xll.BDP($A95&amp;" Corp","NAME"))</f>
        <v/>
      </c>
      <c r="C95" s="23" t="inlineStr">
        <is>
          <t xml:space="preserve">One of the largest US telecom companies </t>
        </is>
      </c>
    </row>
    <row r="96">
      <c r="A96" s="23" t="inlineStr">
        <is>
          <t>USP0592VAA63</t>
        </is>
      </c>
      <c r="B96" s="92">
        <f>PROPER(_xll.BDP($A96&amp;" Corp","NAME"))</f>
        <v/>
      </c>
      <c r="C96" s="23" t="inlineStr">
        <is>
          <t>Operates as a health and wellness company</t>
        </is>
      </c>
    </row>
    <row r="97">
      <c r="A97" s="23" t="inlineStr">
        <is>
          <t>XS1496758092</t>
        </is>
      </c>
      <c r="B97" s="92">
        <f>PROPER(_xll.BDP($A97&amp;" Corp","NAME"))</f>
        <v/>
      </c>
      <c r="C97" s="23" t="inlineStr">
        <is>
          <t>Fourth-largest bank in Australia in terms of total deposits</t>
        </is>
      </c>
    </row>
    <row r="98">
      <c r="A98" s="23" t="inlineStr">
        <is>
          <t>XS1528093799</t>
        </is>
      </c>
      <c r="B98" s="92">
        <f>PROPER(_xll.BDP($A98&amp;" Corp","NAME"))</f>
        <v/>
      </c>
      <c r="C98" s="23" t="inlineStr">
        <is>
          <t>Italian infrastructure construction service company</t>
        </is>
      </c>
    </row>
    <row r="99">
      <c r="A99" s="23" t="inlineStr">
        <is>
          <t>USU05375AS64</t>
        </is>
      </c>
      <c r="B99" s="92">
        <f>PROPER(_xll.BDP($A99&amp;" Corp","NAME"))</f>
        <v/>
      </c>
      <c r="C99" s="23" t="inlineStr">
        <is>
          <t>American car rental company</t>
        </is>
      </c>
    </row>
    <row r="100">
      <c r="A100" s="92" t="inlineStr">
        <is>
          <t>XS2431029441</t>
        </is>
      </c>
      <c r="B100" s="92">
        <f>PROPER(_xll.BDP($A100&amp;" Corp","NAME"))</f>
        <v/>
      </c>
      <c r="C100" s="92" t="inlineStr">
        <is>
          <t>Global insurance group</t>
        </is>
      </c>
    </row>
    <row r="101">
      <c r="A101" s="23" t="inlineStr">
        <is>
          <t>XS2573807778</t>
        </is>
      </c>
      <c r="B101" s="92">
        <f>PROPER(_xll.BDP($A101&amp;" Corp","NAME"))</f>
        <v/>
      </c>
      <c r="C101" s="23" t="inlineStr">
        <is>
          <t>Global Insurance group</t>
        </is>
      </c>
    </row>
    <row r="102">
      <c r="A102" s="23" t="inlineStr">
        <is>
          <t>CH1232107180</t>
        </is>
      </c>
      <c r="B102" s="92">
        <f>PROPER(_xll.BDP($A102&amp;" Corp","NAME"))</f>
        <v/>
      </c>
      <c r="C102" s="23" t="inlineStr">
        <is>
          <t xml:space="preserve">Offers group and individual life, health, accident, liability property, and transportation insurance </t>
        </is>
      </c>
    </row>
    <row r="103">
      <c r="A103" s="23" t="inlineStr">
        <is>
          <t>CH0494734376</t>
        </is>
      </c>
      <c r="B103" s="92">
        <f>PROPER(_xll.BDP($A103&amp;" Corp","NAME"))</f>
        <v/>
      </c>
      <c r="C103" s="23" t="inlineStr">
        <is>
          <t xml:space="preserve">Attracts desposits and offers retail and commercial banking services </t>
        </is>
      </c>
    </row>
    <row r="104">
      <c r="A104" s="23" t="inlineStr">
        <is>
          <t>AT0000A34CN3</t>
        </is>
      </c>
      <c r="B104" s="92">
        <f>PROPER(_xll.BDP($A104&amp;" Corp","NAME"))</f>
        <v/>
      </c>
      <c r="C104" s="23" t="inlineStr">
        <is>
          <t>Largest bank in Romania</t>
        </is>
      </c>
    </row>
    <row r="105">
      <c r="A105" s="23" t="inlineStr">
        <is>
          <t>AT0000A34CN3</t>
        </is>
      </c>
      <c r="B105" s="92">
        <f>PROPER(_xll.BDP($A105&amp;" Corp","NAME"))</f>
        <v/>
      </c>
      <c r="C105" s="23" t="inlineStr">
        <is>
          <t>Largest bank in Romania</t>
        </is>
      </c>
    </row>
    <row r="106">
      <c r="A106" s="92" t="inlineStr">
        <is>
          <t>US05946KAQ40</t>
        </is>
      </c>
      <c r="B106" s="92">
        <f>PROPER(_xll.BDP($A106&amp;" Corp","NAME"))</f>
        <v/>
      </c>
      <c r="C106" s="92" t="inlineStr">
        <is>
          <t>International banking group</t>
        </is>
      </c>
    </row>
    <row r="107">
      <c r="A107" s="23" t="inlineStr">
        <is>
          <t>XS2072815066</t>
        </is>
      </c>
      <c r="B107" s="92">
        <f>PROPER(_xll.BDP($A107&amp;" Corp","NAME"))</f>
        <v/>
      </c>
      <c r="C107" s="23" t="inlineStr">
        <is>
          <t>Operates as one of the largest bank in Italy</t>
        </is>
      </c>
    </row>
    <row r="108">
      <c r="A108" s="23" t="inlineStr">
        <is>
          <t>US05971BAE92</t>
        </is>
      </c>
      <c r="B108" s="92">
        <f>PROPER(_xll.BDP($A108&amp;" Corp","NAME"))</f>
        <v/>
      </c>
      <c r="C108" s="23" t="inlineStr">
        <is>
          <t>Provides banking and investment services in Brazil</t>
        </is>
      </c>
    </row>
    <row r="109">
      <c r="A109" s="23" t="inlineStr">
        <is>
          <t>US05971BAG41</t>
        </is>
      </c>
      <c r="B109" s="92">
        <f>PROPER(_xll.BDP($A109&amp;" Corp","NAME"))</f>
        <v/>
      </c>
      <c r="C109" s="23" t="inlineStr">
        <is>
          <t>Provides banking and investment services in Brazil</t>
        </is>
      </c>
    </row>
    <row r="110">
      <c r="A110" s="23" t="inlineStr">
        <is>
          <t>US05971BAK52</t>
        </is>
      </c>
      <c r="B110" s="92">
        <f>PROPER(_xll.BDP($A110&amp;" Corp","NAME"))</f>
        <v/>
      </c>
      <c r="C110" s="23" t="inlineStr">
        <is>
          <t>Provides banking and investment services in Brazil</t>
        </is>
      </c>
    </row>
    <row r="111">
      <c r="A111" s="92" t="inlineStr">
        <is>
          <t>XS2528155893</t>
        </is>
      </c>
      <c r="B111" s="92">
        <f>PROPER(_xll.BDP($A111&amp;" Corp","NAME"))</f>
        <v/>
      </c>
      <c r="C111" s="92" t="inlineStr">
        <is>
          <t>One of the largest Spanish banks</t>
        </is>
      </c>
    </row>
    <row r="112">
      <c r="A112" s="23" t="inlineStr">
        <is>
          <t>USP3772WAH53</t>
        </is>
      </c>
      <c r="B112" s="92">
        <f>PROPER(_xll.BDP($A112&amp;" Corp","NAME"))</f>
        <v/>
      </c>
      <c r="C112" s="23" t="inlineStr">
        <is>
          <t>Largest Brazilian and Latin American bank by assets</t>
        </is>
      </c>
    </row>
    <row r="113">
      <c r="A113" s="23" t="inlineStr">
        <is>
          <t>USP2000TAA36</t>
        </is>
      </c>
      <c r="B113" s="92">
        <f>PROPER(_xll.BDP($A113&amp;" Corp","NAME"))</f>
        <v/>
      </c>
      <c r="C113" s="23" t="inlineStr">
        <is>
          <t>Largest Brazilian and Latin American bank by assets</t>
        </is>
      </c>
    </row>
    <row r="114">
      <c r="A114" s="23" t="inlineStr">
        <is>
          <t>USP3772WAK82</t>
        </is>
      </c>
      <c r="B114" s="92">
        <f>PROPER(_xll.BDP($A114&amp;" Corp","NAME"))</f>
        <v/>
      </c>
      <c r="C114" s="23" t="inlineStr">
        <is>
          <t>Largest Brazilian and Latin American bank by assets</t>
        </is>
      </c>
    </row>
    <row r="115">
      <c r="A115" s="23" t="inlineStr">
        <is>
          <t>USP2000TAE57</t>
        </is>
      </c>
      <c r="B115" s="92">
        <f>PROPER(_xll.BDP($A115&amp;" Corp","NAME"))</f>
        <v/>
      </c>
      <c r="C115" s="23" t="inlineStr">
        <is>
          <t>Largest Brazilian and Latin American bank by assets</t>
        </is>
      </c>
    </row>
    <row r="116">
      <c r="A116" s="23" t="inlineStr">
        <is>
          <t>USG07402DP58</t>
        </is>
      </c>
      <c r="B116" s="92">
        <f>PROPER(_xll.BDP($A116&amp;" Corp","NAME"))</f>
        <v/>
      </c>
      <c r="C116" s="23" t="inlineStr">
        <is>
          <t>Largest Brazilian and Latin American bank by assets</t>
        </is>
      </c>
    </row>
    <row r="117">
      <c r="A117" s="23" t="inlineStr">
        <is>
          <t>USP3772WAF97</t>
        </is>
      </c>
      <c r="B117" s="92">
        <f>PROPER(_xll.BDP($A117&amp;" Corp","NAME"))</f>
        <v/>
      </c>
      <c r="C117" s="23" t="inlineStr">
        <is>
          <t>Largest Brazilian and Latin American bank by assets</t>
        </is>
      </c>
    </row>
    <row r="118">
      <c r="A118" s="23" t="inlineStr">
        <is>
          <t>US05971WAD56</t>
        </is>
      </c>
      <c r="B118" s="92">
        <f>PROPER(_xll.BDP($A118&amp;" Corp","NAME"))</f>
        <v/>
      </c>
      <c r="C118" s="23" t="inlineStr">
        <is>
          <t>Largest bank in Chile</t>
        </is>
      </c>
    </row>
    <row r="119">
      <c r="A119" s="23" t="inlineStr">
        <is>
          <t>CH1142700363</t>
        </is>
      </c>
      <c r="B119" s="92">
        <f>PROPER(_xll.BDP($A119&amp;" Corp","NAME"))</f>
        <v/>
      </c>
      <c r="C119" s="23" t="inlineStr">
        <is>
          <t>Largest bank in Chile</t>
        </is>
      </c>
    </row>
    <row r="120">
      <c r="A120" s="92" t="inlineStr">
        <is>
          <t>US05964HAR66</t>
        </is>
      </c>
      <c r="B120" s="92">
        <f>PROPER(_xll.BDP($A120&amp;" Corp","NAME"))</f>
        <v/>
      </c>
      <c r="C120" s="92" t="inlineStr">
        <is>
          <t>Spain's largest banking group</t>
        </is>
      </c>
    </row>
    <row r="121">
      <c r="A121" s="92" t="inlineStr">
        <is>
          <t>XS2450068379</t>
        </is>
      </c>
      <c r="B121" s="92">
        <f>PROPER(_xll.BDP($A121&amp;" Corp","NAME"))</f>
        <v/>
      </c>
      <c r="C121" s="92" t="inlineStr">
        <is>
          <t>Spain's largest banking group</t>
        </is>
      </c>
    </row>
    <row r="122">
      <c r="A122" s="92" t="inlineStr">
        <is>
          <t>XS2247936342</t>
        </is>
      </c>
      <c r="B122" s="92">
        <f>PROPER(_xll.BDP($A122&amp;" Corp","NAME"))</f>
        <v/>
      </c>
      <c r="C122" s="92" t="inlineStr">
        <is>
          <t>Spain's largest banking group</t>
        </is>
      </c>
    </row>
    <row r="123">
      <c r="A123" s="92" t="inlineStr">
        <is>
          <t>CH1227937724</t>
        </is>
      </c>
      <c r="B123" s="92">
        <f>PROPER(_xll.BDP($A123&amp;" Corp","NAME"))</f>
        <v/>
      </c>
      <c r="C123" s="92" t="inlineStr">
        <is>
          <t>Spain's largest banking group</t>
        </is>
      </c>
    </row>
    <row r="124">
      <c r="A124" s="23" t="inlineStr">
        <is>
          <t>US05964HAN52</t>
        </is>
      </c>
      <c r="B124" s="92">
        <f>PROPER(_xll.BDP($A124&amp;" Corp","NAME"))</f>
        <v/>
      </c>
      <c r="C124" s="23" t="inlineStr">
        <is>
          <t>Spain's largest banking group</t>
        </is>
      </c>
    </row>
    <row r="125">
      <c r="A125" s="23" t="inlineStr">
        <is>
          <t>US05971KAL35</t>
        </is>
      </c>
      <c r="B125" s="92">
        <f>PROPER(_xll.BDP($A125&amp;" Corp","NAME"))</f>
        <v/>
      </c>
      <c r="C125" s="23" t="inlineStr">
        <is>
          <t>Spain's largest banking group</t>
        </is>
      </c>
    </row>
    <row r="126">
      <c r="A126" s="23" t="inlineStr">
        <is>
          <t>XS2393518597</t>
        </is>
      </c>
      <c r="B126" s="92">
        <f>PROPER(_xll.BDP($A126&amp;" Corp","NAME"))</f>
        <v/>
      </c>
      <c r="C126" s="23" t="inlineStr">
        <is>
          <t>Spain's largest banking group</t>
        </is>
      </c>
    </row>
    <row r="127">
      <c r="A127" s="23" t="inlineStr">
        <is>
          <t>XS2575952424</t>
        </is>
      </c>
      <c r="B127" s="92">
        <f>PROPER(_xll.BDP($A127&amp;" Corp","NAME"))</f>
        <v/>
      </c>
      <c r="C127" s="23" t="inlineStr">
        <is>
          <t>Spain's largest banking group</t>
        </is>
      </c>
    </row>
    <row r="128">
      <c r="A128" s="23" t="inlineStr">
        <is>
          <t>XS2575952697</t>
        </is>
      </c>
      <c r="B128" s="92">
        <f>PROPER(_xll.BDP($A128&amp;" Corp","NAME"))</f>
        <v/>
      </c>
      <c r="C128" s="23" t="inlineStr">
        <is>
          <t>Spain's largest banking group</t>
        </is>
      </c>
    </row>
    <row r="129">
      <c r="A129" s="23" t="inlineStr">
        <is>
          <t>US05968LAM46</t>
        </is>
      </c>
      <c r="B129" s="92">
        <f>PROPER(_xll.BDP($A129&amp;" Corp","NAME"))</f>
        <v/>
      </c>
      <c r="C129" s="23" t="inlineStr">
        <is>
          <t>Operates as an investment company</t>
        </is>
      </c>
    </row>
    <row r="130">
      <c r="A130" s="23" t="inlineStr">
        <is>
          <t>CH1290222293</t>
        </is>
      </c>
      <c r="B130" s="92">
        <f>PROPER(_xll.BDP($A130&amp;" Corp","NAME"))</f>
        <v/>
      </c>
      <c r="C130" s="23" t="inlineStr">
        <is>
          <t>Swiss private banking institution</t>
        </is>
      </c>
    </row>
    <row r="131">
      <c r="A131" s="23" t="inlineStr">
        <is>
          <t>XS2577785921</t>
        </is>
      </c>
      <c r="B131" s="92">
        <f>PROPER(_xll.BDP($A131&amp;" Corp","NAME"))</f>
        <v/>
      </c>
      <c r="C131" s="23" t="inlineStr">
        <is>
          <t>Indonesia's largest lender and commercial bank by assets</t>
        </is>
      </c>
    </row>
    <row r="132">
      <c r="A132" s="92" t="inlineStr">
        <is>
          <t>XS2038039074</t>
        </is>
      </c>
      <c r="B132" s="92">
        <f>PROPER(_xll.BDP($A132&amp;" Corp","NAME"))</f>
        <v/>
      </c>
      <c r="C132" s="92" t="inlineStr">
        <is>
          <t>One of the largest bank in US</t>
        </is>
      </c>
    </row>
    <row r="133">
      <c r="A133" s="23" t="inlineStr">
        <is>
          <t>US06051GLE79</t>
        </is>
      </c>
      <c r="B133" s="92">
        <f>PROPER(_xll.BDP($A133&amp;" Corp","NAME"))</f>
        <v/>
      </c>
      <c r="C133" s="23" t="inlineStr">
        <is>
          <t>One of the largest US banks</t>
        </is>
      </c>
    </row>
    <row r="134">
      <c r="A134" s="23" t="inlineStr">
        <is>
          <t>XS1458411276</t>
        </is>
      </c>
      <c r="B134" s="92">
        <f>PROPER(_xll.BDP($A134&amp;" Corp","NAME"))</f>
        <v/>
      </c>
      <c r="C134" s="23" t="inlineStr">
        <is>
          <t>One of the largest US banks</t>
        </is>
      </c>
    </row>
    <row r="135">
      <c r="A135" s="23" t="inlineStr">
        <is>
          <t>US06368LGV27</t>
        </is>
      </c>
      <c r="B135" s="92">
        <f>PROPER(_xll.BDP($A135&amp;" Corp","NAME"))</f>
        <v/>
      </c>
      <c r="C135" s="23" t="inlineStr">
        <is>
          <t>Canadian chartered bank which operates throughout the world</t>
        </is>
      </c>
    </row>
    <row r="136">
      <c r="A136" s="23" t="inlineStr">
        <is>
          <t>CH1243018814</t>
        </is>
      </c>
      <c r="B136" s="92">
        <f>PROPER(_xll.BDP($A136&amp;" Corp","NAME"))</f>
        <v/>
      </c>
      <c r="C136" s="23" t="inlineStr">
        <is>
          <t>Canadian chartered bank which operates throughout the world</t>
        </is>
      </c>
    </row>
    <row r="137">
      <c r="A137" s="23" t="inlineStr">
        <is>
          <t>CH1232107131</t>
        </is>
      </c>
      <c r="B137" s="92">
        <f>PROPER(_xll.BDP($A137&amp;" Corp","NAME"))</f>
        <v/>
      </c>
      <c r="C137" s="23" t="inlineStr">
        <is>
          <t>Swiss cantonal bank</t>
        </is>
      </c>
    </row>
    <row r="138">
      <c r="A138" s="92" t="inlineStr">
        <is>
          <t>FR001400F794</t>
        </is>
      </c>
      <c r="B138" s="92">
        <f>PROPER(_xll.BDP($A138&amp;" Corp","NAME"))</f>
        <v/>
      </c>
      <c r="C138" s="92" t="inlineStr">
        <is>
          <t>French cooperative bank</t>
        </is>
      </c>
    </row>
    <row r="139">
      <c r="A139" s="92" t="inlineStr">
        <is>
          <t>FR0013515749</t>
        </is>
      </c>
      <c r="B139" s="92">
        <f>PROPER(_xll.BDP($A139&amp;" Corp","NAME"))</f>
        <v/>
      </c>
      <c r="C139" s="92" t="inlineStr">
        <is>
          <t>French cooperative bank</t>
        </is>
      </c>
    </row>
    <row r="140">
      <c r="A140" s="23" t="inlineStr">
        <is>
          <t>FR0014007UQ3</t>
        </is>
      </c>
      <c r="B140" s="92">
        <f>PROPER(_xll.BDP($A140&amp;" Corp","NAME"))</f>
        <v/>
      </c>
      <c r="C140" s="23" t="inlineStr">
        <is>
          <t>French cooperative bank</t>
        </is>
      </c>
    </row>
    <row r="141">
      <c r="A141" s="23" t="inlineStr">
        <is>
          <t>FR001400FBN9</t>
        </is>
      </c>
      <c r="B141" s="92">
        <f>PROPER(_xll.BDP($A141&amp;" Corp","NAME"))</f>
        <v/>
      </c>
      <c r="C141" s="23" t="inlineStr">
        <is>
          <t>French cooperative bank</t>
        </is>
      </c>
    </row>
    <row r="142">
      <c r="A142" s="23" t="inlineStr">
        <is>
          <t>FR001400FBR0</t>
        </is>
      </c>
      <c r="B142" s="92">
        <f>PROPER(_xll.BDP($A142&amp;" Corp","NAME"))</f>
        <v/>
      </c>
      <c r="C142" s="23" t="inlineStr">
        <is>
          <t>French cooperative bank</t>
        </is>
      </c>
    </row>
    <row r="143">
      <c r="A143" s="23" t="inlineStr">
        <is>
          <t>CH1242969199</t>
        </is>
      </c>
      <c r="B143" s="92">
        <f>PROPER(_xll.BDP($A143&amp;" Corp","NAME"))</f>
        <v/>
      </c>
      <c r="C143" s="23" t="inlineStr">
        <is>
          <t>French cooperative bank</t>
        </is>
      </c>
    </row>
    <row r="144">
      <c r="A144" s="92" t="inlineStr">
        <is>
          <t>CH0483180920</t>
        </is>
      </c>
      <c r="B144" s="92">
        <f>PROPER(_xll.BDP($A144&amp;" Corp","NAME"))</f>
        <v/>
      </c>
      <c r="C144" s="92" t="inlineStr">
        <is>
          <t>Offers commercial and corporate banking services</t>
        </is>
      </c>
    </row>
    <row r="145">
      <c r="A145" s="92" t="inlineStr">
        <is>
          <t>FR001400F6V1</t>
        </is>
      </c>
      <c r="B145" s="92">
        <f>PROPER(_xll.BDP($A145&amp;" Corp","NAME"))</f>
        <v/>
      </c>
      <c r="C145" s="92" t="inlineStr">
        <is>
          <t>Provides commercial banking services in France</t>
        </is>
      </c>
    </row>
    <row r="146">
      <c r="A146" s="92" t="inlineStr">
        <is>
          <t>XS2662538425</t>
        </is>
      </c>
      <c r="B146" s="92">
        <f>PROPER(_xll.BDP($A146&amp;" Corp","NAME"))</f>
        <v/>
      </c>
      <c r="C146" s="92" t="inlineStr">
        <is>
          <t>One of the largest UK banks</t>
        </is>
      </c>
    </row>
    <row r="147">
      <c r="A147" s="23" t="inlineStr">
        <is>
          <t>US06738ECP88</t>
        </is>
      </c>
      <c r="B147" s="92">
        <f>PROPER(_xll.BDP($A147&amp;" Corp","NAME"))</f>
        <v/>
      </c>
      <c r="C147" s="23" t="inlineStr">
        <is>
          <t xml:space="preserve">One of the largest UK banks </t>
        </is>
      </c>
    </row>
    <row r="148">
      <c r="A148" s="23" t="inlineStr">
        <is>
          <t>XS1757394322</t>
        </is>
      </c>
      <c r="B148" s="92">
        <f>PROPER(_xll.BDP($A148&amp;" Corp","NAME"))</f>
        <v/>
      </c>
      <c r="C148" s="23" t="inlineStr">
        <is>
          <t>One of the largest UK banks</t>
        </is>
      </c>
    </row>
    <row r="149">
      <c r="A149" s="23" t="inlineStr">
        <is>
          <t>XS2430951660</t>
        </is>
      </c>
      <c r="B149" s="92">
        <f>PROPER(_xll.BDP($A149&amp;" Corp","NAME"))</f>
        <v/>
      </c>
      <c r="C149" s="23" t="inlineStr">
        <is>
          <t>One of the largest UK banks</t>
        </is>
      </c>
    </row>
    <row r="150">
      <c r="A150" s="92" t="inlineStr">
        <is>
          <t>US05526DBY04</t>
        </is>
      </c>
      <c r="B150" s="92">
        <f>PROPER(_xll.BDP($A150&amp;" Corp","NAME"))</f>
        <v/>
      </c>
      <c r="C150" s="92" t="inlineStr">
        <is>
          <t>Tobacco company</t>
        </is>
      </c>
    </row>
    <row r="151">
      <c r="A151" s="92" t="inlineStr">
        <is>
          <t>US05526DBZ78</t>
        </is>
      </c>
      <c r="B151" s="92">
        <f>PROPER(_xll.BDP($A151&amp;" Corp","NAME"))</f>
        <v/>
      </c>
      <c r="C151" s="92" t="inlineStr">
        <is>
          <t>Manufactures, markets and sells cigarettes and other tobacco products</t>
        </is>
      </c>
    </row>
    <row r="152">
      <c r="A152" s="23" t="inlineStr">
        <is>
          <t>US054989AA67</t>
        </is>
      </c>
      <c r="B152" s="92">
        <f>PROPER(_xll.BDP($A152&amp;" Corp","NAME"))</f>
        <v/>
      </c>
      <c r="C152" s="23" t="inlineStr">
        <is>
          <t>Tobacco company</t>
        </is>
      </c>
    </row>
    <row r="153">
      <c r="A153" s="23" t="inlineStr">
        <is>
          <t>US05526DBJ37</t>
        </is>
      </c>
      <c r="B153" s="92">
        <f>PROPER(_xll.BDP($A153&amp;" Corp","NAME"))</f>
        <v/>
      </c>
      <c r="C153" s="23" t="inlineStr">
        <is>
          <t>Tobacco company</t>
        </is>
      </c>
    </row>
    <row r="154">
      <c r="A154" s="23" t="inlineStr">
        <is>
          <t>US05526DBW48</t>
        </is>
      </c>
      <c r="B154" s="92">
        <f>PROPER(_xll.BDP($A154&amp;" Corp","NAME"))</f>
        <v/>
      </c>
      <c r="C154" s="23" t="inlineStr">
        <is>
          <t>Tobacco company</t>
        </is>
      </c>
    </row>
    <row r="155">
      <c r="A155" s="23" t="inlineStr">
        <is>
          <t>US05526DBV64</t>
        </is>
      </c>
      <c r="B155" s="92">
        <f>PROPER(_xll.BDP($A155&amp;" Corp","NAME"))</f>
        <v/>
      </c>
      <c r="C155" s="23" t="inlineStr">
        <is>
          <t>Tobacco company</t>
        </is>
      </c>
    </row>
    <row r="156">
      <c r="A156" s="23" t="inlineStr">
        <is>
          <t>XS1664647499</t>
        </is>
      </c>
      <c r="B156" s="92">
        <f>PROPER(_xll.BDP($A156&amp;" Corp","NAME"))</f>
        <v/>
      </c>
      <c r="C156" s="23" t="inlineStr">
        <is>
          <t>Tobacco company</t>
        </is>
      </c>
    </row>
    <row r="157">
      <c r="A157" s="92" t="inlineStr">
        <is>
          <t>XS1664644983</t>
        </is>
      </c>
      <c r="B157" s="92">
        <f>PROPER(_xll.BDP($A157&amp;" Corp","NAME"))</f>
        <v/>
      </c>
      <c r="C157" s="92" t="inlineStr">
        <is>
          <t>B.A.T. International Finance P.L.C. provides tobacco products.</t>
        </is>
      </c>
    </row>
    <row r="158">
      <c r="A158" s="23" t="inlineStr">
        <is>
          <t>US05530QAP54</t>
        </is>
      </c>
      <c r="B158" s="92">
        <f>PROPER(_xll.BDP($A158&amp;" Corp","NAME"))</f>
        <v/>
      </c>
      <c r="C158" s="23" t="inlineStr">
        <is>
          <t>Tobacco company</t>
        </is>
      </c>
    </row>
    <row r="159">
      <c r="A159" s="23" t="inlineStr">
        <is>
          <t>XS2589367528</t>
        </is>
      </c>
      <c r="B159" s="92">
        <f>PROPER(_xll.BDP($A159&amp;" Corp","NAME"))</f>
        <v/>
      </c>
      <c r="C159" s="23" t="inlineStr">
        <is>
          <t>Tobacco company</t>
        </is>
      </c>
    </row>
    <row r="160">
      <c r="A160" s="23" t="inlineStr">
        <is>
          <t>USU51407AE17</t>
        </is>
      </c>
      <c r="B160" s="92">
        <f>PROPER(_xll.BDP($A160&amp;" Corp","NAME"))</f>
        <v/>
      </c>
      <c r="C160" s="23" t="inlineStr">
        <is>
          <t>A specialty retailer that operates in US and Canada</t>
        </is>
      </c>
    </row>
    <row r="161">
      <c r="A161" s="23" t="inlineStr">
        <is>
          <t>XS1840618059</t>
        </is>
      </c>
      <c r="B161" s="92">
        <f>PROPER(_xll.BDP($A161&amp;" Corp","NAME"))</f>
        <v/>
      </c>
      <c r="C161" s="23" t="inlineStr">
        <is>
          <t>Multinational pharmaceutical and life sciences company</t>
        </is>
      </c>
    </row>
    <row r="162">
      <c r="A162" s="23" t="inlineStr">
        <is>
          <t>BE0000304130</t>
        </is>
      </c>
      <c r="B162" s="92">
        <f>PROPER(_xll.BDP($A162&amp;" Corp","NAME"))</f>
        <v/>
      </c>
      <c r="C162" s="23" t="inlineStr">
        <is>
          <t>Belgium government bond</t>
        </is>
      </c>
    </row>
    <row r="163">
      <c r="A163" s="23" t="inlineStr">
        <is>
          <t>US084670BS67</t>
        </is>
      </c>
      <c r="B163" s="92">
        <f>PROPER(_xll.BDP($A163&amp;" Corp","NAME"))</f>
        <v/>
      </c>
      <c r="C163" s="23" t="inlineStr">
        <is>
          <t>Holding company that owns subsidaries in a variety of business sectors</t>
        </is>
      </c>
    </row>
    <row r="164">
      <c r="A164" s="23" t="inlineStr">
        <is>
          <t>XS1200679071</t>
        </is>
      </c>
      <c r="B164" s="92">
        <f>PROPER(_xll.BDP($A164&amp;" Corp","NAME"))</f>
        <v/>
      </c>
      <c r="C164" s="23" t="inlineStr">
        <is>
          <t>Holding company that owns subsidaries in a variety of business sectors</t>
        </is>
      </c>
    </row>
    <row r="165">
      <c r="A165" s="23" t="inlineStr">
        <is>
          <t>US055451AY40</t>
        </is>
      </c>
      <c r="B165" s="92">
        <f>PROPER(_xll.BDP($A165&amp;" Corp","NAME"))</f>
        <v/>
      </c>
      <c r="C165" s="23" t="inlineStr">
        <is>
          <t>Largest mining company in the industry</t>
        </is>
      </c>
    </row>
    <row r="166">
      <c r="A166" s="23" t="inlineStr">
        <is>
          <t>US055451AZ15</t>
        </is>
      </c>
      <c r="B166" s="92">
        <f>PROPER(_xll.BDP($A166&amp;" Corp","NAME"))</f>
        <v/>
      </c>
      <c r="C166" s="23" t="inlineStr">
        <is>
          <t>Largest mining company in the industry</t>
        </is>
      </c>
    </row>
    <row r="167">
      <c r="A167" s="23" t="inlineStr">
        <is>
          <t>US055451BA54</t>
        </is>
      </c>
      <c r="B167" s="92">
        <f>PROPER(_xll.BDP($A167&amp;" Corp","NAME"))</f>
        <v/>
      </c>
      <c r="C167" s="23" t="inlineStr">
        <is>
          <t>Largest mining company in the industry</t>
        </is>
      </c>
    </row>
    <row r="168">
      <c r="A168" s="23" t="inlineStr">
        <is>
          <t>XS2595379590</t>
        </is>
      </c>
      <c r="B168" s="92">
        <f>PROPER(_xll.BDP($A168&amp;" Corp","NAME"))</f>
        <v/>
      </c>
      <c r="C168" s="23" t="inlineStr">
        <is>
          <t>Bank of England</t>
        </is>
      </c>
    </row>
    <row r="169">
      <c r="A169" s="23" t="inlineStr">
        <is>
          <t>XS1910245676</t>
        </is>
      </c>
      <c r="B169" s="92">
        <f>PROPER(_xll.BDP($A169&amp;" Corp","NAME"))</f>
        <v/>
      </c>
      <c r="C169" s="23" t="inlineStr">
        <is>
          <t>European car manufacturer focused entirely on the premium segment</t>
        </is>
      </c>
    </row>
    <row r="170">
      <c r="A170" s="23" t="inlineStr">
        <is>
          <t>DE000A1ZZ028</t>
        </is>
      </c>
      <c r="B170" s="92">
        <f>PROPER(_xll.BDP($A170&amp;" Corp","NAME"))</f>
        <v/>
      </c>
      <c r="C170" s="23" t="inlineStr">
        <is>
          <t>European car manufacturer focused entirely on the premium segment</t>
        </is>
      </c>
    </row>
    <row r="171">
      <c r="A171" s="92" t="inlineStr">
        <is>
          <t>FR001400I7U8</t>
        </is>
      </c>
      <c r="B171" s="92">
        <f>PROPER(_xll.BDP($A171&amp;" Corp","NAME"))</f>
        <v/>
      </c>
      <c r="C171" s="92" t="inlineStr">
        <is>
          <t>France's largest bank with a world leading position</t>
        </is>
      </c>
    </row>
    <row r="172">
      <c r="A172" s="23" t="inlineStr">
        <is>
          <t>US09659X2R20</t>
        </is>
      </c>
      <c r="B172" s="92">
        <f>PROPER(_xll.BDP($A172&amp;" Corp","NAME"))</f>
        <v/>
      </c>
      <c r="C172" s="23" t="inlineStr">
        <is>
          <t>France's largest bank with a world leading position</t>
        </is>
      </c>
    </row>
    <row r="173">
      <c r="A173" s="23" t="inlineStr">
        <is>
          <t>XS1939253917</t>
        </is>
      </c>
      <c r="B173" s="92">
        <f>PROPER(_xll.BDP($A173&amp;" Corp","NAME"))</f>
        <v/>
      </c>
      <c r="C173" s="23" t="inlineStr">
        <is>
          <t>France's largest bank with a world leading position</t>
        </is>
      </c>
    </row>
    <row r="174">
      <c r="A174" s="23" t="inlineStr">
        <is>
          <t>FR0014008NE2</t>
        </is>
      </c>
      <c r="B174" s="92">
        <f>PROPER(_xll.BDP($A174&amp;" Corp","NAME"))</f>
        <v/>
      </c>
      <c r="C174" s="23" t="inlineStr">
        <is>
          <t>France's largest bank with a world leading position</t>
        </is>
      </c>
    </row>
    <row r="175">
      <c r="A175" s="23" t="inlineStr">
        <is>
          <t>FR001400F0V4</t>
        </is>
      </c>
      <c r="B175" s="92">
        <f>PROPER(_xll.BDP($A175&amp;" Corp","NAME"))</f>
        <v/>
      </c>
      <c r="C175" s="23" t="inlineStr">
        <is>
          <t>France's largest bank with a world leading position</t>
        </is>
      </c>
    </row>
    <row r="176">
      <c r="A176" s="23" t="inlineStr">
        <is>
          <t>XS1614416193</t>
        </is>
      </c>
      <c r="B176" s="92">
        <f>PROPER(_xll.BDP($A176&amp;" Corp","NAME"))</f>
        <v/>
      </c>
      <c r="C176" s="23" t="inlineStr">
        <is>
          <t>France's largest bank with a world leading position</t>
        </is>
      </c>
    </row>
    <row r="177">
      <c r="A177" s="23" t="inlineStr">
        <is>
          <t>FR001400DCZ6</t>
        </is>
      </c>
      <c r="B177" s="92">
        <f>PROPER(_xll.BDP($A177&amp;" Corp","NAME"))</f>
        <v/>
      </c>
      <c r="C177" s="23" t="inlineStr">
        <is>
          <t>France's largest bank with a world leading position</t>
        </is>
      </c>
    </row>
    <row r="178">
      <c r="A178" s="23" t="inlineStr">
        <is>
          <t>CH1142512347</t>
        </is>
      </c>
      <c r="B178" s="92">
        <f>PROPER(_xll.BDP($A178&amp;" Corp","NAME"))</f>
        <v/>
      </c>
      <c r="C178" s="23" t="inlineStr">
        <is>
          <t>France's largest bank with a world leading position</t>
        </is>
      </c>
    </row>
    <row r="179">
      <c r="A179" s="23" t="inlineStr">
        <is>
          <t>CH1227937716</t>
        </is>
      </c>
      <c r="B179" s="92">
        <f>PROPER(_xll.BDP($A179&amp;" Corp","NAME"))</f>
        <v/>
      </c>
      <c r="C179" s="23" t="inlineStr">
        <is>
          <t>France's largest bank with a world leading position</t>
        </is>
      </c>
    </row>
    <row r="180">
      <c r="A180" s="23" t="inlineStr">
        <is>
          <t>USC10602BK23</t>
        </is>
      </c>
      <c r="B180" s="92">
        <f>PROPER(_xll.BDP($A180&amp;" Corp","NAME"))</f>
        <v/>
      </c>
      <c r="C180" s="23" t="inlineStr">
        <is>
          <t>A manufacturer of both planes and trains</t>
        </is>
      </c>
    </row>
    <row r="181">
      <c r="A181" s="23" t="inlineStr">
        <is>
          <t>ES00000126Z1</t>
        </is>
      </c>
      <c r="B181" s="92">
        <f>PROPER(_xll.BDP($A181&amp;" Corp","NAME"))</f>
        <v/>
      </c>
      <c r="C181" s="23" t="inlineStr">
        <is>
          <t>Spanish Government</t>
        </is>
      </c>
    </row>
    <row r="182">
      <c r="A182" s="92" t="inlineStr">
        <is>
          <t>XS2555218291</t>
        </is>
      </c>
      <c r="B182" s="92">
        <f>PROPER(_xll.BDP($A182&amp;" Corp","NAME"))</f>
        <v/>
      </c>
      <c r="C182" s="92" t="inlineStr">
        <is>
          <t>Online travel company</t>
        </is>
      </c>
    </row>
    <row r="183">
      <c r="A183" s="92" t="inlineStr">
        <is>
          <t>XS2555221246</t>
        </is>
      </c>
      <c r="B183" s="92">
        <f>PROPER(_xll.BDP($A183&amp;" Corp","NAME"))</f>
        <v/>
      </c>
      <c r="C183" s="92" t="inlineStr">
        <is>
          <t>Online travel company</t>
        </is>
      </c>
    </row>
    <row r="184">
      <c r="A184" s="23" t="inlineStr">
        <is>
          <t>US741503AZ91</t>
        </is>
      </c>
      <c r="B184" s="92">
        <f>PROPER(_xll.BDP($A184&amp;" Corp","NAME"))</f>
        <v/>
      </c>
      <c r="C184" s="23" t="inlineStr">
        <is>
          <t xml:space="preserve">Online travel company </t>
        </is>
      </c>
    </row>
    <row r="185">
      <c r="A185" s="23" t="inlineStr">
        <is>
          <t>FR0014006CS9</t>
        </is>
      </c>
      <c r="B185" s="92">
        <f>PROPER(_xll.BDP($A185&amp;" Corp","NAME"))</f>
        <v/>
      </c>
      <c r="C185" s="23" t="inlineStr">
        <is>
          <t>Offers construction services, communications services, television programming</t>
        </is>
      </c>
    </row>
    <row r="186">
      <c r="A186" s="23" t="inlineStr">
        <is>
          <t>US103304BU40</t>
        </is>
      </c>
      <c r="B186" s="92">
        <f>PROPER(_xll.BDP($A186&amp;" Corp","NAME"))</f>
        <v/>
      </c>
      <c r="C186" s="23" t="inlineStr">
        <is>
          <t>A casino entertainment</t>
        </is>
      </c>
    </row>
    <row r="187">
      <c r="A187" s="23" t="inlineStr">
        <is>
          <t>USU1022EAF52</t>
        </is>
      </c>
      <c r="B187" s="92">
        <f>PROPER(_xll.BDP($A187&amp;" Corp","NAME"))</f>
        <v/>
      </c>
      <c r="C187" s="23" t="inlineStr">
        <is>
          <t>A casino entertainment</t>
        </is>
      </c>
    </row>
    <row r="188">
      <c r="A188" s="23" t="inlineStr">
        <is>
          <t>US10373QBT67</t>
        </is>
      </c>
      <c r="B188" s="92">
        <f>PROPER(_xll.BDP($A188&amp;" Corp","NAME"))</f>
        <v/>
      </c>
      <c r="C188" s="23" t="inlineStr">
        <is>
          <t>Leading oil and gas company</t>
        </is>
      </c>
    </row>
    <row r="189">
      <c r="A189" s="23" t="inlineStr">
        <is>
          <t>US10373QBU31</t>
        </is>
      </c>
      <c r="B189" s="92">
        <f>PROPER(_xll.BDP($A189&amp;" Corp","NAME"))</f>
        <v/>
      </c>
      <c r="C189" s="23" t="inlineStr">
        <is>
          <t>Leading oil and gas company</t>
        </is>
      </c>
    </row>
    <row r="190">
      <c r="A190" s="23" t="inlineStr">
        <is>
          <t>XS1851278421</t>
        </is>
      </c>
      <c r="B190" s="92">
        <f>PROPER(_xll.BDP($A190&amp;" Corp","NAME"))</f>
        <v/>
      </c>
      <c r="C190" s="23" t="inlineStr">
        <is>
          <t>Leading oil and gas company</t>
        </is>
      </c>
    </row>
    <row r="191">
      <c r="A191" s="23" t="inlineStr">
        <is>
          <t>XS1637863629</t>
        </is>
      </c>
      <c r="B191" s="92">
        <f>PROPER(_xll.BDP($A191&amp;" Corp","NAME"))</f>
        <v/>
      </c>
      <c r="C191" s="23" t="inlineStr">
        <is>
          <t>Leading oil and gas company</t>
        </is>
      </c>
    </row>
    <row r="192">
      <c r="A192" s="92" t="inlineStr">
        <is>
          <t>US05584KAN81</t>
        </is>
      </c>
      <c r="B192" s="92">
        <f>PROPER(_xll.BDP($A192&amp;" Corp","NAME"))</f>
        <v/>
      </c>
      <c r="C192" s="92" t="inlineStr">
        <is>
          <t>One of the largest French retail banks</t>
        </is>
      </c>
    </row>
    <row r="193">
      <c r="A193" s="23" t="inlineStr">
        <is>
          <t>US05584KAM09</t>
        </is>
      </c>
      <c r="B193" s="92">
        <f>PROPER(_xll.BDP($A193&amp;" Corp","NAME"))</f>
        <v/>
      </c>
      <c r="C193" s="23" t="inlineStr">
        <is>
          <t>One of the largest French retail banks</t>
        </is>
      </c>
    </row>
    <row r="194">
      <c r="A194" s="23" t="inlineStr">
        <is>
          <t>FR001400F075</t>
        </is>
      </c>
      <c r="B194" s="92">
        <f>PROPER(_xll.BDP($A194&amp;" Corp","NAME"))</f>
        <v/>
      </c>
      <c r="C194" s="23" t="inlineStr">
        <is>
          <t>One of the largest French retail banks</t>
        </is>
      </c>
    </row>
    <row r="195">
      <c r="A195" s="23" t="inlineStr">
        <is>
          <t>FR001400G6Y4</t>
        </is>
      </c>
      <c r="B195" s="92">
        <f>PROPER(_xll.BDP($A195&amp;" Corp","NAME"))</f>
        <v/>
      </c>
      <c r="C195" s="23" t="inlineStr">
        <is>
          <t>One of the largest French retail banks</t>
        </is>
      </c>
    </row>
    <row r="196">
      <c r="A196" s="23" t="inlineStr">
        <is>
          <t>FR001400F083</t>
        </is>
      </c>
      <c r="B196" s="92">
        <f>PROPER(_xll.BDP($A196&amp;" Corp","NAME"))</f>
        <v/>
      </c>
      <c r="C196" s="23" t="inlineStr">
        <is>
          <t>One of the largest French retail banks</t>
        </is>
      </c>
    </row>
    <row r="197">
      <c r="A197" s="23" t="inlineStr">
        <is>
          <t>FR001400FKA7</t>
        </is>
      </c>
      <c r="B197" s="92">
        <f>PROPER(_xll.BDP($A197&amp;" Corp","NAME"))</f>
        <v/>
      </c>
      <c r="C197" s="23" t="inlineStr">
        <is>
          <t>Operates as an administrative state agency</t>
        </is>
      </c>
    </row>
    <row r="198">
      <c r="A198" s="23" t="inlineStr">
        <is>
          <t>USU1065PAA94</t>
        </is>
      </c>
      <c r="B198" s="92">
        <f>PROPER(_xll.BDP($A198&amp;" Corp","NAME"))</f>
        <v/>
      </c>
      <c r="C198" s="23" t="inlineStr">
        <is>
          <t>Largest producer of thermoplastic resins in South America</t>
        </is>
      </c>
    </row>
    <row r="199">
      <c r="A199" s="23" t="inlineStr">
        <is>
          <t>USN15516AB83</t>
        </is>
      </c>
      <c r="B199" s="92">
        <f>PROPER(_xll.BDP($A199&amp;" Corp","NAME"))</f>
        <v/>
      </c>
      <c r="C199" s="23" t="inlineStr">
        <is>
          <t>Largest producer of thermoplastic resins in South America</t>
        </is>
      </c>
    </row>
    <row r="200">
      <c r="A200" s="23" t="inlineStr">
        <is>
          <t>USN15516AG70</t>
        </is>
      </c>
      <c r="B200" s="92">
        <f>PROPER(_xll.BDP($A200&amp;" Corp","NAME"))</f>
        <v/>
      </c>
      <c r="C200" s="23" t="inlineStr">
        <is>
          <t>Largest producer of thermoplastic resins in South America</t>
        </is>
      </c>
    </row>
    <row r="201">
      <c r="A201" s="23" t="inlineStr">
        <is>
          <t>USA08163AA41</t>
        </is>
      </c>
      <c r="B201" s="92">
        <f>PROPER(_xll.BDP($A201&amp;" Corp","NAME"))</f>
        <v/>
      </c>
      <c r="C201" s="23" t="inlineStr">
        <is>
          <t>Distributes food products</t>
        </is>
      </c>
    </row>
    <row r="202">
      <c r="A202" s="23" t="inlineStr">
        <is>
          <t>PTBSSLOM0002</t>
        </is>
      </c>
      <c r="B202" s="92">
        <f>PROPER(_xll.BDP($A202&amp;" Corp","NAME"))</f>
        <v/>
      </c>
      <c r="C202" s="23" t="inlineStr">
        <is>
          <t xml:space="preserve">Operates network of motorways in Portugal </t>
        </is>
      </c>
    </row>
    <row r="203">
      <c r="A203" s="23" t="inlineStr">
        <is>
          <t>US110709AD48</t>
        </is>
      </c>
      <c r="B203" s="92">
        <f>PROPER(_xll.BDP($A203&amp;" Corp","NAME"))</f>
        <v/>
      </c>
      <c r="C203" s="23" t="inlineStr">
        <is>
          <t>A province in Western Canada</t>
        </is>
      </c>
    </row>
    <row r="204">
      <c r="A204" s="23" t="inlineStr">
        <is>
          <t>XS2582814385</t>
        </is>
      </c>
      <c r="B204" s="92">
        <f>PROPER(_xll.BDP($A204&amp;" Corp","NAME"))</f>
        <v/>
      </c>
      <c r="C204" s="23" t="inlineStr">
        <is>
          <t>UK telecom company</t>
        </is>
      </c>
    </row>
    <row r="205">
      <c r="A205" s="23" t="inlineStr">
        <is>
          <t>XS2582814039</t>
        </is>
      </c>
      <c r="B205" s="92">
        <f>PROPER(_xll.BDP($A205&amp;" Corp","NAME"))</f>
        <v/>
      </c>
      <c r="C205" s="23" t="inlineStr">
        <is>
          <t>UK telecom company</t>
        </is>
      </c>
    </row>
    <row r="206">
      <c r="A206" s="23" t="inlineStr">
        <is>
          <t>XS2579483319</t>
        </is>
      </c>
      <c r="B206" s="92">
        <f>PROPER(_xll.BDP($A206&amp;" Corp","NAME"))</f>
        <v/>
      </c>
      <c r="C206" s="23" t="inlineStr">
        <is>
          <t>Bulgaria government bond</t>
        </is>
      </c>
    </row>
    <row r="207">
      <c r="A207" s="23" t="inlineStr">
        <is>
          <t>DE000BU2Z007</t>
        </is>
      </c>
      <c r="B207" s="92">
        <f>PROPER(_xll.BDP($A207&amp;" Corp","NAME"))</f>
        <v/>
      </c>
      <c r="C207" s="23" t="inlineStr">
        <is>
          <t>German government bond</t>
        </is>
      </c>
    </row>
    <row r="208">
      <c r="A208" s="23" t="inlineStr">
        <is>
          <t>IT0003535157</t>
        </is>
      </c>
      <c r="B208" s="92">
        <f>PROPER(_xll.BDP($A208&amp;" Corp","NAME"))</f>
        <v/>
      </c>
      <c r="C208" s="23" t="inlineStr">
        <is>
          <t>Italy government bond</t>
        </is>
      </c>
    </row>
    <row r="209">
      <c r="A209" s="23" t="inlineStr">
        <is>
          <t>FR0013460607</t>
        </is>
      </c>
      <c r="B209" s="92">
        <f>PROPER(_xll.BDP($A209&amp;" Corp","NAME"))</f>
        <v/>
      </c>
      <c r="C209" s="23" t="inlineStr">
        <is>
          <t xml:space="preserve">specialized in testing, inspection and certification </t>
        </is>
      </c>
    </row>
    <row r="210">
      <c r="A210" s="23" t="inlineStr">
        <is>
          <t>XS2403031912</t>
        </is>
      </c>
      <c r="B210" s="92">
        <f>PROPER(_xll.BDP($A210&amp;" Corp","NAME"))</f>
        <v/>
      </c>
      <c r="C210" s="23" t="inlineStr">
        <is>
          <t xml:space="preserve">Fast food restaurant in France </t>
        </is>
      </c>
    </row>
    <row r="211">
      <c r="A211" s="23" t="inlineStr">
        <is>
          <t>USU2829LAC91</t>
        </is>
      </c>
      <c r="B211" s="92">
        <f>PROPER(_xll.BDP($A211&amp;" Corp","NAME"))</f>
        <v/>
      </c>
      <c r="C211" s="23" t="inlineStr">
        <is>
          <t>Operates as a chain of resorts</t>
        </is>
      </c>
    </row>
    <row r="212">
      <c r="A212" s="23" t="inlineStr">
        <is>
          <t>XS2580310246</t>
        </is>
      </c>
      <c r="B212" s="92">
        <f>PROPER(_xll.BDP($A212&amp;" Corp","NAME"))</f>
        <v/>
      </c>
      <c r="C212" s="23" t="inlineStr">
        <is>
          <t>Operates as an administrative state agency</t>
        </is>
      </c>
    </row>
    <row r="213">
      <c r="A213" s="23" t="inlineStr">
        <is>
          <t>XS2436433333</t>
        </is>
      </c>
      <c r="B213" s="92">
        <f>PROPER(_xll.BDP($A213&amp;" Corp","NAME"))</f>
        <v/>
      </c>
      <c r="C213" s="23" t="inlineStr">
        <is>
          <t>Operates as an administrative state agency</t>
        </is>
      </c>
    </row>
    <row r="214">
      <c r="A214" s="23" t="inlineStr">
        <is>
          <t>FR001400G6E6</t>
        </is>
      </c>
      <c r="B214" s="92">
        <f>PROPER(_xll.BDP($A214&amp;" Corp","NAME"))</f>
        <v/>
      </c>
      <c r="C214" s="23" t="inlineStr">
        <is>
          <t>Operates as an administrative state agency</t>
        </is>
      </c>
    </row>
    <row r="215">
      <c r="A215" s="23" t="inlineStr">
        <is>
          <t>FR001400CVE3</t>
        </is>
      </c>
      <c r="B215" s="92">
        <f>PROPER(_xll.BDP($A215&amp;" Corp","NAME"))</f>
        <v/>
      </c>
      <c r="C215" s="23" t="inlineStr">
        <is>
          <t>Operates as an administrative state agency</t>
        </is>
      </c>
    </row>
    <row r="216">
      <c r="A216" s="92" t="inlineStr">
        <is>
          <t>FR0013447125</t>
        </is>
      </c>
      <c r="B216" s="92">
        <f>PROPER(_xll.BDP($A216&amp;" Corp","NAME"))</f>
        <v/>
      </c>
      <c r="C216" s="92" t="inlineStr">
        <is>
          <t>French Global Insurer</t>
        </is>
      </c>
    </row>
    <row r="217">
      <c r="A217" s="23" t="inlineStr">
        <is>
          <t>FR0014004EF7</t>
        </is>
      </c>
      <c r="B217" s="92">
        <f>PROPER(_xll.BDP($A217&amp;" Corp","NAME"))</f>
        <v/>
      </c>
      <c r="C217" s="23" t="inlineStr">
        <is>
          <t>French Global Insurer</t>
        </is>
      </c>
    </row>
    <row r="218">
      <c r="A218" s="92" t="inlineStr">
        <is>
          <t>XS2555187801</t>
        </is>
      </c>
      <c r="B218" s="92">
        <f>PROPER(_xll.BDP($A218&amp;" Corp","NAME"))</f>
        <v/>
      </c>
      <c r="C218" s="92" t="inlineStr">
        <is>
          <t>One of the largest Spanish banks</t>
        </is>
      </c>
    </row>
    <row r="219">
      <c r="A219" s="92" t="inlineStr">
        <is>
          <t>CH1325807886</t>
        </is>
      </c>
      <c r="B219" s="92">
        <f>PROPER(_xll.BDP($A219&amp;" Corp","NAME"))</f>
        <v/>
      </c>
      <c r="C219" s="92" t="inlineStr">
        <is>
          <t>One of the largest Spanish banks</t>
        </is>
      </c>
    </row>
    <row r="220">
      <c r="A220" s="23" t="inlineStr">
        <is>
          <t>US135087N757</t>
        </is>
      </c>
      <c r="B220" s="92">
        <f>PROPER(_xll.BDP($A220&amp;" Corp","NAME"))</f>
        <v/>
      </c>
      <c r="C220" s="23" t="inlineStr">
        <is>
          <t>Canada Government bond</t>
        </is>
      </c>
    </row>
    <row r="221">
      <c r="A221" s="23" t="inlineStr">
        <is>
          <t>US135087N757</t>
        </is>
      </c>
      <c r="B221" s="92">
        <f>PROPER(_xll.BDP($A221&amp;" Corp","NAME"))</f>
        <v/>
      </c>
      <c r="C221" s="23" t="inlineStr">
        <is>
          <t>Canada Government bond</t>
        </is>
      </c>
    </row>
    <row r="222">
      <c r="A222" s="23" t="inlineStr">
        <is>
          <t>US135087Q560</t>
        </is>
      </c>
      <c r="B222" s="92">
        <f>PROPER(_xll.BDP($A222&amp;" Corp","NAME"))</f>
        <v/>
      </c>
      <c r="C222" s="23" t="inlineStr">
        <is>
          <t>Canada Government bond</t>
        </is>
      </c>
    </row>
    <row r="223">
      <c r="A223" s="92" t="inlineStr">
        <is>
          <t>XS2133071774</t>
        </is>
      </c>
      <c r="B223" s="92">
        <f>PROPER(_xll.BDP($A223&amp;" Corp","NAME"))</f>
        <v/>
      </c>
      <c r="C223" s="92" t="inlineStr">
        <is>
          <t>Provides alcoholic beverages</t>
        </is>
      </c>
    </row>
    <row r="224">
      <c r="A224" s="23" t="inlineStr">
        <is>
          <t>XS2696046460</t>
        </is>
      </c>
      <c r="B224" s="92">
        <f>PROPER(_xll.BDP($A224&amp;" Corp","NAME"))</f>
        <v/>
      </c>
      <c r="C224" s="23" t="inlineStr">
        <is>
          <t>Provides alcoholic beverages</t>
        </is>
      </c>
    </row>
    <row r="225">
      <c r="A225" s="23" t="inlineStr">
        <is>
          <t>XS2696089197</t>
        </is>
      </c>
      <c r="B225" s="92">
        <f>PROPER(_xll.BDP($A225&amp;" Corp","NAME"))</f>
        <v/>
      </c>
      <c r="C225" s="23" t="inlineStr">
        <is>
          <t>Provides alcoholic beverages</t>
        </is>
      </c>
    </row>
    <row r="226">
      <c r="A226" s="92" t="inlineStr">
        <is>
          <t>FR0014009DZ6</t>
        </is>
      </c>
      <c r="B226" s="92">
        <f>PROPER(_xll.BDP($A226&amp;" Corp","NAME"))</f>
        <v/>
      </c>
      <c r="C226" s="92" t="inlineStr">
        <is>
          <t>French multinational retailer</t>
        </is>
      </c>
    </row>
    <row r="227">
      <c r="A227" s="23" t="inlineStr">
        <is>
          <t>FR0013419736</t>
        </is>
      </c>
      <c r="B227" s="92">
        <f>PROPER(_xll.BDP($A227&amp;" Corp","NAME"))</f>
        <v/>
      </c>
      <c r="C227" s="23" t="inlineStr">
        <is>
          <t>French multinational retailer</t>
        </is>
      </c>
    </row>
    <row r="228">
      <c r="A228" s="23" t="inlineStr">
        <is>
          <t>XS2616750563</t>
        </is>
      </c>
      <c r="B228" s="92">
        <f>PROPER(_xll.BDP($A228&amp;" Corp","NAME"))</f>
        <v/>
      </c>
      <c r="C228" s="23" t="inlineStr">
        <is>
          <t>Provides financial services</t>
        </is>
      </c>
    </row>
    <row r="229">
      <c r="A229" s="23" t="inlineStr">
        <is>
          <t>US14913R3B15</t>
        </is>
      </c>
      <c r="B229" s="92">
        <f>PROPER(_xll.BDP($A229&amp;" Corp","NAME"))</f>
        <v/>
      </c>
      <c r="C229" s="23" t="inlineStr">
        <is>
          <t xml:space="preserve">Leading manufacturer of construction and mining equipment </t>
        </is>
      </c>
    </row>
    <row r="230">
      <c r="A230" s="23" t="inlineStr">
        <is>
          <t>US14913R2G11</t>
        </is>
      </c>
      <c r="B230" s="92">
        <f>PROPER(_xll.BDP($A230&amp;" Corp","NAME"))</f>
        <v/>
      </c>
      <c r="C230" s="23" t="inlineStr">
        <is>
          <t xml:space="preserve">Leading manufacturer of construction and mining equipment </t>
        </is>
      </c>
    </row>
    <row r="231">
      <c r="A231" s="23" t="inlineStr">
        <is>
          <t>US14913UAJ97</t>
        </is>
      </c>
      <c r="B231" s="92">
        <f>PROPER(_xll.BDP($A231&amp;" Corp","NAME"))</f>
        <v/>
      </c>
      <c r="C231" s="23" t="inlineStr">
        <is>
          <t xml:space="preserve">Leading manufacturer of construction and mining equipment </t>
        </is>
      </c>
    </row>
    <row r="232">
      <c r="A232" s="23" t="inlineStr">
        <is>
          <t>XS2667627124</t>
        </is>
      </c>
      <c r="B232" s="92">
        <f>PROPER(_xll.BDP($A232&amp;" Corp","NAME"))</f>
        <v/>
      </c>
      <c r="C232" s="23" t="inlineStr">
        <is>
          <t>Leading manufacturer of construction and mining equipment</t>
        </is>
      </c>
    </row>
    <row r="233">
      <c r="A233" s="92" t="inlineStr">
        <is>
          <t>US149123CK50</t>
        </is>
      </c>
      <c r="B233" s="92">
        <f>PROPER(_xll.BDP($A233&amp;" Corp","NAME"))</f>
        <v/>
      </c>
      <c r="C233" s="92" t="inlineStr">
        <is>
          <t xml:space="preserve">Leading manufacturer of construction and mining equipment </t>
        </is>
      </c>
    </row>
    <row r="234">
      <c r="A234" s="23" t="inlineStr">
        <is>
          <t>US149123CH22</t>
        </is>
      </c>
      <c r="B234" s="92">
        <f>PROPER(_xll.BDP($A234&amp;" Corp","NAME"))</f>
        <v/>
      </c>
      <c r="C234" s="23" t="inlineStr">
        <is>
          <t xml:space="preserve">Leading manufacturer of construction and mining equipment </t>
        </is>
      </c>
    </row>
    <row r="235">
      <c r="A235" s="92" t="inlineStr">
        <is>
          <t>XS2497520887</t>
        </is>
      </c>
      <c r="B235" s="92">
        <f>PROPER(_xll.BDP($A235&amp;" Corp","NAME"))</f>
        <v/>
      </c>
      <c r="C235" s="92" t="inlineStr">
        <is>
          <t>Celanese US Holdings LLC operates as a chemical company.</t>
        </is>
      </c>
    </row>
    <row r="236">
      <c r="A236" s="23" t="inlineStr">
        <is>
          <t>XS2826616596</t>
        </is>
      </c>
      <c r="B236" s="92">
        <f>PROPER(_xll.BDP($A236&amp;" Corp","NAME"))</f>
        <v/>
      </c>
      <c r="C236" s="23" t="inlineStr">
        <is>
          <t>Europe's largest telecom tower operator</t>
        </is>
      </c>
    </row>
    <row r="237">
      <c r="A237" s="23" t="inlineStr">
        <is>
          <t xml:space="preserve"> XS2826616596</t>
        </is>
      </c>
      <c r="B237" s="92">
        <f>PROPER(_xll.BDP($A237&amp;" Corp","NAME"))</f>
        <v/>
      </c>
      <c r="C237" s="23" t="inlineStr">
        <is>
          <t>Europe's largest telecom tower operator</t>
        </is>
      </c>
    </row>
    <row r="238">
      <c r="A238" s="23" t="inlineStr">
        <is>
          <t>XS1964617879</t>
        </is>
      </c>
      <c r="B238" s="92">
        <f>PROPER(_xll.BDP($A238&amp;" Corp","NAME"))</f>
        <v/>
      </c>
      <c r="C238" s="23" t="inlineStr">
        <is>
          <t>Leading vertically  integrated  heavy  building materials  company</t>
        </is>
      </c>
    </row>
    <row r="239">
      <c r="A239" s="23" t="inlineStr">
        <is>
          <t>USP2253TJQ33</t>
        </is>
      </c>
      <c r="B239" s="92">
        <f>PROPER(_xll.BDP($A239&amp;" Corp","NAME"))</f>
        <v/>
      </c>
      <c r="C239" s="23" t="inlineStr">
        <is>
          <t>Global leading building material suppliers and cement producers</t>
        </is>
      </c>
    </row>
    <row r="240">
      <c r="A240" s="23" t="inlineStr">
        <is>
          <t>USP2205LAC92</t>
        </is>
      </c>
      <c r="B240" s="92">
        <f>PROPER(_xll.BDP($A240&amp;" Corp","NAME"))</f>
        <v/>
      </c>
      <c r="C240" s="23" t="inlineStr">
        <is>
          <t>Provides utility services</t>
        </is>
      </c>
    </row>
    <row r="241">
      <c r="A241" s="23" t="inlineStr">
        <is>
          <t>USP2205JAQ33</t>
        </is>
      </c>
      <c r="B241" s="92">
        <f>PROPER(_xll.BDP($A241&amp;" Corp","NAME"))</f>
        <v/>
      </c>
      <c r="C241" s="23" t="inlineStr">
        <is>
          <t xml:space="preserve">Food and non-food retailers </t>
        </is>
      </c>
    </row>
    <row r="242">
      <c r="A242" s="23" t="inlineStr">
        <is>
          <t>XS2084418339</t>
        </is>
      </c>
      <c r="B242" s="92">
        <f>PROPER(_xll.BDP($A242&amp;" Corp","NAME"))</f>
        <v/>
      </c>
      <c r="C242" s="23" t="inlineStr">
        <is>
          <t>Czech provider of integrated energy services owned by the government</t>
        </is>
      </c>
    </row>
    <row r="243">
      <c r="A243" s="23" t="inlineStr">
        <is>
          <t>US166764BL33</t>
        </is>
      </c>
      <c r="B243" s="92">
        <f>PROPER(_xll.BDP($A243&amp;" Corp","NAME"))</f>
        <v/>
      </c>
      <c r="C243" s="23" t="inlineStr">
        <is>
          <t>American multinational energy company</t>
        </is>
      </c>
    </row>
    <row r="244">
      <c r="A244" s="23" t="inlineStr">
        <is>
          <t>US166764BX70</t>
        </is>
      </c>
      <c r="B244" s="92">
        <f>PROPER(_xll.BDP($A244&amp;" Corp","NAME"))</f>
        <v/>
      </c>
      <c r="C244" s="23" t="inlineStr">
        <is>
          <t>American multinational energy company</t>
        </is>
      </c>
    </row>
    <row r="245">
      <c r="A245" s="23" t="inlineStr">
        <is>
          <t>USY15025AB84</t>
        </is>
      </c>
      <c r="B245" s="92">
        <f>PROPER(_xll.BDP($A245&amp;" Corp","NAME"))</f>
        <v/>
      </c>
      <c r="C245" s="23" t="inlineStr">
        <is>
          <t>China Government</t>
        </is>
      </c>
    </row>
    <row r="246">
      <c r="A246" s="23" t="inlineStr">
        <is>
          <t>USY15025AC67</t>
        </is>
      </c>
      <c r="B246" s="92">
        <f>PROPER(_xll.BDP($A246&amp;" Corp","NAME"))</f>
        <v/>
      </c>
      <c r="C246" s="23" t="inlineStr">
        <is>
          <t>China Government</t>
        </is>
      </c>
    </row>
    <row r="247">
      <c r="A247" s="23" t="inlineStr">
        <is>
          <t>XS2320779213</t>
        </is>
      </c>
      <c r="B247" s="92">
        <f>PROPER(_xll.BDP($A247&amp;" Corp","NAME"))</f>
        <v/>
      </c>
      <c r="C247" s="23" t="inlineStr">
        <is>
          <t>Supplies city water and sewage treatment.</t>
        </is>
      </c>
    </row>
    <row r="248">
      <c r="A248" s="92" t="inlineStr">
        <is>
          <t>XS2723549528</t>
        </is>
      </c>
      <c r="B248" s="92">
        <f>PROPER(_xll.BDP($A248&amp;" Corp","NAME"))</f>
        <v/>
      </c>
      <c r="C248" s="92" t="inlineStr">
        <is>
          <t>Manufactures glass products and construction materials</t>
        </is>
      </c>
    </row>
    <row r="249">
      <c r="A249" s="23" t="inlineStr">
        <is>
          <t>XS2576245281</t>
        </is>
      </c>
      <c r="B249" s="92">
        <f>PROPER(_xll.BDP($A249&amp;" Corp","NAME"))</f>
        <v/>
      </c>
      <c r="C249" s="23" t="inlineStr">
        <is>
          <t>Manufactures glass products and contruction materials</t>
        </is>
      </c>
    </row>
    <row r="250">
      <c r="A250" s="23" t="inlineStr">
        <is>
          <t>XS2723549361</t>
        </is>
      </c>
      <c r="B250" s="92">
        <f>PROPER(_xll.BDP($A250&amp;" Corp","NAME"))</f>
        <v/>
      </c>
      <c r="C250" s="23" t="inlineStr">
        <is>
          <t>Manufactures glass products and construction materials</t>
        </is>
      </c>
    </row>
    <row r="251">
      <c r="A251" s="92" t="inlineStr">
        <is>
          <t>US172967NX53</t>
        </is>
      </c>
      <c r="B251" s="92">
        <f>PROPER(_xll.BDP($A251&amp;" Corp","NAME"))</f>
        <v/>
      </c>
      <c r="C251" s="92" t="inlineStr">
        <is>
          <t>One of the largest US banks</t>
        </is>
      </c>
    </row>
    <row r="252">
      <c r="A252" s="23" t="inlineStr">
        <is>
          <t>XS1859010685</t>
        </is>
      </c>
      <c r="B252" s="92">
        <f>PROPER(_xll.BDP($A252&amp;" Corp","NAME"))</f>
        <v/>
      </c>
      <c r="C252" s="23" t="inlineStr">
        <is>
          <t>One of the largest US banks</t>
        </is>
      </c>
    </row>
    <row r="253">
      <c r="A253" s="23" t="inlineStr">
        <is>
          <t>CH1232107172</t>
        </is>
      </c>
      <c r="B253" s="92">
        <f>PROPER(_xll.BDP($A253&amp;" Corp","NAME"))</f>
        <v/>
      </c>
      <c r="C253" s="23" t="inlineStr">
        <is>
          <t>City of Lugano bond</t>
        </is>
      </c>
    </row>
    <row r="254">
      <c r="A254" s="23" t="inlineStr">
        <is>
          <t>CH1232107172</t>
        </is>
      </c>
      <c r="B254" s="92">
        <f>PROPER(_xll.BDP($A254&amp;" Corp","NAME"))</f>
        <v/>
      </c>
      <c r="C254" s="23" t="inlineStr">
        <is>
          <t>City of Lugano bond</t>
        </is>
      </c>
    </row>
    <row r="255">
      <c r="A255" s="23" t="inlineStr">
        <is>
          <t>XS2057072121</t>
        </is>
      </c>
      <c r="B255" s="92">
        <f>PROPER(_xll.BDP($A255&amp;" Corp","NAME"))</f>
        <v/>
      </c>
      <c r="C255" s="23" t="inlineStr">
        <is>
          <t xml:space="preserve">Investment group active in services, telecommunication and retail </t>
        </is>
      </c>
    </row>
    <row r="256">
      <c r="A256" s="23" t="inlineStr">
        <is>
          <t>USG2176WAB21</t>
        </is>
      </c>
      <c r="B256" s="92">
        <f>PROPER(_xll.BDP($A256&amp;" Corp","NAME"))</f>
        <v/>
      </c>
      <c r="C256" s="23" t="inlineStr">
        <is>
          <t xml:space="preserve">Retails prescription drugs and medicines </t>
        </is>
      </c>
    </row>
    <row r="257">
      <c r="A257" s="92" t="inlineStr">
        <is>
          <t>CH0469273541</t>
        </is>
      </c>
      <c r="B257" s="92">
        <f>PROPER(_xll.BDP($A257&amp;" Corp","NAME"))</f>
        <v/>
      </c>
      <c r="C257" s="92" t="inlineStr">
        <is>
          <t>Global specialty chemicals company</t>
        </is>
      </c>
    </row>
    <row r="258">
      <c r="A258" s="23" t="inlineStr">
        <is>
          <t>USU1851TAB71</t>
        </is>
      </c>
      <c r="B258" s="92">
        <f>PROPER(_xll.BDP($A258&amp;" Corp","NAME"))</f>
        <v/>
      </c>
      <c r="C258" s="23" t="inlineStr">
        <is>
          <t>Provides power generation services</t>
        </is>
      </c>
    </row>
    <row r="259">
      <c r="A259" s="92" t="inlineStr">
        <is>
          <t>FR0014007YA9</t>
        </is>
      </c>
      <c r="B259" s="92">
        <f>PROPER(_xll.BDP($A259&amp;" Corp","NAME"))</f>
        <v/>
      </c>
      <c r="C259" s="92" t="inlineStr">
        <is>
          <t>Leading personal insurer in France, across Europe and in Brazil</t>
        </is>
      </c>
    </row>
    <row r="260">
      <c r="A260" s="23" t="inlineStr">
        <is>
          <t>XS1577950402</t>
        </is>
      </c>
      <c r="B260" s="92">
        <f>PROPER(_xll.BDP($A260&amp;" Corp","NAME"))</f>
        <v/>
      </c>
      <c r="C260" s="23" t="inlineStr">
        <is>
          <t>Bottles and distributes soft drinks and beverages.</t>
        </is>
      </c>
    </row>
    <row r="261">
      <c r="A261" s="23" t="inlineStr">
        <is>
          <t>USP30179BQ04</t>
        </is>
      </c>
      <c r="B261" s="92">
        <f>PROPER(_xll.BDP($A261&amp;" Corp","NAME"))</f>
        <v/>
      </c>
      <c r="C261" s="23" t="inlineStr">
        <is>
          <t>Generates and distributes electricity.</t>
        </is>
      </c>
    </row>
    <row r="262">
      <c r="A262" s="23" t="inlineStr">
        <is>
          <t>US20826FAD87</t>
        </is>
      </c>
      <c r="B262" s="92">
        <f>PROPER(_xll.BDP($A262&amp;" Corp","NAME"))</f>
        <v/>
      </c>
      <c r="C262" s="23" t="inlineStr">
        <is>
          <t>Largest independent exploration and production company</t>
        </is>
      </c>
    </row>
    <row r="263">
      <c r="A263" s="23" t="inlineStr">
        <is>
          <t>CH1236363425</t>
        </is>
      </c>
      <c r="B263" s="92">
        <f>PROPER(_xll.BDP($A263&amp;" Corp","NAME"))</f>
        <v/>
      </c>
      <c r="C263" s="23" t="inlineStr">
        <is>
          <t>Largest bank in the Netherlands</t>
        </is>
      </c>
    </row>
    <row r="264">
      <c r="A264" s="23" t="inlineStr">
        <is>
          <t xml:space="preserve"> XS2803753065</t>
        </is>
      </c>
      <c r="B264" s="92">
        <f>PROPER(_xll.BDP($A264&amp;" Corp","NAME"))</f>
        <v/>
      </c>
      <c r="C264" s="23" t="inlineStr">
        <is>
          <t>A multilateral development bank of Latam, Spain and Portugal</t>
        </is>
      </c>
    </row>
    <row r="265">
      <c r="A265" s="23" t="inlineStr">
        <is>
          <t>USL20041AD89</t>
        </is>
      </c>
      <c r="B265" s="92">
        <f>PROPER(_xll.BDP($A265&amp;" Corp","NAME"))</f>
        <v/>
      </c>
      <c r="C265" s="23" t="inlineStr">
        <is>
          <t xml:space="preserve">Brazilian producer in  bioethanol, sugar and energy </t>
        </is>
      </c>
    </row>
    <row r="266">
      <c r="A266" s="23" t="inlineStr">
        <is>
          <t>XS0556373347</t>
        </is>
      </c>
      <c r="B266" s="92">
        <f>PROPER(_xll.BDP($A266&amp;" Corp","NAME"))</f>
        <v/>
      </c>
      <c r="C266" s="23" t="inlineStr">
        <is>
          <t xml:space="preserve">Brazilian producer in  bioethanol, sugar and energy </t>
        </is>
      </c>
    </row>
    <row r="267">
      <c r="A267" s="23" t="inlineStr">
        <is>
          <t>USP3699PGM34</t>
        </is>
      </c>
      <c r="B267" s="92">
        <f>PROPER(_xll.BDP($A267&amp;" Corp","NAME"))</f>
        <v/>
      </c>
      <c r="C267" s="23" t="inlineStr">
        <is>
          <t>Costa Rica Governemnt</t>
        </is>
      </c>
    </row>
    <row r="268">
      <c r="A268" s="23" t="inlineStr">
        <is>
          <t>US222213BB58</t>
        </is>
      </c>
      <c r="B268" s="92">
        <f>PROPER(_xll.BDP($A268&amp;" Corp","NAME"))</f>
        <v/>
      </c>
      <c r="C268" s="23" t="inlineStr">
        <is>
          <t>A development bank placed under the supreme authority of the Council of Europe</t>
        </is>
      </c>
    </row>
    <row r="269">
      <c r="A269" s="23" t="inlineStr">
        <is>
          <t>XS2574080789</t>
        </is>
      </c>
      <c r="B269" s="92">
        <f>PROPER(_xll.BDP($A269&amp;" Corp","NAME"))</f>
        <v/>
      </c>
      <c r="C269" s="23" t="inlineStr">
        <is>
          <t>A development bank placed under the supreme authority of the Council of Europe</t>
        </is>
      </c>
    </row>
    <row r="270">
      <c r="A270" s="92" t="inlineStr">
        <is>
          <t>FR0013523602</t>
        </is>
      </c>
      <c r="B270" s="92">
        <f>PROPER(_xll.BDP($A270&amp;" Corp","NAME"))</f>
        <v/>
      </c>
      <c r="C270" s="92" t="inlineStr">
        <is>
          <t>Credit Agricole's insurance arm</t>
        </is>
      </c>
    </row>
    <row r="271">
      <c r="A271" s="92" t="inlineStr">
        <is>
          <t>FR001400FAR2</t>
        </is>
      </c>
      <c r="B271" s="92">
        <f>PROPER(_xll.BDP($A271&amp;" Corp","NAME"))</f>
        <v/>
      </c>
      <c r="C271" s="92" t="inlineStr">
        <is>
          <t>French corporate and retail bank</t>
        </is>
      </c>
    </row>
    <row r="272">
      <c r="A272" s="92" t="inlineStr">
        <is>
          <t>FR001400N624</t>
        </is>
      </c>
      <c r="B272" s="92">
        <f>PROPER(_xll.BDP($A272&amp;" Corp","NAME"))</f>
        <v/>
      </c>
      <c r="C272" s="92" t="inlineStr">
        <is>
          <t>one of the France's largest retail bank</t>
        </is>
      </c>
    </row>
    <row r="273">
      <c r="A273" s="23" t="inlineStr">
        <is>
          <t>US22535EAC12</t>
        </is>
      </c>
      <c r="B273" s="92">
        <f>PROPER(_xll.BDP($A273&amp;" Corp","NAME"))</f>
        <v/>
      </c>
      <c r="C273" s="23" t="inlineStr">
        <is>
          <t>One of the largest retail bank in Europe</t>
        </is>
      </c>
    </row>
    <row r="274">
      <c r="A274" s="92" t="inlineStr">
        <is>
          <t>XS2480543102</t>
        </is>
      </c>
      <c r="B274" s="92">
        <f>PROPER(_xll.BDP($A274&amp;" Corp","NAME"))</f>
        <v/>
      </c>
      <c r="C274" s="92" t="inlineStr">
        <is>
          <t>Second largest Swiss bank</t>
        </is>
      </c>
    </row>
    <row r="275">
      <c r="A275" s="23" t="inlineStr">
        <is>
          <t>USG2583XAB76</t>
        </is>
      </c>
      <c r="B275" s="92">
        <f>PROPER(_xll.BDP($A275&amp;" Corp","NAME"))</f>
        <v/>
      </c>
      <c r="C275" s="23" t="inlineStr">
        <is>
          <t xml:space="preserve">Steel maker </t>
        </is>
      </c>
    </row>
    <row r="276">
      <c r="A276" s="23" t="inlineStr">
        <is>
          <t>USP3R26HAA81</t>
        </is>
      </c>
      <c r="B276" s="92">
        <f>PROPER(_xll.BDP($A276&amp;" Corp","NAME"))</f>
        <v/>
      </c>
      <c r="C276" s="23" t="inlineStr">
        <is>
          <t xml:space="preserve">Salt and chemical company </t>
        </is>
      </c>
    </row>
    <row r="277">
      <c r="A277" s="92" t="inlineStr">
        <is>
          <t>XS2382953789</t>
        </is>
      </c>
      <c r="B277" s="92">
        <f>PROPER(_xll.BDP($A277&amp;" Corp","NAME"))</f>
        <v/>
      </c>
      <c r="C277" s="92" t="inlineStr">
        <is>
          <t>Owns and operates natural gas distribution networks in Czech Republic</t>
        </is>
      </c>
    </row>
    <row r="278">
      <c r="A278" s="23" t="inlineStr">
        <is>
          <t xml:space="preserve"> XS2286303495</t>
        </is>
      </c>
      <c r="B278" s="92">
        <f>PROPER(_xll.BDP($A278&amp;" Corp","NAME"))</f>
        <v/>
      </c>
      <c r="C278" s="23" t="inlineStr">
        <is>
          <t>Dubai fully state-owned aircraft leasing</t>
        </is>
      </c>
    </row>
    <row r="279">
      <c r="A279" s="92" t="inlineStr">
        <is>
          <t>US23636BBF58</t>
        </is>
      </c>
      <c r="B279" s="92">
        <f>PROPER(_xll.BDP($A279&amp;" Corp","NAME"))</f>
        <v/>
      </c>
      <c r="C279" s="92" t="inlineStr">
        <is>
          <t>One of the largest bank in Danmark</t>
        </is>
      </c>
    </row>
    <row r="280">
      <c r="A280" s="92" t="inlineStr">
        <is>
          <t xml:space="preserve"> XS2586741543</t>
        </is>
      </c>
      <c r="B280" s="92">
        <f>PROPER(_xll.BDP($A280&amp;" Corp","NAME"))</f>
        <v/>
      </c>
      <c r="C280" s="92" t="inlineStr">
        <is>
          <t>One of the largest bank in Danmark</t>
        </is>
      </c>
    </row>
    <row r="281">
      <c r="A281" s="23" t="inlineStr">
        <is>
          <t>USY2R27RAB56</t>
        </is>
      </c>
      <c r="B281" s="92">
        <f>PROPER(_xll.BDP($A281&amp;" Corp","NAME"))</f>
        <v/>
      </c>
      <c r="C281" s="23" t="inlineStr">
        <is>
          <t>Buiest airport in India</t>
        </is>
      </c>
    </row>
    <row r="282">
      <c r="A282" s="23" t="inlineStr">
        <is>
          <t>USY2R40TAB40</t>
        </is>
      </c>
      <c r="B282" s="92">
        <f>PROPER(_xll.BDP($A282&amp;" Corp","NAME"))</f>
        <v/>
      </c>
      <c r="C282" s="23" t="inlineStr">
        <is>
          <t>Buiest airport in India</t>
        </is>
      </c>
    </row>
    <row r="283">
      <c r="A283" s="92" t="inlineStr">
        <is>
          <t>US24703TAD81</t>
        </is>
      </c>
      <c r="B283" s="92">
        <f>PROPER(_xll.BDP($A283&amp;" Corp","NAME"))</f>
        <v/>
      </c>
      <c r="C283" s="92" t="inlineStr">
        <is>
          <t>Global leading providers of personal computers, servers, and related devices</t>
        </is>
      </c>
    </row>
    <row r="284">
      <c r="A284" s="23" t="inlineStr">
        <is>
          <t>US24703TAC09</t>
        </is>
      </c>
      <c r="B284" s="92">
        <f>PROPER(_xll.BDP($A284&amp;" Corp","NAME"))</f>
        <v/>
      </c>
      <c r="C284" s="23" t="inlineStr">
        <is>
          <t>Global leading providers of personal computers, servers, and related devices</t>
        </is>
      </c>
    </row>
    <row r="285">
      <c r="A285" s="23" t="inlineStr">
        <is>
          <t>US24703DBJ90</t>
        </is>
      </c>
      <c r="B285" s="92">
        <f>PROPER(_xll.BDP($A285&amp;" Corp","NAME"))</f>
        <v/>
      </c>
      <c r="C285" s="23" t="inlineStr">
        <is>
          <t>Global leading providers of personal computers, servers, and related devices</t>
        </is>
      </c>
    </row>
    <row r="286">
      <c r="A286" s="23" t="inlineStr">
        <is>
          <t>US24703DBL47</t>
        </is>
      </c>
      <c r="B286" s="92">
        <f>PROPER(_xll.BDP($A286&amp;" Corp","NAME"))</f>
        <v/>
      </c>
      <c r="C286" s="23" t="inlineStr">
        <is>
          <t>Tobacco company</t>
        </is>
      </c>
    </row>
    <row r="287">
      <c r="A287" s="23" t="inlineStr">
        <is>
          <t>XS1950499712</t>
        </is>
      </c>
      <c r="B287" s="92">
        <f>PROPER(_xll.BDP($A287&amp;" Corp","NAME"))</f>
        <v/>
      </c>
      <c r="C287" s="23" t="inlineStr">
        <is>
          <t>Germany's state-owned rail and logistics group</t>
        </is>
      </c>
    </row>
    <row r="288">
      <c r="A288" s="23" t="inlineStr">
        <is>
          <t>XS2451376219</t>
        </is>
      </c>
      <c r="B288" s="92">
        <f>PROPER(_xll.BDP($A288&amp;" Corp","NAME"))</f>
        <v/>
      </c>
      <c r="C288" s="23" t="inlineStr">
        <is>
          <t>Germany's state-owned rail and logistics group</t>
        </is>
      </c>
    </row>
    <row r="289">
      <c r="A289" s="23" t="inlineStr">
        <is>
          <t>XS1372911690</t>
        </is>
      </c>
      <c r="B289" s="92">
        <f>PROPER(_xll.BDP($A289&amp;" Corp","NAME"))</f>
        <v/>
      </c>
      <c r="C289" s="23" t="inlineStr">
        <is>
          <t>Germany's state-owned rail and logistics group</t>
        </is>
      </c>
    </row>
    <row r="290">
      <c r="A290" s="23" t="inlineStr">
        <is>
          <t>CH1277080508</t>
        </is>
      </c>
      <c r="B290" s="92">
        <f>PROPER(_xll.BDP($A290&amp;" Corp","NAME"))</f>
        <v/>
      </c>
      <c r="C290" s="23" t="inlineStr">
        <is>
          <t>Germany's state-owned rail and logistics group</t>
        </is>
      </c>
    </row>
    <row r="291">
      <c r="A291" s="23" t="inlineStr">
        <is>
          <t>XS2152932542</t>
        </is>
      </c>
      <c r="B291" s="92">
        <f>PROPER(_xll.BDP($A291&amp;" Corp","NAME"))</f>
        <v/>
      </c>
      <c r="C291" s="23" t="inlineStr">
        <is>
          <t>Operates as a transportation company</t>
        </is>
      </c>
    </row>
    <row r="292">
      <c r="A292" s="23" t="inlineStr">
        <is>
          <t>XS1885608817</t>
        </is>
      </c>
      <c r="B292" s="92">
        <f>PROPER(_xll.BDP($A292&amp;" Corp","NAME"))</f>
        <v/>
      </c>
      <c r="C292" s="23" t="inlineStr">
        <is>
          <t>Operates as a transportation company</t>
        </is>
      </c>
    </row>
    <row r="293">
      <c r="A293" s="92" t="inlineStr">
        <is>
          <t>DE000DB7XJP9</t>
        </is>
      </c>
      <c r="B293" s="92">
        <f>PROPER(_xll.BDP($A293&amp;" Corp","NAME"))</f>
        <v/>
      </c>
      <c r="C293" s="92" t="inlineStr">
        <is>
          <t>Germany's largest universal bank</t>
        </is>
      </c>
    </row>
    <row r="294">
      <c r="A294" s="92" t="inlineStr">
        <is>
          <t>DE000DL19VS4</t>
        </is>
      </c>
      <c r="B294" s="92">
        <f>PROPER(_xll.BDP($A294&amp;" Corp","NAME"))</f>
        <v/>
      </c>
      <c r="C294" s="92" t="inlineStr">
        <is>
          <t xml:space="preserve">German largest universal bank </t>
        </is>
      </c>
    </row>
    <row r="295">
      <c r="A295" s="92" t="inlineStr">
        <is>
          <t>CH1244319450</t>
        </is>
      </c>
      <c r="B295" s="92">
        <f>PROPER(_xll.BDP($A295&amp;" Corp","NAME"))</f>
        <v/>
      </c>
      <c r="C295" s="92" t="inlineStr">
        <is>
          <t xml:space="preserve">Germany's largest universal bank </t>
        </is>
      </c>
    </row>
    <row r="296">
      <c r="A296" s="23" t="inlineStr">
        <is>
          <t>XS2592017300</t>
        </is>
      </c>
      <c r="B296" s="92">
        <f>PROPER(_xll.BDP($A296&amp;" Corp","NAME"))</f>
        <v/>
      </c>
      <c r="C296" s="23" t="inlineStr">
        <is>
          <t xml:space="preserve">Germany's largest universal bank </t>
        </is>
      </c>
    </row>
    <row r="297">
      <c r="A297" s="92" t="inlineStr">
        <is>
          <t>US251526CQ02</t>
        </is>
      </c>
      <c r="B297" s="92">
        <f>PROPER(_xll.BDP($A297&amp;" Corp","NAME"))</f>
        <v/>
      </c>
      <c r="C297" s="92" t="inlineStr">
        <is>
          <t>Germany's largest universal bank</t>
        </is>
      </c>
    </row>
    <row r="298">
      <c r="A298" s="92" t="inlineStr">
        <is>
          <t>XS2363244513</t>
        </is>
      </c>
      <c r="B298" s="92">
        <f>PROPER(_xll.BDP($A298&amp;" Corp","NAME"))</f>
        <v/>
      </c>
      <c r="C298" s="92" t="inlineStr">
        <is>
          <t>Europe's largest airline group</t>
        </is>
      </c>
    </row>
    <row r="299">
      <c r="A299" s="92" t="inlineStr">
        <is>
          <t>XS2815984732</t>
        </is>
      </c>
      <c r="B299" s="92">
        <f>PROPER(_xll.BDP($A299&amp;" Corp","NAME"))</f>
        <v/>
      </c>
      <c r="C299" s="92" t="inlineStr">
        <is>
          <t>Europe's largest airline group</t>
        </is>
      </c>
    </row>
    <row r="300">
      <c r="A300" s="23" t="inlineStr">
        <is>
          <t>XS1865126343</t>
        </is>
      </c>
      <c r="B300" s="92">
        <f>PROPER(_xll.BDP($A300&amp;" Corp","NAME"))</f>
        <v/>
      </c>
      <c r="C300" s="23" t="inlineStr">
        <is>
          <t>Offers banking services</t>
        </is>
      </c>
    </row>
    <row r="301">
      <c r="A301" s="23" t="inlineStr">
        <is>
          <t>XS2292953069</t>
        </is>
      </c>
      <c r="B301" s="92">
        <f>PROPER(_xll.BDP($A301&amp;" Corp","NAME"))</f>
        <v/>
      </c>
      <c r="C301" s="23" t="inlineStr">
        <is>
          <t>Offers banking services</t>
        </is>
      </c>
    </row>
    <row r="302">
      <c r="A302" s="23" t="inlineStr">
        <is>
          <t>XS1188135450</t>
        </is>
      </c>
      <c r="B302" s="92">
        <f>PROPER(_xll.BDP($A302&amp;" Corp","NAME"))</f>
        <v/>
      </c>
      <c r="C302" s="23" t="inlineStr">
        <is>
          <t>Franco-Belgian financial institution with state guarantee</t>
        </is>
      </c>
    </row>
    <row r="303">
      <c r="A303" s="23" t="inlineStr">
        <is>
          <t>XS1982100643</t>
        </is>
      </c>
      <c r="B303" s="92">
        <f>PROPER(_xll.BDP($A303&amp;" Corp","NAME"))</f>
        <v/>
      </c>
      <c r="C303" s="23" t="inlineStr">
        <is>
          <t>World's largest manufacturer and distributor of premium spirits, wine and beer</t>
        </is>
      </c>
    </row>
    <row r="304">
      <c r="A304" s="92" t="inlineStr">
        <is>
          <t>CH1121837244</t>
        </is>
      </c>
      <c r="B304" s="92">
        <f>PROPER(_xll.BDP($A304&amp;" Corp","NAME"))</f>
        <v/>
      </c>
      <c r="C304" s="92" t="inlineStr">
        <is>
          <t xml:space="preserve">Owns and opeates data centres </t>
        </is>
      </c>
    </row>
    <row r="305">
      <c r="A305" s="23" t="inlineStr">
        <is>
          <t>XS2191362859</t>
        </is>
      </c>
      <c r="B305" s="92">
        <f>PROPER(_xll.BDP($A305&amp;" Corp","NAME"))</f>
        <v/>
      </c>
      <c r="C305" s="23" t="inlineStr">
        <is>
          <t>Owns and operates data centres</t>
        </is>
      </c>
    </row>
    <row r="306">
      <c r="A306" s="23" t="inlineStr">
        <is>
          <t>XS1891174424</t>
        </is>
      </c>
      <c r="B306" s="92">
        <f>PROPER(_xll.BDP($A306&amp;" Corp","NAME"))</f>
        <v/>
      </c>
      <c r="C306" s="23" t="inlineStr">
        <is>
          <t xml:space="preserve">Owns and opeates data centres </t>
        </is>
      </c>
    </row>
    <row r="307">
      <c r="A307" s="23" t="inlineStr">
        <is>
          <t>XS2026710553</t>
        </is>
      </c>
      <c r="B307" s="92">
        <f>PROPER(_xll.BDP($A307&amp;" Corp","NAME"))</f>
        <v/>
      </c>
      <c r="C307" s="23" t="inlineStr">
        <is>
          <t>Dubai fully state-owned port operator</t>
        </is>
      </c>
    </row>
    <row r="308">
      <c r="A308" s="23" t="inlineStr">
        <is>
          <t>XS2677631355</t>
        </is>
      </c>
      <c r="B308" s="92">
        <f>PROPER(_xll.BDP($A308&amp;" Corp","NAME"))</f>
        <v/>
      </c>
      <c r="C308" s="23" t="inlineStr">
        <is>
          <t>Dubai fully state-owned port operator</t>
        </is>
      </c>
    </row>
    <row r="309">
      <c r="A309" s="23" t="inlineStr">
        <is>
          <t>XS2026710553</t>
        </is>
      </c>
      <c r="B309" s="92">
        <f>PROPER(_xll.BDP($A309&amp;" Corp","NAME"))</f>
        <v/>
      </c>
      <c r="C309" s="23" t="inlineStr">
        <is>
          <t xml:space="preserve">Dubai state-owned port operator property </t>
        </is>
      </c>
    </row>
    <row r="310">
      <c r="A310" s="23" t="inlineStr">
        <is>
          <t>XS2677631355</t>
        </is>
      </c>
      <c r="B310" s="92">
        <f>PROPER(_xll.BDP($A310&amp;" Corp","NAME"))</f>
        <v/>
      </c>
      <c r="C310" s="23" t="inlineStr">
        <is>
          <t xml:space="preserve">Dubai state-owned port operator property </t>
        </is>
      </c>
    </row>
    <row r="311">
      <c r="A311" s="23" t="inlineStr">
        <is>
          <t>XS2051777873</t>
        </is>
      </c>
      <c r="B311" s="92">
        <f>PROPER(_xll.BDP($A311&amp;" Corp","NAME"))</f>
        <v/>
      </c>
      <c r="C311" s="23" t="inlineStr">
        <is>
          <t>Provider of corrugated packaging services</t>
        </is>
      </c>
    </row>
    <row r="312">
      <c r="A312" s="23" t="inlineStr">
        <is>
          <t>XS1699848914</t>
        </is>
      </c>
      <c r="B312" s="92">
        <f>PROPER(_xll.BDP($A312&amp;" Corp","NAME"))</f>
        <v/>
      </c>
      <c r="C312" s="23" t="inlineStr">
        <is>
          <t>World's biggest airport retailer</t>
        </is>
      </c>
    </row>
    <row r="313">
      <c r="A313" s="23" t="inlineStr">
        <is>
          <t>XS2802883731</t>
        </is>
      </c>
      <c r="B313" s="92">
        <f>PROPER(_xll.BDP($A313&amp;" Corp","NAME"))</f>
        <v/>
      </c>
      <c r="C313" s="23" t="inlineStr">
        <is>
          <t>World's biggest airport retailer</t>
        </is>
      </c>
    </row>
    <row r="314">
      <c r="A314" s="23" t="inlineStr">
        <is>
          <t>XS2574873266</t>
        </is>
      </c>
      <c r="B314" s="92">
        <f>PROPER(_xll.BDP($A314&amp;" Corp","NAME"))</f>
        <v/>
      </c>
      <c r="C314" s="23" t="inlineStr">
        <is>
          <t>One of the Europe's largest operators of energy networks and infrastructure</t>
        </is>
      </c>
    </row>
    <row r="315">
      <c r="A315" s="23" t="inlineStr">
        <is>
          <t>XS2574873183</t>
        </is>
      </c>
      <c r="B315" s="92">
        <f>PROPER(_xll.BDP($A315&amp;" Corp","NAME"))</f>
        <v/>
      </c>
      <c r="C315" s="23" t="inlineStr">
        <is>
          <t>One of the Europe's largest operators of energy networks and infrastructure</t>
        </is>
      </c>
    </row>
    <row r="316">
      <c r="A316" s="23" t="inlineStr">
        <is>
          <t>CH1227937708</t>
        </is>
      </c>
      <c r="B316" s="92">
        <f>PROPER(_xll.BDP($A316&amp;" Corp","NAME"))</f>
        <v/>
      </c>
      <c r="C316" s="23" t="inlineStr">
        <is>
          <t>One of the Europe's largest operators of energy networks and energy infrastructure</t>
        </is>
      </c>
    </row>
    <row r="317">
      <c r="A317" s="23" t="inlineStr">
        <is>
          <t>CH1227937690</t>
        </is>
      </c>
      <c r="B317" s="92">
        <f>PROPER(_xll.BDP($A317&amp;" Corp","NAME"))</f>
        <v/>
      </c>
      <c r="C317" s="23" t="inlineStr">
        <is>
          <t>One of the Europe's largest operators of energy networks and energy infrastructure</t>
        </is>
      </c>
    </row>
    <row r="318">
      <c r="A318" s="23" t="inlineStr">
        <is>
          <t>XS2783118131</t>
        </is>
      </c>
      <c r="B318" s="92">
        <f>PROPER(_xll.BDP($A318&amp;" Corp","NAME"))</f>
        <v/>
      </c>
      <c r="C318" s="23" t="inlineStr">
        <is>
          <t xml:space="preserve">Europe's second largest low cost airline </t>
        </is>
      </c>
    </row>
    <row r="319">
      <c r="A319" s="23" t="inlineStr">
        <is>
          <t>US278642AL76</t>
        </is>
      </c>
      <c r="B319" s="92">
        <f>PROPER(_xll.BDP($A319&amp;" Corp","NAME"))</f>
        <v/>
      </c>
      <c r="C319" s="23" t="inlineStr">
        <is>
          <t>E-commerce company providing C2C and B2C sales services via internet</t>
        </is>
      </c>
    </row>
    <row r="320">
      <c r="A320" s="23" t="inlineStr">
        <is>
          <t>US278642BC68</t>
        </is>
      </c>
      <c r="B320" s="92">
        <f>PROPER(_xll.BDP($A320&amp;" Corp","NAME"))</f>
        <v/>
      </c>
      <c r="C320" s="23" t="inlineStr">
        <is>
          <t>E-commerce company providing C2C and B2C sales services via internet</t>
        </is>
      </c>
    </row>
    <row r="321">
      <c r="A321" s="23" t="inlineStr">
        <is>
          <t>US278642BA03</t>
        </is>
      </c>
      <c r="B321" s="92">
        <f>PROPER(_xll.BDP($A321&amp;" Corp","NAME"))</f>
        <v/>
      </c>
      <c r="C321" s="23" t="inlineStr">
        <is>
          <t>E-commerce company providing C2C and B2C sales services via internet</t>
        </is>
      </c>
    </row>
    <row r="322">
      <c r="A322" s="23" t="inlineStr">
        <is>
          <t>US278642BB85</t>
        </is>
      </c>
      <c r="B322" s="92">
        <f>PROPER(_xll.BDP($A322&amp;" Corp","NAME"))</f>
        <v/>
      </c>
      <c r="C322" s="23" t="inlineStr">
        <is>
          <t>E-commerce company providing C2C and B2C sales services via internet</t>
        </is>
      </c>
    </row>
    <row r="323">
      <c r="A323" s="23" t="inlineStr">
        <is>
          <t>XS2297197266</t>
        </is>
      </c>
      <c r="B323" s="92">
        <f>PROPER(_xll.BDP($A323&amp;" Corp","NAME"))</f>
        <v/>
      </c>
      <c r="C323" s="23" t="inlineStr">
        <is>
          <t>Operates as a special purpose entity</t>
        </is>
      </c>
    </row>
    <row r="324">
      <c r="A324" s="23" t="inlineStr">
        <is>
          <t>US279158AT64</t>
        </is>
      </c>
      <c r="B324" s="92">
        <f>PROPER(_xll.BDP($A324&amp;" Corp","NAME"))</f>
        <v/>
      </c>
      <c r="C324" s="23" t="inlineStr">
        <is>
          <t>Integrated oil company operates in Colombia</t>
        </is>
      </c>
    </row>
    <row r="325">
      <c r="A325" s="23" t="inlineStr">
        <is>
          <t xml:space="preserve">US279158AS81 </t>
        </is>
      </c>
      <c r="B325" s="92">
        <f>PROPER(_xll.BDP($A325&amp;" Corp","NAME"))</f>
        <v/>
      </c>
      <c r="C325" s="23" t="inlineStr">
        <is>
          <t>Integrated Oil company operates in Colombia</t>
        </is>
      </c>
    </row>
    <row r="326">
      <c r="A326" s="23" t="inlineStr">
        <is>
          <t>US279158AL39</t>
        </is>
      </c>
      <c r="B326" s="92">
        <f>PROPER(_xll.BDP($A326&amp;" Corp","NAME"))</f>
        <v/>
      </c>
      <c r="C326" s="23" t="inlineStr">
        <is>
          <t>Integrated oil company operates in Colombia</t>
        </is>
      </c>
    </row>
    <row r="327">
      <c r="A327" s="92" t="inlineStr">
        <is>
          <t>XS2233217558</t>
        </is>
      </c>
      <c r="B327" s="92">
        <f>PROPER(_xll.BDP($A327&amp;" Corp","NAME"))</f>
        <v/>
      </c>
      <c r="C327" s="92" t="inlineStr">
        <is>
          <t>Portugal's largest utility company</t>
        </is>
      </c>
    </row>
    <row r="328">
      <c r="A328" s="23" t="inlineStr">
        <is>
          <t>XS1846632104</t>
        </is>
      </c>
      <c r="B328" s="92">
        <f>PROPER(_xll.BDP($A328&amp;" Corp","NAME"))</f>
        <v/>
      </c>
      <c r="C328" s="23" t="inlineStr">
        <is>
          <t>Portugal's largest utility company</t>
        </is>
      </c>
    </row>
    <row r="329">
      <c r="A329" s="92" t="inlineStr">
        <is>
          <t>XS2747766090</t>
        </is>
      </c>
      <c r="B329" s="92">
        <f>PROPER(_xll.BDP($A329&amp;" Corp","NAME"))</f>
        <v/>
      </c>
      <c r="C329" s="92" t="inlineStr">
        <is>
          <t>Portugal's largest utility company</t>
        </is>
      </c>
    </row>
    <row r="330">
      <c r="A330" s="23" t="inlineStr">
        <is>
          <t>EU000A2SCAK5</t>
        </is>
      </c>
      <c r="B330" s="92">
        <f>PROPER(_xll.BDP($A330&amp;" Corp","NAME"))</f>
        <v/>
      </c>
      <c r="C330" s="23" t="inlineStr">
        <is>
          <t>Doing business as EU Stabilization Fund</t>
        </is>
      </c>
    </row>
    <row r="331">
      <c r="A331" s="23" t="inlineStr">
        <is>
          <t>EU000A2SCAD0</t>
        </is>
      </c>
      <c r="B331" s="92">
        <f>PROPER(_xll.BDP($A331&amp;" Corp","NAME"))</f>
        <v/>
      </c>
      <c r="C331" s="23" t="inlineStr">
        <is>
          <t>Doing business as EU Stabilization Fund</t>
        </is>
      </c>
    </row>
    <row r="332">
      <c r="A332" s="23" t="inlineStr">
        <is>
          <t>USP3631MAA38</t>
        </is>
      </c>
      <c r="B332" s="92">
        <f>PROPER(_xll.BDP($A332&amp;" Corp","NAME"))</f>
        <v/>
      </c>
      <c r="C332" s="23" t="inlineStr">
        <is>
          <t>Utility holding company</t>
        </is>
      </c>
    </row>
    <row r="333">
      <c r="A333" s="92" t="inlineStr">
        <is>
          <t>USF29416AC23</t>
        </is>
      </c>
      <c r="B333" s="92">
        <f>PROPER(_xll.BDP($A333&amp;" Corp","NAME"))</f>
        <v/>
      </c>
      <c r="C333" s="92" t="inlineStr">
        <is>
          <t>French utility company fully owned by the State</t>
        </is>
      </c>
    </row>
    <row r="334">
      <c r="A334" s="92" t="inlineStr">
        <is>
          <t>FR001400FDG9</t>
        </is>
      </c>
      <c r="B334" s="92">
        <f>PROPER(_xll.BDP($A334&amp;" Corp","NAME"))</f>
        <v/>
      </c>
      <c r="C334" s="92" t="inlineStr">
        <is>
          <t xml:space="preserve">French utility company fully owned by the State </t>
        </is>
      </c>
    </row>
    <row r="335">
      <c r="A335" s="92" t="inlineStr">
        <is>
          <t>FR001400FDB0</t>
        </is>
      </c>
      <c r="B335" s="92">
        <f>PROPER(_xll.BDP($A335&amp;" Corp","NAME"))</f>
        <v/>
      </c>
      <c r="C335" s="92" t="inlineStr">
        <is>
          <t>French utility company fully owned by the State</t>
        </is>
      </c>
    </row>
    <row r="336">
      <c r="A336" s="92" t="inlineStr">
        <is>
          <t>CH1291809916</t>
        </is>
      </c>
      <c r="B336" s="92">
        <f>PROPER(_xll.BDP($A336&amp;" Corp","NAME"))</f>
        <v/>
      </c>
      <c r="C336" s="92" t="inlineStr">
        <is>
          <t>French utility company fully owned by the State</t>
        </is>
      </c>
    </row>
    <row r="337">
      <c r="A337" s="92" t="inlineStr">
        <is>
          <t>CH1291809908</t>
        </is>
      </c>
      <c r="B337" s="92">
        <f>PROPER(_xll.BDP($A337&amp;" Corp","NAME"))</f>
        <v/>
      </c>
      <c r="C337" s="92" t="inlineStr">
        <is>
          <t>French utility company fully owned by the State</t>
        </is>
      </c>
    </row>
    <row r="338">
      <c r="A338" s="23" t="inlineStr">
        <is>
          <t>USF2893TAS53</t>
        </is>
      </c>
      <c r="B338" s="92">
        <f>PROPER(_xll.BDP($A338&amp;" Corp","NAME"))</f>
        <v/>
      </c>
      <c r="C338" s="23" t="inlineStr">
        <is>
          <t>French utility company fully owned by the State</t>
        </is>
      </c>
    </row>
    <row r="339">
      <c r="A339" s="23" t="inlineStr">
        <is>
          <t>USF2893TAP15</t>
        </is>
      </c>
      <c r="B339" s="92">
        <f>PROPER(_xll.BDP($A339&amp;" Corp","NAME"))</f>
        <v/>
      </c>
      <c r="C339" s="23" t="inlineStr">
        <is>
          <t>French utility company fully owned by the State</t>
        </is>
      </c>
    </row>
    <row r="340">
      <c r="A340" s="23" t="inlineStr">
        <is>
          <t>XS0162990229</t>
        </is>
      </c>
      <c r="B340" s="92">
        <f>PROPER(_xll.BDP($A340&amp;" Corp","NAME"))</f>
        <v/>
      </c>
      <c r="C340" s="23" t="inlineStr">
        <is>
          <t>French utility company fully owned by the State</t>
        </is>
      </c>
    </row>
    <row r="341">
      <c r="A341" s="23" t="inlineStr">
        <is>
          <t>FR001400FDC8</t>
        </is>
      </c>
      <c r="B341" s="92">
        <f>PROPER(_xll.BDP($A341&amp;" Corp","NAME"))</f>
        <v/>
      </c>
      <c r="C341" s="23" t="inlineStr">
        <is>
          <t>French utility company fully owned by the State</t>
        </is>
      </c>
    </row>
    <row r="342">
      <c r="A342" s="23" t="inlineStr">
        <is>
          <t>US532457CE69</t>
        </is>
      </c>
      <c r="B342" s="92">
        <f>PROPER(_xll.BDP($A342&amp;" Corp","NAME"))</f>
        <v/>
      </c>
      <c r="C342" s="23" t="inlineStr">
        <is>
          <t>Develops and sells pharmaceutical products for humans and animals</t>
        </is>
      </c>
    </row>
    <row r="343">
      <c r="A343" s="23" t="inlineStr">
        <is>
          <t>US532457CF35</t>
        </is>
      </c>
      <c r="B343" s="92">
        <f>PROPER(_xll.BDP($A343&amp;" Corp","NAME"))</f>
        <v/>
      </c>
      <c r="C343" s="23" t="inlineStr">
        <is>
          <t>Develops and sells pharmaceutical products for humans and animals</t>
        </is>
      </c>
    </row>
    <row r="344">
      <c r="A344" s="23" t="inlineStr">
        <is>
          <t>US532457CG18</t>
        </is>
      </c>
      <c r="B344" s="92">
        <f>PROPER(_xll.BDP($A344&amp;" Corp","NAME"))</f>
        <v/>
      </c>
      <c r="C344" s="23" t="inlineStr">
        <is>
          <t>Develops and sells pharmaceutical products for humans and animals</t>
        </is>
      </c>
    </row>
    <row r="345">
      <c r="A345" s="23" t="inlineStr">
        <is>
          <t>XS2052469165</t>
        </is>
      </c>
      <c r="B345" s="92">
        <f>PROPER(_xll.BDP($A345&amp;" Corp","NAME"))</f>
        <v/>
      </c>
      <c r="C345" s="23" t="inlineStr">
        <is>
          <t xml:space="preserve">Dubai partially state-owned property company </t>
        </is>
      </c>
    </row>
    <row r="346">
      <c r="A346" s="23" t="inlineStr">
        <is>
          <t>XS2356219084</t>
        </is>
      </c>
      <c r="B346" s="92">
        <f>PROPER(_xll.BDP($A346&amp;" Corp","NAME"))</f>
        <v/>
      </c>
      <c r="C346" s="23" t="inlineStr">
        <is>
          <t xml:space="preserve">Dubai partially state-owned property company </t>
        </is>
      </c>
    </row>
    <row r="347">
      <c r="A347" s="23" t="inlineStr">
        <is>
          <t>XS2052469165</t>
        </is>
      </c>
      <c r="B347" s="92">
        <f>PROPER(_xll.BDP($A347&amp;" Corp","NAME"))</f>
        <v/>
      </c>
      <c r="C347" s="23" t="inlineStr">
        <is>
          <t>Dubai property company with partial state ownership</t>
        </is>
      </c>
    </row>
    <row r="348">
      <c r="A348" s="23" t="inlineStr">
        <is>
          <t>XS2356219084</t>
        </is>
      </c>
      <c r="B348" s="92">
        <f>PROPER(_xll.BDP($A348&amp;" Corp","NAME"))</f>
        <v/>
      </c>
      <c r="C348" s="23" t="inlineStr">
        <is>
          <t>Dubai property company with partial state ownership</t>
        </is>
      </c>
    </row>
    <row r="349">
      <c r="A349" s="23" t="inlineStr">
        <is>
          <t>USN29505AB53</t>
        </is>
      </c>
      <c r="B349" s="92">
        <f>PROPER(_xll.BDP($A349&amp;" Corp","NAME"))</f>
        <v/>
      </c>
      <c r="C349" s="23" t="inlineStr">
        <is>
          <t>Leading manufacturer of regional jet airplanes</t>
        </is>
      </c>
    </row>
    <row r="350">
      <c r="A350" s="23" t="inlineStr">
        <is>
          <t>US29082HAB87</t>
        </is>
      </c>
      <c r="B350" s="92">
        <f>PROPER(_xll.BDP($A350&amp;" Corp","NAME"))</f>
        <v/>
      </c>
      <c r="C350" s="23" t="inlineStr">
        <is>
          <t>Leading manufacturer of regional jet airplanes</t>
        </is>
      </c>
    </row>
    <row r="351">
      <c r="A351" s="23" t="inlineStr">
        <is>
          <t>USN29505AA70</t>
        </is>
      </c>
      <c r="B351" s="92">
        <f>PROPER(_xll.BDP($A351&amp;" Corp","NAME"))</f>
        <v/>
      </c>
      <c r="C351" s="23" t="inlineStr">
        <is>
          <t>Leading manufacturer of regional jet airplanes</t>
        </is>
      </c>
    </row>
    <row r="352">
      <c r="A352" s="23" t="inlineStr">
        <is>
          <t>XS2352309681</t>
        </is>
      </c>
      <c r="B352" s="92">
        <f>PROPER(_xll.BDP($A352&amp;" Corp","NAME"))</f>
        <v/>
      </c>
      <c r="C352" s="23" t="inlineStr">
        <is>
          <t>State-owned bank to support economic development</t>
        </is>
      </c>
    </row>
    <row r="353">
      <c r="A353" s="23" t="inlineStr">
        <is>
          <t>XS2339427820</t>
        </is>
      </c>
      <c r="B353" s="92">
        <f>PROPER(_xll.BDP($A353&amp;" Corp","NAME"))</f>
        <v/>
      </c>
      <c r="C353" s="23" t="inlineStr">
        <is>
          <t>UAE partially state-owned telecom</t>
        </is>
      </c>
    </row>
    <row r="354">
      <c r="A354" s="23" t="inlineStr">
        <is>
          <t>USP3713CAB48</t>
        </is>
      </c>
      <c r="B354" s="92">
        <f>PROPER(_xll.BDP($A354&amp;" Corp","NAME"))</f>
        <v/>
      </c>
      <c r="C354" s="23" t="inlineStr">
        <is>
          <t xml:space="preserve">Utility company </t>
        </is>
      </c>
    </row>
    <row r="355">
      <c r="A355" s="23" t="inlineStr">
        <is>
          <t xml:space="preserve"> USP37110AK24</t>
        </is>
      </c>
      <c r="B355" s="92">
        <f>PROPER(_xll.BDP($A355&amp;" Corp","NAME"))</f>
        <v/>
      </c>
      <c r="C355" s="23" t="inlineStr">
        <is>
          <t xml:space="preserve">State-owned energy company </t>
        </is>
      </c>
    </row>
    <row r="356">
      <c r="A356" s="92" t="inlineStr">
        <is>
          <t>US29250NBR52</t>
        </is>
      </c>
      <c r="B356" s="92">
        <f>PROPER(_xll.BDP($A356&amp;" Corp","NAME"))</f>
        <v/>
      </c>
      <c r="C356" s="92" t="inlineStr">
        <is>
          <t>One of the largest owners of crude oil infrastructure in North America</t>
        </is>
      </c>
    </row>
    <row r="357">
      <c r="A357" s="92" t="inlineStr">
        <is>
          <t>USN30707AN87</t>
        </is>
      </c>
      <c r="B357" s="92">
        <f>PROPER(_xll.BDP($A357&amp;" Corp","NAME"))</f>
        <v/>
      </c>
      <c r="C357" s="92" t="inlineStr">
        <is>
          <t xml:space="preserve">Italian utility company </t>
        </is>
      </c>
    </row>
    <row r="358">
      <c r="A358" s="92" t="inlineStr">
        <is>
          <t>XS2589260723</t>
        </is>
      </c>
      <c r="B358" s="92">
        <f>PROPER(_xll.BDP($A358&amp;" Corp","NAME"))</f>
        <v/>
      </c>
      <c r="C358" s="92" t="inlineStr">
        <is>
          <t>Italian utility company</t>
        </is>
      </c>
    </row>
    <row r="359">
      <c r="A359" s="92" t="inlineStr">
        <is>
          <t>XS2353182293</t>
        </is>
      </c>
      <c r="B359" s="92">
        <f>PROPER(_xll.BDP($A359&amp;" Corp","NAME"))</f>
        <v/>
      </c>
      <c r="C359" s="92" t="inlineStr">
        <is>
          <t xml:space="preserve">Italian utility company </t>
        </is>
      </c>
    </row>
    <row r="360">
      <c r="A360" s="23" t="inlineStr">
        <is>
          <t>XS2390400716</t>
        </is>
      </c>
      <c r="B360" s="92">
        <f>PROPER(_xll.BDP($A360&amp;" Corp","NAME"))</f>
        <v/>
      </c>
      <c r="C360" s="23" t="inlineStr">
        <is>
          <t xml:space="preserve">Italian utility company </t>
        </is>
      </c>
    </row>
    <row r="361">
      <c r="A361" s="23" t="inlineStr">
        <is>
          <t>XS2390400807</t>
        </is>
      </c>
      <c r="B361" s="92">
        <f>PROPER(_xll.BDP($A361&amp;" Corp","NAME"))</f>
        <v/>
      </c>
      <c r="C361" s="23" t="inlineStr">
        <is>
          <t xml:space="preserve">Italian utility company </t>
        </is>
      </c>
    </row>
    <row r="362">
      <c r="A362" s="23" t="inlineStr">
        <is>
          <t>XS2390400633</t>
        </is>
      </c>
      <c r="B362" s="92">
        <f>PROPER(_xll.BDP($A362&amp;" Corp","NAME"))</f>
        <v/>
      </c>
      <c r="C362" s="23" t="inlineStr">
        <is>
          <t xml:space="preserve">Italian utility company </t>
        </is>
      </c>
    </row>
    <row r="363">
      <c r="A363" s="23" t="inlineStr">
        <is>
          <t>XS1575640054</t>
        </is>
      </c>
      <c r="B363" s="92">
        <f>PROPER(_xll.BDP($A363&amp;" Corp","NAME"))</f>
        <v/>
      </c>
      <c r="C363" s="23" t="inlineStr">
        <is>
          <t xml:space="preserve">Electricity and heat provider </t>
        </is>
      </c>
    </row>
    <row r="364">
      <c r="A364" s="23" t="inlineStr">
        <is>
          <t>USG3040LAA01</t>
        </is>
      </c>
      <c r="B364" s="92">
        <f>PROPER(_xll.BDP($A364&amp;" Corp","NAME"))</f>
        <v/>
      </c>
      <c r="C364" s="23" t="inlineStr">
        <is>
          <t>Utility company</t>
        </is>
      </c>
    </row>
    <row r="365">
      <c r="A365" s="23" t="inlineStr">
        <is>
          <t>FR0010680041</t>
        </is>
      </c>
      <c r="B365" s="92">
        <f>PROPER(_xll.BDP($A365&amp;" Corp","NAME"))</f>
        <v/>
      </c>
      <c r="C365" s="23" t="inlineStr">
        <is>
          <t>French utility company specialised in renewables</t>
        </is>
      </c>
    </row>
    <row r="366">
      <c r="A366" s="23" t="inlineStr">
        <is>
          <t>FR001400H1V0</t>
        </is>
      </c>
      <c r="B366" s="92">
        <f>PROPER(_xll.BDP($A366&amp;" Corp","NAME"))</f>
        <v/>
      </c>
      <c r="C366" s="23" t="inlineStr">
        <is>
          <t>French utility company specialised in renewables</t>
        </is>
      </c>
    </row>
    <row r="367">
      <c r="A367" s="23" t="inlineStr">
        <is>
          <t>FR001400KHF2</t>
        </is>
      </c>
      <c r="B367" s="92">
        <f>PROPER(_xll.BDP($A367&amp;" Corp","NAME"))</f>
        <v/>
      </c>
      <c r="C367" s="23" t="inlineStr">
        <is>
          <t>French utility company specialised in renewables</t>
        </is>
      </c>
    </row>
    <row r="368">
      <c r="A368" s="23" t="inlineStr">
        <is>
          <t>FR001400A1H6</t>
        </is>
      </c>
      <c r="B368" s="92">
        <f>PROPER(_xll.BDP($A368&amp;" Corp","NAME"))</f>
        <v/>
      </c>
      <c r="C368" s="23" t="inlineStr">
        <is>
          <t>French utility company specialised in renewables</t>
        </is>
      </c>
    </row>
    <row r="369">
      <c r="A369" s="23" t="inlineStr">
        <is>
          <t>FR001400KHH8</t>
        </is>
      </c>
      <c r="B369" s="92">
        <f>PROPER(_xll.BDP($A369&amp;" Corp","NAME"))</f>
        <v/>
      </c>
      <c r="C369" s="23" t="inlineStr">
        <is>
          <t xml:space="preserve">French utility company specialised in renewables </t>
        </is>
      </c>
    </row>
    <row r="370">
      <c r="A370" s="23" t="inlineStr">
        <is>
          <t>FR001400KHI6</t>
        </is>
      </c>
      <c r="B370" s="92">
        <f>PROPER(_xll.BDP($A370&amp;" Corp","NAME"))</f>
        <v/>
      </c>
      <c r="C370" s="23" t="inlineStr">
        <is>
          <t xml:space="preserve">French utility company specialised in renewables </t>
        </is>
      </c>
    </row>
    <row r="371">
      <c r="A371" s="92" t="inlineStr">
        <is>
          <t>XS2107315470</t>
        </is>
      </c>
      <c r="B371" s="92">
        <f>PROPER(_xll.BDP($A371&amp;" Corp","NAME"))</f>
        <v/>
      </c>
      <c r="C371" s="92" t="inlineStr">
        <is>
          <t>Explores for and produces hydrocarbons in Italy, Africa, the North Sea</t>
        </is>
      </c>
    </row>
    <row r="372">
      <c r="A372" s="23" t="inlineStr">
        <is>
          <t>US29390XAA28</t>
        </is>
      </c>
      <c r="B372" s="92">
        <f>PROPER(_xll.BDP($A372&amp;" Corp","NAME"))</f>
        <v/>
      </c>
      <c r="C372" s="23" t="inlineStr">
        <is>
          <t>Owns and operates data centres</t>
        </is>
      </c>
    </row>
    <row r="373">
      <c r="A373" s="92" t="inlineStr">
        <is>
          <t>XS0092541969</t>
        </is>
      </c>
      <c r="B373" s="92">
        <f>PROPER(_xll.BDP($A373&amp;" Corp","NAME"))</f>
        <v/>
      </c>
      <c r="C373" s="92" t="inlineStr">
        <is>
          <t>The company operates as an energy company</t>
        </is>
      </c>
    </row>
    <row r="374">
      <c r="A374" s="23" t="inlineStr">
        <is>
          <t>FR001400HZE3</t>
        </is>
      </c>
      <c r="B374" s="92">
        <f>PROPER(_xll.BDP($A374&amp;" Corp","NAME"))</f>
        <v/>
      </c>
      <c r="C374" s="23" t="inlineStr">
        <is>
          <t>Partially state-owned mining company in manganese, nickel, and special steels.</t>
        </is>
      </c>
    </row>
    <row r="375">
      <c r="A375" s="23" t="inlineStr">
        <is>
          <t>FR001400QC85</t>
        </is>
      </c>
      <c r="B375" s="92">
        <f>PROPER(_xll.BDP($A375&amp;" Corp","NAME"))</f>
        <v/>
      </c>
      <c r="C375" s="23" t="inlineStr">
        <is>
          <t>Partially state-owned mining company in manganese, nickel, and special steels.</t>
        </is>
      </c>
    </row>
    <row r="376">
      <c r="A376" s="23" t="inlineStr">
        <is>
          <t>EU000A1U9894</t>
        </is>
      </c>
      <c r="B376" s="92">
        <f>PROPER(_xll.BDP($A376&amp;" Corp","NAME"))</f>
        <v/>
      </c>
      <c r="C376" s="23" t="inlineStr">
        <is>
          <t>Operates as an intergovernmental organization</t>
        </is>
      </c>
    </row>
    <row r="377">
      <c r="A377" s="23" t="inlineStr">
        <is>
          <t>CH0025185676</t>
        </is>
      </c>
      <c r="B377" s="92">
        <f>PROPER(_xll.BDP($A377&amp;" Corp","NAME"))</f>
        <v/>
      </c>
      <c r="C377" s="23" t="inlineStr">
        <is>
          <t>Provides financing services for railways industries</t>
        </is>
      </c>
    </row>
    <row r="378">
      <c r="A378" s="92" t="inlineStr">
        <is>
          <t>XS2491664137</t>
        </is>
      </c>
      <c r="B378" s="92">
        <f>PROPER(_xll.BDP($A378&amp;" Corp","NAME"))</f>
        <v/>
      </c>
      <c r="C378" s="92" t="inlineStr">
        <is>
          <t>Eurofins Scientific SE offers laboratory safety and purity analysis</t>
        </is>
      </c>
    </row>
    <row r="379">
      <c r="A379" s="23" t="inlineStr">
        <is>
          <t>US29874QEX88</t>
        </is>
      </c>
      <c r="B379" s="92">
        <f>PROPER(_xll.BDP($A379&amp;" Corp","NAME"))</f>
        <v/>
      </c>
      <c r="C379" s="23" t="inlineStr">
        <is>
          <t>A multilateral development financial instiution</t>
        </is>
      </c>
    </row>
    <row r="380">
      <c r="A380" s="23" t="inlineStr">
        <is>
          <t>US298785JW79</t>
        </is>
      </c>
      <c r="B380" s="92">
        <f>PROPER(_xll.BDP($A380&amp;" Corp","NAME"))</f>
        <v/>
      </c>
      <c r="C380" s="23" t="inlineStr">
        <is>
          <t>Largest multilateral development bank serving clients throughout Europe</t>
        </is>
      </c>
    </row>
    <row r="381">
      <c r="A381" s="23" t="inlineStr">
        <is>
          <t>XS0768478868</t>
        </is>
      </c>
      <c r="B381" s="92">
        <f>PROPER(_xll.BDP($A381&amp;" Corp","NAME"))</f>
        <v/>
      </c>
      <c r="C381" s="23" t="inlineStr">
        <is>
          <t>Largest multilateral development bank serving clients throughout Europe</t>
        </is>
      </c>
    </row>
    <row r="382">
      <c r="A382" s="23" t="inlineStr">
        <is>
          <t>US298785JS67</t>
        </is>
      </c>
      <c r="B382" s="92">
        <f>PROPER(_xll.BDP($A382&amp;" Corp","NAME"))</f>
        <v/>
      </c>
      <c r="C382" s="23" t="inlineStr">
        <is>
          <t>Largest multilateral development bank serving clients throughout Europe</t>
        </is>
      </c>
    </row>
    <row r="383">
      <c r="A383" s="23" t="inlineStr">
        <is>
          <t>US298785JV96</t>
        </is>
      </c>
      <c r="B383" s="92">
        <f>PROPER(_xll.BDP($A383&amp;" Corp","NAME"))</f>
        <v/>
      </c>
      <c r="C383" s="23" t="inlineStr">
        <is>
          <t>Largest multilateral development bank serving clients throughout Europe</t>
        </is>
      </c>
    </row>
    <row r="384">
      <c r="A384" s="23" t="inlineStr">
        <is>
          <t>XS2036242803</t>
        </is>
      </c>
      <c r="B384" s="92">
        <f>PROPER(_xll.BDP($A384&amp;" Corp","NAME"))</f>
        <v/>
      </c>
      <c r="C384" s="23" t="inlineStr">
        <is>
          <t>Largest multilateral development bank serving clients throughout Europe</t>
        </is>
      </c>
    </row>
    <row r="385">
      <c r="A385" s="23" t="inlineStr">
        <is>
          <t>XS1805260483</t>
        </is>
      </c>
      <c r="B385" s="92">
        <f>PROPER(_xll.BDP($A385&amp;" Corp","NAME"))</f>
        <v/>
      </c>
      <c r="C385" s="23" t="inlineStr">
        <is>
          <t>Largest multilateral development bank serving clients throughout Europe</t>
        </is>
      </c>
    </row>
    <row r="386">
      <c r="A386" s="23" t="inlineStr">
        <is>
          <t>XS1490724975</t>
        </is>
      </c>
      <c r="B386" s="92">
        <f>PROPER(_xll.BDP($A386&amp;" Corp","NAME"))</f>
        <v/>
      </c>
      <c r="C386" s="23" t="inlineStr">
        <is>
          <t>Largest multilateral development bank serving clients throughout Europe</t>
        </is>
      </c>
    </row>
    <row r="387">
      <c r="A387" s="23" t="inlineStr">
        <is>
          <t>XS1791485011</t>
        </is>
      </c>
      <c r="B387" s="92">
        <f>PROPER(_xll.BDP($A387&amp;" Corp","NAME"))</f>
        <v/>
      </c>
      <c r="C387" s="23" t="inlineStr">
        <is>
          <t>Largest multilateral development bank serving clients throughout Europe</t>
        </is>
      </c>
    </row>
    <row r="388">
      <c r="A388" s="23" t="inlineStr">
        <is>
          <t>XS2194790262</t>
        </is>
      </c>
      <c r="B388" s="92">
        <f>PROPER(_xll.BDP($A388&amp;" Corp","NAME"))</f>
        <v/>
      </c>
      <c r="C388" s="23" t="inlineStr">
        <is>
          <t>Largest multilateral development bank serving clients throughout Europe</t>
        </is>
      </c>
    </row>
    <row r="389">
      <c r="A389" s="23" t="inlineStr">
        <is>
          <t>EU000A3K4D41</t>
        </is>
      </c>
      <c r="B389" s="92">
        <f>PROPER(_xll.BDP($A389&amp;" Corp","NAME"))</f>
        <v/>
      </c>
      <c r="C389" s="23" t="inlineStr">
        <is>
          <t>An economic and political partnership between democratic European Countries</t>
        </is>
      </c>
    </row>
    <row r="390">
      <c r="A390" s="23" t="inlineStr">
        <is>
          <t>EU000A3K4DD8</t>
        </is>
      </c>
      <c r="B390" s="92">
        <f>PROPER(_xll.BDP($A390&amp;" Corp","NAME"))</f>
        <v/>
      </c>
      <c r="C390" s="23" t="inlineStr">
        <is>
          <t>An economic and political partnership between democratic european countries</t>
        </is>
      </c>
    </row>
    <row r="391">
      <c r="A391" s="23" t="inlineStr">
        <is>
          <t>EU000A3K4D41</t>
        </is>
      </c>
      <c r="B391" s="92">
        <f>PROPER(_xll.BDP($A391&amp;" Corp","NAME"))</f>
        <v/>
      </c>
      <c r="C391" s="23" t="inlineStr">
        <is>
          <t>An economic and political partnership between democratic european countries</t>
        </is>
      </c>
    </row>
    <row r="392">
      <c r="A392" s="23" t="inlineStr">
        <is>
          <t>EU000A3KTGV8</t>
        </is>
      </c>
      <c r="B392" s="92">
        <f>PROPER(_xll.BDP($A392&amp;" Corp","NAME"))</f>
        <v/>
      </c>
      <c r="C392" s="23" t="inlineStr">
        <is>
          <t>An economic and political partnership between democratic european countries</t>
        </is>
      </c>
    </row>
    <row r="393">
      <c r="A393" s="23" t="inlineStr">
        <is>
          <t>EU000A3K4DS6</t>
        </is>
      </c>
      <c r="B393" s="92">
        <f>PROPER(_xll.BDP($A393&amp;" Corp","NAME"))</f>
        <v/>
      </c>
      <c r="C393" s="23" t="inlineStr">
        <is>
          <t>An economic and political partnership between democratic european countries</t>
        </is>
      </c>
    </row>
    <row r="394">
      <c r="A394" s="92" t="inlineStr">
        <is>
          <t>XS2159887590</t>
        </is>
      </c>
      <c r="B394" s="92">
        <f>PROPER(_xll.BDP($A394&amp;" Corp","NAME"))</f>
        <v/>
      </c>
      <c r="C394" s="92" t="inlineStr">
        <is>
          <t>Diversified holding company</t>
        </is>
      </c>
    </row>
    <row r="395">
      <c r="A395" s="23" t="inlineStr">
        <is>
          <t>XS1959338630</t>
        </is>
      </c>
      <c r="B395" s="92">
        <f>PROPER(_xll.BDP($A395&amp;" Corp","NAME"))</f>
        <v/>
      </c>
      <c r="C395" s="23" t="inlineStr">
        <is>
          <t>Canada's official export credit agency</t>
        </is>
      </c>
    </row>
    <row r="396">
      <c r="A396" s="23" t="inlineStr">
        <is>
          <t>US30216BJU70</t>
        </is>
      </c>
      <c r="B396" s="92">
        <f>PROPER(_xll.BDP($A396&amp;" Corp","NAME"))</f>
        <v/>
      </c>
      <c r="C396" s="23" t="inlineStr">
        <is>
          <t>Export Credit Agency</t>
        </is>
      </c>
    </row>
    <row r="397">
      <c r="A397" s="23" t="inlineStr">
        <is>
          <t>US30216BJW37</t>
        </is>
      </c>
      <c r="B397" s="92">
        <f>PROPER(_xll.BDP($A397&amp;" Corp","NAME"))</f>
        <v/>
      </c>
      <c r="C397" s="23" t="inlineStr">
        <is>
          <t>Export Credit Agency</t>
        </is>
      </c>
    </row>
    <row r="398">
      <c r="A398" s="23" t="inlineStr">
        <is>
          <t>XS2579195954</t>
        </is>
      </c>
      <c r="B398" s="92">
        <f>PROPER(_xll.BDP($A398&amp;" Corp","NAME"))</f>
        <v/>
      </c>
      <c r="C398" s="23" t="inlineStr">
        <is>
          <t>Export credit agency</t>
        </is>
      </c>
    </row>
    <row r="399">
      <c r="A399" s="23" t="inlineStr">
        <is>
          <t>XS1959338630</t>
        </is>
      </c>
      <c r="B399" s="92">
        <f>PROPER(_xll.BDP($A399&amp;" Corp","NAME"))</f>
        <v/>
      </c>
      <c r="C399" s="23" t="inlineStr">
        <is>
          <t>Export credit agency</t>
        </is>
      </c>
    </row>
    <row r="400">
      <c r="A400" s="23" t="inlineStr">
        <is>
          <t>US30217G2C30</t>
        </is>
      </c>
      <c r="B400" s="92">
        <f>PROPER(_xll.BDP($A400&amp;" Corp","NAME"))</f>
        <v/>
      </c>
      <c r="C400" s="23" t="inlineStr">
        <is>
          <t>Korean export credit agency</t>
        </is>
      </c>
    </row>
    <row r="401">
      <c r="A401" s="23" t="inlineStr">
        <is>
          <t>US30216KAA07</t>
        </is>
      </c>
      <c r="B401" s="92">
        <f>PROPER(_xll.BDP($A401&amp;" Corp","NAME"))</f>
        <v/>
      </c>
      <c r="C401" s="23" t="inlineStr">
        <is>
          <t>Operates as a bank to exporters and importers, 100% state-owned</t>
        </is>
      </c>
    </row>
    <row r="402">
      <c r="A402" s="23" t="inlineStr">
        <is>
          <t>US30216KAC62</t>
        </is>
      </c>
      <c r="B402" s="92">
        <f>PROPER(_xll.BDP($A402&amp;" Corp","NAME"))</f>
        <v/>
      </c>
      <c r="C402" s="23" t="inlineStr">
        <is>
          <t>Operates as a bank to exporters and importers, 100% state-owned</t>
        </is>
      </c>
    </row>
    <row r="403">
      <c r="A403" s="23" t="inlineStr">
        <is>
          <t>US30216KAE29</t>
        </is>
      </c>
      <c r="B403" s="92">
        <f>PROPER(_xll.BDP($A403&amp;" Corp","NAME"))</f>
        <v/>
      </c>
      <c r="C403" s="23" t="inlineStr">
        <is>
          <t>Operates as a bank to exporters and importers, 100% state-owned</t>
        </is>
      </c>
    </row>
    <row r="404">
      <c r="A404" s="23" t="inlineStr">
        <is>
          <t>US30216KAF93</t>
        </is>
      </c>
      <c r="B404" s="92">
        <f>PROPER(_xll.BDP($A404&amp;" Corp","NAME"))</f>
        <v/>
      </c>
      <c r="C404" s="23" t="inlineStr">
        <is>
          <t>Operates as a bank to exporters and importers, 100% state-owned</t>
        </is>
      </c>
    </row>
    <row r="405">
      <c r="A405" s="23" t="inlineStr">
        <is>
          <t>US30216KAG76</t>
        </is>
      </c>
      <c r="B405" s="92">
        <f>PROPER(_xll.BDP($A405&amp;" Corp","NAME"))</f>
        <v/>
      </c>
      <c r="C405" s="23" t="inlineStr">
        <is>
          <t>Operates as a bank to exporters and importers, 100% state-owned</t>
        </is>
      </c>
    </row>
    <row r="406">
      <c r="A406" s="23" t="inlineStr">
        <is>
          <t>XS2576361195</t>
        </is>
      </c>
      <c r="B406" s="92">
        <f>PROPER(_xll.BDP($A406&amp;" Corp","NAME"))</f>
        <v/>
      </c>
      <c r="C406" s="23" t="inlineStr">
        <is>
          <t>Biggest bank in the UAE and 2nd in the Gulf Cooperation Council</t>
        </is>
      </c>
    </row>
    <row r="407">
      <c r="A407" s="23" t="inlineStr">
        <is>
          <t>XS2747271018</t>
        </is>
      </c>
      <c r="B407" s="92">
        <f>PROPER(_xll.BDP($A407&amp;" Corp","NAME"))</f>
        <v/>
      </c>
      <c r="C407" s="23" t="inlineStr">
        <is>
          <t>Biggest bank in the UAE and 2nd in the Gulf Cooperation Council</t>
        </is>
      </c>
    </row>
    <row r="408">
      <c r="A408" s="23" t="inlineStr">
        <is>
          <t>US105756BV13</t>
        </is>
      </c>
      <c r="B408" s="92">
        <f>PROPER(_xll.BDP($A408&amp;" Corp","NAME"))</f>
        <v/>
      </c>
      <c r="C408" s="23" t="inlineStr">
        <is>
          <t>Brazilian Governemnt</t>
        </is>
      </c>
    </row>
    <row r="409">
      <c r="A409" s="23" t="inlineStr">
        <is>
          <t>US105756BX78</t>
        </is>
      </c>
      <c r="B409" s="92">
        <f>PROPER(_xll.BDP($A409&amp;" Corp","NAME"))</f>
        <v/>
      </c>
      <c r="C409" s="23" t="inlineStr">
        <is>
          <t>Brazilian Governemnt</t>
        </is>
      </c>
    </row>
    <row r="410">
      <c r="A410" s="23" t="inlineStr">
        <is>
          <t>US105756AE07</t>
        </is>
      </c>
      <c r="B410" s="92">
        <f>PROPER(_xll.BDP($A410&amp;" Corp","NAME"))</f>
        <v/>
      </c>
      <c r="C410" s="23" t="inlineStr">
        <is>
          <t>Brazilian Governemnt</t>
        </is>
      </c>
    </row>
    <row r="411">
      <c r="A411" s="23" t="inlineStr">
        <is>
          <t>US105756BZ27</t>
        </is>
      </c>
      <c r="B411" s="92">
        <f>PROPER(_xll.BDP($A411&amp;" Corp","NAME"))</f>
        <v/>
      </c>
      <c r="C411" s="23" t="inlineStr">
        <is>
          <t>Brazilian Governemnt</t>
        </is>
      </c>
    </row>
    <row r="412">
      <c r="A412" s="23" t="inlineStr">
        <is>
          <t>US105756BB58</t>
        </is>
      </c>
      <c r="B412" s="92">
        <f>PROPER(_xll.BDP($A412&amp;" Corp","NAME"))</f>
        <v/>
      </c>
      <c r="C412" s="23" t="inlineStr">
        <is>
          <t>Brazilian Governemnt</t>
        </is>
      </c>
    </row>
    <row r="413">
      <c r="A413" s="23" t="inlineStr">
        <is>
          <t>US105756BK57</t>
        </is>
      </c>
      <c r="B413" s="92">
        <f>PROPER(_xll.BDP($A413&amp;" Corp","NAME"))</f>
        <v/>
      </c>
      <c r="C413" s="23" t="inlineStr">
        <is>
          <t>Brazilian Governemnt</t>
        </is>
      </c>
    </row>
    <row r="414">
      <c r="A414" s="23" t="inlineStr">
        <is>
          <t>US105756BW95</t>
        </is>
      </c>
      <c r="B414" s="92">
        <f>PROPER(_xll.BDP($A414&amp;" Corp","NAME"))</f>
        <v/>
      </c>
      <c r="C414" s="23" t="inlineStr">
        <is>
          <t>Brazilian Governemnt</t>
        </is>
      </c>
    </row>
    <row r="415">
      <c r="A415" s="23" t="inlineStr">
        <is>
          <t>XS2824763044</t>
        </is>
      </c>
      <c r="B415" s="92">
        <f>PROPER(_xll.BDP($A415&amp;" Corp","NAME"))</f>
        <v/>
      </c>
      <c r="C415" s="23" t="inlineStr">
        <is>
          <t>Luxury sports car manufacturer</t>
        </is>
      </c>
    </row>
    <row r="416">
      <c r="A416" s="23" t="inlineStr">
        <is>
          <t>XS2587708624</t>
        </is>
      </c>
      <c r="B416" s="92">
        <f>PROPER(_xll.BDP($A416&amp;" Corp","NAME"))</f>
        <v/>
      </c>
      <c r="C416" s="23" t="inlineStr">
        <is>
          <t xml:space="preserve">Provides rail transportation, catering and tourism services </t>
        </is>
      </c>
    </row>
    <row r="417">
      <c r="A417" s="23" t="inlineStr">
        <is>
          <t>FI4000557525</t>
        </is>
      </c>
      <c r="B417" s="92">
        <f>PROPER(_xll.BDP($A417&amp;" Corp","NAME"))</f>
        <v/>
      </c>
      <c r="C417" s="23" t="inlineStr">
        <is>
          <t>Finland Government bond</t>
        </is>
      </c>
    </row>
    <row r="418">
      <c r="A418" s="23" t="inlineStr">
        <is>
          <t>FI4000415153</t>
        </is>
      </c>
      <c r="B418" s="92">
        <f>PROPER(_xll.BDP($A418&amp;" Corp","NAME"))</f>
        <v/>
      </c>
      <c r="C418" s="23" t="inlineStr">
        <is>
          <t>Finland Government bond</t>
        </is>
      </c>
    </row>
    <row r="419">
      <c r="A419" s="23" t="inlineStr">
        <is>
          <t>FI4000571104</t>
        </is>
      </c>
      <c r="B419" s="92">
        <f>PROPER(_xll.BDP($A419&amp;" Corp","NAME"))</f>
        <v/>
      </c>
      <c r="C419" s="23" t="inlineStr">
        <is>
          <t>Finland Government bond</t>
        </is>
      </c>
    </row>
    <row r="420">
      <c r="A420" s="23" t="inlineStr">
        <is>
          <t>XS1392927072</t>
        </is>
      </c>
      <c r="B420" s="92">
        <f>PROPER(_xll.BDP($A420&amp;" Corp","NAME"))</f>
        <v/>
      </c>
      <c r="C420" s="23" t="inlineStr">
        <is>
          <t>Finnish government insitution that provides financing for SMEs</t>
        </is>
      </c>
    </row>
    <row r="421">
      <c r="A421" s="23" t="inlineStr">
        <is>
          <t>XS1392927072</t>
        </is>
      </c>
      <c r="B421" s="92">
        <f>PROPER(_xll.BDP($A421&amp;" Corp","NAME"))</f>
        <v/>
      </c>
      <c r="C421" s="23" t="inlineStr">
        <is>
          <t>Operates as a financing company</t>
        </is>
      </c>
    </row>
    <row r="422">
      <c r="A422" s="23" t="inlineStr">
        <is>
          <t>XS1979447064</t>
        </is>
      </c>
      <c r="B422" s="92">
        <f>PROPER(_xll.BDP($A422&amp;" Corp","NAME"))</f>
        <v/>
      </c>
      <c r="C422" s="23" t="inlineStr">
        <is>
          <t>Operates as a financing company</t>
        </is>
      </c>
    </row>
    <row r="423">
      <c r="A423" s="23" t="inlineStr">
        <is>
          <t>XS2466186074</t>
        </is>
      </c>
      <c r="B423" s="92">
        <f>PROPER(_xll.BDP($A423&amp;" Corp","NAME"))</f>
        <v/>
      </c>
      <c r="C423" s="23" t="inlineStr">
        <is>
          <t>Biggest bank in the UAE and 2nd in the Gulf Cooperation Council</t>
        </is>
      </c>
    </row>
    <row r="424">
      <c r="A424" s="23" t="inlineStr">
        <is>
          <t xml:space="preserve"> XS2765576538</t>
        </is>
      </c>
      <c r="B424" s="92">
        <f>PROPER(_xll.BDP($A424&amp;" Corp","NAME"))</f>
        <v/>
      </c>
      <c r="C424" s="23" t="inlineStr">
        <is>
          <t>Biggest bank in the UAE and 2nd in the Gulf Cooperation Council</t>
        </is>
      </c>
    </row>
    <row r="425">
      <c r="A425" s="23" t="inlineStr">
        <is>
          <t>CH1145096181</t>
        </is>
      </c>
      <c r="B425" s="92">
        <f>PROPER(_xll.BDP($A425&amp;" Corp","NAME"))</f>
        <v/>
      </c>
      <c r="C425" s="23" t="inlineStr">
        <is>
          <t>United Arab Emirates Bank</t>
        </is>
      </c>
    </row>
    <row r="426">
      <c r="A426" s="23" t="inlineStr">
        <is>
          <t>USQ3919KAN11</t>
        </is>
      </c>
      <c r="B426" s="92">
        <f>PROPER(_xll.BDP($A426&amp;" Corp","NAME"))</f>
        <v/>
      </c>
      <c r="C426" s="23" t="inlineStr">
        <is>
          <t xml:space="preserve">Iron ore producer and explorer operating in the Western Australia. </t>
        </is>
      </c>
    </row>
    <row r="427">
      <c r="A427" s="23" t="inlineStr">
        <is>
          <t>CH1344316711</t>
        </is>
      </c>
      <c r="B427" s="92">
        <f>PROPER(_xll.BDP($A427&amp;" Corp","NAME"))</f>
        <v/>
      </c>
      <c r="C427" s="23" t="inlineStr">
        <is>
          <t xml:space="preserve">Development bank of Argentina, Brazil, Bolivia, Paraguay and Uruguay </t>
        </is>
      </c>
    </row>
    <row r="428">
      <c r="A428" s="92" t="inlineStr">
        <is>
          <t>US345397C270</t>
        </is>
      </c>
      <c r="B428" s="92">
        <f>PROPER(_xll.BDP($A428&amp;" Corp","NAME"))</f>
        <v/>
      </c>
      <c r="C428" s="92" t="inlineStr">
        <is>
          <t>Global automotive manufacturer</t>
        </is>
      </c>
    </row>
    <row r="429">
      <c r="A429" s="92" t="inlineStr">
        <is>
          <t>US345397E250</t>
        </is>
      </c>
      <c r="B429" s="92">
        <f>PROPER(_xll.BDP($A429&amp;" Corp","NAME"))</f>
        <v/>
      </c>
      <c r="C429" s="92" t="inlineStr">
        <is>
          <t>Global automotive manufacturer</t>
        </is>
      </c>
    </row>
    <row r="430">
      <c r="A430" s="92" t="inlineStr">
        <is>
          <t>XS1959498244</t>
        </is>
      </c>
      <c r="B430" s="92">
        <f>PROPER(_xll.BDP($A430&amp;" Corp","NAME"))</f>
        <v/>
      </c>
      <c r="C430" s="92" t="inlineStr">
        <is>
          <t>Global automotive manufacturer</t>
        </is>
      </c>
    </row>
    <row r="431">
      <c r="A431" s="92" t="inlineStr">
        <is>
          <t>XS2116728895</t>
        </is>
      </c>
      <c r="B431" s="92">
        <f>PROPER(_xll.BDP($A431&amp;" Corp","NAME"))</f>
        <v/>
      </c>
      <c r="C431" s="92" t="inlineStr">
        <is>
          <t>Global automotive manufacturer</t>
        </is>
      </c>
    </row>
    <row r="432">
      <c r="A432" s="23" t="inlineStr">
        <is>
          <t>XS2229875989</t>
        </is>
      </c>
      <c r="B432" s="92">
        <f>PROPER(_xll.BDP($A432&amp;" Corp","NAME"))</f>
        <v/>
      </c>
      <c r="C432" s="23" t="inlineStr">
        <is>
          <t>Global automotive manufacturer</t>
        </is>
      </c>
    </row>
    <row r="433">
      <c r="A433" s="23" t="inlineStr">
        <is>
          <t>XS2724457457</t>
        </is>
      </c>
      <c r="B433" s="92">
        <f>PROPER(_xll.BDP($A433&amp;" Corp","NAME"))</f>
        <v/>
      </c>
      <c r="C433" s="23" t="inlineStr">
        <is>
          <t>Global automotive manufacturer</t>
        </is>
      </c>
    </row>
    <row r="434">
      <c r="A434" s="23" t="inlineStr">
        <is>
          <t>XS2767246908</t>
        </is>
      </c>
      <c r="B434" s="92">
        <f>PROPER(_xll.BDP($A434&amp;" Corp","NAME"))</f>
        <v/>
      </c>
      <c r="C434" s="23" t="inlineStr">
        <is>
          <t>Global automotive manufacturer</t>
        </is>
      </c>
    </row>
    <row r="435">
      <c r="A435" s="23" t="inlineStr">
        <is>
          <t>XS2782775345</t>
        </is>
      </c>
      <c r="B435" s="92">
        <f>PROPER(_xll.BDP($A435&amp;" Corp","NAME"))</f>
        <v/>
      </c>
      <c r="C435" s="23" t="inlineStr">
        <is>
          <t>Auto supplier JV between Ford and Koc Holding</t>
        </is>
      </c>
    </row>
    <row r="436">
      <c r="A436" s="23" t="inlineStr">
        <is>
          <t>XS1956037664</t>
        </is>
      </c>
      <c r="B436" s="92">
        <f>PROPER(_xll.BDP($A436&amp;" Corp","NAME"))</f>
        <v/>
      </c>
      <c r="C436" s="23" t="inlineStr">
        <is>
          <t>Finnish provider of energy related products and services</t>
        </is>
      </c>
    </row>
    <row r="437">
      <c r="A437" s="23" t="inlineStr">
        <is>
          <t>XS2405483301</t>
        </is>
      </c>
      <c r="B437" s="92">
        <f>PROPER(_xll.BDP($A437&amp;" Corp","NAME"))</f>
        <v/>
      </c>
      <c r="C437" s="23" t="inlineStr">
        <is>
          <t>Global automotive part manufacturer</t>
        </is>
      </c>
    </row>
    <row r="438">
      <c r="A438" s="23" t="inlineStr">
        <is>
          <t>XS2081474046</t>
        </is>
      </c>
      <c r="B438" s="92">
        <f>PROPER(_xll.BDP($A438&amp;" Corp","NAME"))</f>
        <v/>
      </c>
      <c r="C438" s="23" t="inlineStr">
        <is>
          <t>Global automotive part manufacturer</t>
        </is>
      </c>
    </row>
    <row r="439">
      <c r="A439" s="23" t="inlineStr">
        <is>
          <t>FR001400H7V7</t>
        </is>
      </c>
      <c r="B439" s="92">
        <f>PROPER(_xll.BDP($A439&amp;" Corp","NAME"))</f>
        <v/>
      </c>
      <c r="C439" s="23" t="inlineStr">
        <is>
          <t>France governemnt bond</t>
        </is>
      </c>
    </row>
    <row r="440">
      <c r="A440" s="23" t="inlineStr">
        <is>
          <t>XS1854532949</t>
        </is>
      </c>
      <c r="B440" s="92">
        <f>PROPER(_xll.BDP($A440&amp;" Corp","NAME"))</f>
        <v/>
      </c>
      <c r="C440" s="23" t="inlineStr">
        <is>
          <t>Leading Healthcare company in dialysis</t>
        </is>
      </c>
    </row>
    <row r="441">
      <c r="A441" s="92" t="inlineStr">
        <is>
          <t>XS2482872251</t>
        </is>
      </c>
      <c r="B441" s="92">
        <f>PROPER(_xll.BDP($A441&amp;" Corp","NAME"))</f>
        <v/>
      </c>
      <c r="C441" s="92" t="inlineStr">
        <is>
          <t>One of the world's leading healthcare companies</t>
        </is>
      </c>
    </row>
    <row r="442">
      <c r="A442" s="23" t="inlineStr">
        <is>
          <t>XS2329602135</t>
        </is>
      </c>
      <c r="B442" s="92">
        <f>PROPER(_xll.BDP($A442&amp;" Corp","NAME"))</f>
        <v/>
      </c>
      <c r="C442" s="23" t="inlineStr">
        <is>
          <t>Offers airport services, flights, cargo handling, and other related services</t>
        </is>
      </c>
    </row>
    <row r="443">
      <c r="A443" s="92" t="inlineStr">
        <is>
          <t>XS1047788523</t>
        </is>
      </c>
      <c r="B443" s="92">
        <f>PROPER(_xll.BDP($A443&amp;" Corp","NAME"))</f>
        <v/>
      </c>
      <c r="C443" s="92" t="inlineStr">
        <is>
          <t>Second largest airport in the UK</t>
        </is>
      </c>
    </row>
    <row r="444">
      <c r="A444" s="23" t="inlineStr">
        <is>
          <t>US37045XCD66</t>
        </is>
      </c>
      <c r="B444" s="92">
        <f>PROPER(_xll.BDP($A444&amp;" Corp","NAME"))</f>
        <v/>
      </c>
      <c r="C444" s="23" t="inlineStr">
        <is>
          <t>World's third largest automaker owning Chevrolet, Buick and Cadillac</t>
        </is>
      </c>
    </row>
    <row r="445">
      <c r="A445" s="23" t="inlineStr">
        <is>
          <t>US37045XEB82</t>
        </is>
      </c>
      <c r="B445" s="92">
        <f>PROPER(_xll.BDP($A445&amp;" Corp","NAME"))</f>
        <v/>
      </c>
      <c r="C445" s="23" t="inlineStr">
        <is>
          <t>World's third largest automaker owning Chevrolet, Buick and Cadillac</t>
        </is>
      </c>
    </row>
    <row r="446">
      <c r="A446" s="23" t="inlineStr">
        <is>
          <t>US37045XED49</t>
        </is>
      </c>
      <c r="B446" s="92">
        <f>PROPER(_xll.BDP($A446&amp;" Corp","NAME"))</f>
        <v/>
      </c>
      <c r="C446" s="23" t="inlineStr">
        <is>
          <t>World's third largest automaker owning Chevrolet, Buick and Cadillac</t>
        </is>
      </c>
    </row>
    <row r="447">
      <c r="A447" s="23" t="inlineStr">
        <is>
          <t>XS2049548527</t>
        </is>
      </c>
      <c r="B447" s="92">
        <f>PROPER(_xll.BDP($A447&amp;" Corp","NAME"))</f>
        <v/>
      </c>
      <c r="C447" s="23" t="inlineStr">
        <is>
          <t>World's third largest automaker owning Chevrolet, Buick and Cadillac</t>
        </is>
      </c>
    </row>
    <row r="448">
      <c r="A448" s="23" t="inlineStr">
        <is>
          <t>XS2384288747</t>
        </is>
      </c>
      <c r="B448" s="92">
        <f>PROPER(_xll.BDP($A448&amp;" Corp","NAME"))</f>
        <v/>
      </c>
      <c r="C448" s="23" t="inlineStr">
        <is>
          <t>World's third largest automaker owning Chevrolet, Buick and Cadillac</t>
        </is>
      </c>
    </row>
    <row r="449">
      <c r="A449" s="23" t="inlineStr">
        <is>
          <t>XS1792505866</t>
        </is>
      </c>
      <c r="B449" s="92">
        <f>PROPER(_xll.BDP($A449&amp;" Corp","NAME"))</f>
        <v/>
      </c>
      <c r="C449" s="23" t="inlineStr">
        <is>
          <t>World's third largest automaker owning Chevrolet, Buick and Cadillac</t>
        </is>
      </c>
    </row>
    <row r="450">
      <c r="A450" s="23" t="inlineStr">
        <is>
          <t>XS2384274366</t>
        </is>
      </c>
      <c r="B450" s="92">
        <f>PROPER(_xll.BDP($A450&amp;" Corp","NAME"))</f>
        <v/>
      </c>
      <c r="C450" s="23" t="inlineStr">
        <is>
          <t>World's third largest automaker owning Chevrolet, Buick and Cadillac</t>
        </is>
      </c>
    </row>
    <row r="451">
      <c r="A451" s="23" t="inlineStr">
        <is>
          <t>USG3925DAD24</t>
        </is>
      </c>
      <c r="B451" s="92">
        <f>PROPER(_xll.BDP($A451&amp;" Corp","NAME"))</f>
        <v/>
      </c>
      <c r="C451" s="23" t="inlineStr">
        <is>
          <t>Leading producer of steel in the Americas</t>
        </is>
      </c>
    </row>
    <row r="452">
      <c r="A452" s="23" t="inlineStr">
        <is>
          <t>XS1814065345</t>
        </is>
      </c>
      <c r="B452" s="92">
        <f>PROPER(_xll.BDP($A452&amp;" Corp","NAME"))</f>
        <v/>
      </c>
      <c r="C452" s="23" t="inlineStr">
        <is>
          <t>Global automotive manufacturer</t>
        </is>
      </c>
    </row>
    <row r="453">
      <c r="A453" s="23" t="inlineStr">
        <is>
          <t>US655422AV53</t>
        </is>
      </c>
      <c r="B453" s="92">
        <f>PROPER(_xll.BDP($A453&amp;" Corp","NAME"))</f>
        <v/>
      </c>
      <c r="C453" s="23" t="inlineStr">
        <is>
          <t>Diversified natural resources company</t>
        </is>
      </c>
    </row>
    <row r="454">
      <c r="A454" s="23" t="inlineStr">
        <is>
          <t>XS2811096267</t>
        </is>
      </c>
      <c r="B454" s="92">
        <f>PROPER(_xll.BDP($A454&amp;" Corp","NAME"))</f>
        <v/>
      </c>
      <c r="C454" s="23" t="inlineStr">
        <is>
          <t>Diversified natural resources company</t>
        </is>
      </c>
    </row>
    <row r="455">
      <c r="A455" s="23" t="inlineStr">
        <is>
          <t>XS1968703345</t>
        </is>
      </c>
      <c r="B455" s="92">
        <f>PROPER(_xll.BDP($A455&amp;" Corp","NAME"))</f>
        <v/>
      </c>
      <c r="C455" s="23" t="inlineStr">
        <is>
          <t>Leading diversified natural resources group</t>
        </is>
      </c>
    </row>
    <row r="456">
      <c r="A456" s="23" t="inlineStr">
        <is>
          <t>CH0435590390</t>
        </is>
      </c>
      <c r="B456" s="92">
        <f>PROPER(_xll.BDP($A456&amp;" Corp","NAME"))</f>
        <v/>
      </c>
      <c r="C456" s="23" t="inlineStr">
        <is>
          <t>Leading diversified natural resources group</t>
        </is>
      </c>
    </row>
    <row r="457">
      <c r="A457" s="23" t="inlineStr">
        <is>
          <t>XS1202849086</t>
        </is>
      </c>
      <c r="B457" s="92">
        <f>PROPER(_xll.BDP($A457&amp;" Corp","NAME"))</f>
        <v/>
      </c>
      <c r="C457" s="23" t="inlineStr">
        <is>
          <t>Leading diversified natural resources group</t>
        </is>
      </c>
    </row>
    <row r="458">
      <c r="A458" s="23" t="inlineStr">
        <is>
          <t>USU37818BC10</t>
        </is>
      </c>
      <c r="B458" s="92">
        <f>PROPER(_xll.BDP($A458&amp;" Corp","NAME"))</f>
        <v/>
      </c>
      <c r="C458" s="23" t="inlineStr">
        <is>
          <t>Diversified natural resources company</t>
        </is>
      </c>
    </row>
    <row r="459">
      <c r="A459" s="23" t="inlineStr">
        <is>
          <t>USU37818BD92</t>
        </is>
      </c>
      <c r="B459" s="92">
        <f>PROPER(_xll.BDP($A459&amp;" Corp","NAME"))</f>
        <v/>
      </c>
      <c r="C459" s="23" t="inlineStr">
        <is>
          <t>Diversified natural resources company</t>
        </is>
      </c>
    </row>
    <row r="460">
      <c r="A460" s="23" t="inlineStr">
        <is>
          <t>USP47777AC43</t>
        </is>
      </c>
      <c r="B460" s="92">
        <f>PROPER(_xll.BDP($A460&amp;" Corp","NAME"))</f>
        <v/>
      </c>
      <c r="C460" s="23" t="inlineStr">
        <is>
          <t>Operates as an investment company</t>
        </is>
      </c>
    </row>
    <row r="461">
      <c r="A461" s="23" t="inlineStr">
        <is>
          <t>USP47777AA86</t>
        </is>
      </c>
      <c r="B461" s="92">
        <f>PROPER(_xll.BDP($A461&amp;" Corp","NAME"))</f>
        <v/>
      </c>
      <c r="C461" s="23" t="inlineStr">
        <is>
          <t>Operates as an investment company</t>
        </is>
      </c>
    </row>
    <row r="462">
      <c r="A462" s="92" t="inlineStr">
        <is>
          <t>US38141GZV93</t>
        </is>
      </c>
      <c r="B462" s="92">
        <f>PROPER(_xll.BDP($A462&amp;" Corp","NAME"))</f>
        <v/>
      </c>
      <c r="C462" s="92" t="inlineStr">
        <is>
          <t>One of the largest US investment banks</t>
        </is>
      </c>
    </row>
    <row r="463">
      <c r="A463" s="92" t="inlineStr">
        <is>
          <t>XS2473721210</t>
        </is>
      </c>
      <c r="B463" s="92">
        <f>PROPER(_xll.BDP($A463&amp;" Corp","NAME"))</f>
        <v/>
      </c>
      <c r="C463" s="92" t="inlineStr">
        <is>
          <t>One of the largest US investment banks</t>
        </is>
      </c>
    </row>
    <row r="464">
      <c r="A464" s="92" t="inlineStr">
        <is>
          <t>XS2441552192</t>
        </is>
      </c>
      <c r="B464" s="92">
        <f>PROPER(_xll.BDP($A464&amp;" Corp","NAME"))</f>
        <v/>
      </c>
      <c r="C464" s="92" t="inlineStr">
        <is>
          <t>One of the largest US investment banks</t>
        </is>
      </c>
    </row>
    <row r="465">
      <c r="A465" s="23" t="inlineStr">
        <is>
          <t>US38141GZU11</t>
        </is>
      </c>
      <c r="B465" s="92">
        <f>PROPER(_xll.BDP($A465&amp;" Corp","NAME"))</f>
        <v/>
      </c>
      <c r="C465" s="23" t="inlineStr">
        <is>
          <t>One of the largest US investment banks</t>
        </is>
      </c>
    </row>
    <row r="466">
      <c r="A466" s="23" t="inlineStr">
        <is>
          <t>US38141GYN86</t>
        </is>
      </c>
      <c r="B466" s="92">
        <f>PROPER(_xll.BDP($A466&amp;" Corp","NAME"))</f>
        <v/>
      </c>
      <c r="C466" s="23" t="inlineStr">
        <is>
          <t>One of the largest US investment banks</t>
        </is>
      </c>
    </row>
    <row r="467">
      <c r="A467" s="23" t="inlineStr">
        <is>
          <t>CH0379268672</t>
        </is>
      </c>
      <c r="B467" s="92">
        <f>PROPER(_xll.BDP($A467&amp;" Corp","NAME"))</f>
        <v/>
      </c>
      <c r="C467" s="23" t="inlineStr">
        <is>
          <t>One of the largest US investment banks</t>
        </is>
      </c>
    </row>
    <row r="468">
      <c r="A468" s="23" t="inlineStr">
        <is>
          <t>US382550BN08</t>
        </is>
      </c>
      <c r="B468" s="92">
        <f>PROPER(_xll.BDP($A468&amp;" Corp","NAME"))</f>
        <v/>
      </c>
      <c r="C468" s="23" t="inlineStr">
        <is>
          <t>Develops, distributes and sells tires</t>
        </is>
      </c>
    </row>
    <row r="469">
      <c r="A469" s="23" t="inlineStr">
        <is>
          <t>CH1251998220</t>
        </is>
      </c>
      <c r="B469" s="92">
        <f>PROPER(_xll.BDP($A469&amp;" Corp","NAME"))</f>
        <v/>
      </c>
      <c r="C469" s="23" t="inlineStr">
        <is>
          <t>provides hydroelectric power generation services through several dams in Switzerland</t>
        </is>
      </c>
    </row>
    <row r="470">
      <c r="A470" s="23" t="inlineStr">
        <is>
          <t>USN3700LAD75</t>
        </is>
      </c>
      <c r="B470" s="92">
        <f>PROPER(_xll.BDP($A470&amp;" Corp","NAME"))</f>
        <v/>
      </c>
      <c r="C470" s="23" t="inlineStr">
        <is>
          <t xml:space="preserve">renewable energy company </t>
        </is>
      </c>
    </row>
    <row r="471">
      <c r="A471" s="23" t="inlineStr">
        <is>
          <t>USV3855MAA54</t>
        </is>
      </c>
      <c r="B471" s="92">
        <f>PROPER(_xll.BDP($A471&amp;" Corp","NAME"))</f>
        <v/>
      </c>
      <c r="C471" s="23" t="inlineStr">
        <is>
          <t xml:space="preserve">renewable energy company </t>
        </is>
      </c>
    </row>
    <row r="472">
      <c r="A472" s="23" t="inlineStr">
        <is>
          <t>USV3855GAB69</t>
        </is>
      </c>
      <c r="B472" s="92">
        <f>PROPER(_xll.BDP($A472&amp;" Corp","NAME"))</f>
        <v/>
      </c>
      <c r="C472" s="23" t="inlineStr">
        <is>
          <t xml:space="preserve">renewable energy company </t>
        </is>
      </c>
    </row>
    <row r="473">
      <c r="A473" s="92" t="inlineStr">
        <is>
          <t>FR0013430840</t>
        </is>
      </c>
      <c r="B473" s="92">
        <f>PROPER(_xll.BDP($A473&amp;" Corp","NAME"))</f>
        <v/>
      </c>
      <c r="C473" s="92" t="inlineStr">
        <is>
          <t>UMG Groupe VYV provides managed care services</t>
        </is>
      </c>
    </row>
    <row r="474">
      <c r="A474" s="23" t="inlineStr">
        <is>
          <t>USP4955MAA91</t>
        </is>
      </c>
      <c r="B474" s="92">
        <f>PROPER(_xll.BDP($A474&amp;" Corp","NAME"))</f>
        <v/>
      </c>
      <c r="C474" s="23" t="inlineStr">
        <is>
          <t xml:space="preserve">Non-food retailer </t>
        </is>
      </c>
    </row>
    <row r="475">
      <c r="A475" s="23" t="inlineStr">
        <is>
          <t>USG2440JAG07</t>
        </is>
      </c>
      <c r="B475" s="92">
        <f>PROPER(_xll.BDP($A475&amp;" Corp","NAME"))</f>
        <v/>
      </c>
      <c r="C475" s="23" t="inlineStr">
        <is>
          <t>Leading producer of steel in the Americas</t>
        </is>
      </c>
    </row>
    <row r="476">
      <c r="A476" s="23" t="inlineStr">
        <is>
          <t>US406216BG59</t>
        </is>
      </c>
      <c r="B476" s="92">
        <f>PROPER(_xll.BDP($A476&amp;" Corp","NAME"))</f>
        <v/>
      </c>
      <c r="C476" s="23" t="inlineStr">
        <is>
          <t>One of the larstest oil field services companies</t>
        </is>
      </c>
    </row>
    <row r="477">
      <c r="A477" s="23" t="inlineStr">
        <is>
          <t>XS2607183980</t>
        </is>
      </c>
      <c r="B477" s="92">
        <f>PROPER(_xll.BDP($A477&amp;" Corp","NAME"))</f>
        <v/>
      </c>
      <c r="C477" s="23" t="inlineStr">
        <is>
          <t>Provider of automobile financing services for Harley-Davidson</t>
        </is>
      </c>
    </row>
    <row r="478">
      <c r="A478" s="92" t="inlineStr">
        <is>
          <t>US404119CP27</t>
        </is>
      </c>
      <c r="B478" s="92">
        <f>PROPER(_xll.BDP($A478&amp;" Corp","NAME"))</f>
        <v/>
      </c>
      <c r="C478" s="92" t="inlineStr">
        <is>
          <t>Provides health care services</t>
        </is>
      </c>
    </row>
    <row r="479">
      <c r="A479" s="92" t="inlineStr">
        <is>
          <t>US404119CQ00</t>
        </is>
      </c>
      <c r="B479" s="92">
        <f>PROPER(_xll.BDP($A479&amp;" Corp","NAME"))</f>
        <v/>
      </c>
      <c r="C479" s="92" t="inlineStr">
        <is>
          <t>Provides health care services</t>
        </is>
      </c>
    </row>
    <row r="480">
      <c r="A480" s="23" t="inlineStr">
        <is>
          <t>XS1622694617</t>
        </is>
      </c>
      <c r="B480" s="92">
        <f>PROPER(_xll.BDP($A480&amp;" Corp","NAME"))</f>
        <v/>
      </c>
      <c r="C480" s="23" t="inlineStr">
        <is>
          <t>Offers airport services, flights, cargo handling, and other related services</t>
        </is>
      </c>
    </row>
    <row r="481">
      <c r="A481" s="92" t="inlineStr">
        <is>
          <t xml:space="preserve"> XS2777627907</t>
        </is>
      </c>
      <c r="B481" s="92">
        <f>PROPER(_xll.BDP($A481&amp;" Corp","NAME"))</f>
        <v/>
      </c>
      <c r="C481" s="92" t="inlineStr">
        <is>
          <t>UK's largest airport</t>
        </is>
      </c>
    </row>
    <row r="482">
      <c r="A482" s="92" t="inlineStr">
        <is>
          <t>XS2328823104</t>
        </is>
      </c>
      <c r="B482" s="92">
        <f>PROPER(_xll.BDP($A482&amp;" Corp","NAME"))</f>
        <v/>
      </c>
      <c r="C482" s="92" t="inlineStr">
        <is>
          <t>UK's largest airport</t>
        </is>
      </c>
    </row>
    <row r="483">
      <c r="A483" s="23" t="inlineStr">
        <is>
          <t>CH1184694722</t>
        </is>
      </c>
      <c r="B483" s="92">
        <f>PROPER(_xll.BDP($A483&amp;" Corp","NAME"))</f>
        <v/>
      </c>
      <c r="C483" s="23" t="inlineStr">
        <is>
          <t>UK's largest airport</t>
        </is>
      </c>
    </row>
    <row r="484">
      <c r="A484" s="23" t="inlineStr">
        <is>
          <t>CH0467182413</t>
        </is>
      </c>
      <c r="B484" s="92">
        <f>PROPER(_xll.BDP($A484&amp;" Corp","NAME"))</f>
        <v/>
      </c>
      <c r="C484" s="23" t="inlineStr">
        <is>
          <t>UK's largest airport</t>
        </is>
      </c>
    </row>
    <row r="485">
      <c r="A485" s="23" t="inlineStr">
        <is>
          <t>XS2721465271</t>
        </is>
      </c>
      <c r="B485" s="92">
        <f>PROPER(_xll.BDP($A485&amp;" Corp","NAME"))</f>
        <v/>
      </c>
      <c r="C485" s="23" t="inlineStr">
        <is>
          <t>manufactures building materials</t>
        </is>
      </c>
    </row>
    <row r="486">
      <c r="A486" s="23" t="inlineStr">
        <is>
          <t>USU4328RAG93</t>
        </is>
      </c>
      <c r="B486" s="92">
        <f>PROPER(_xll.BDP($A486&amp;" Corp","NAME"))</f>
        <v/>
      </c>
      <c r="C486" s="23" t="inlineStr">
        <is>
          <t>Owns and operates hotels and motels</t>
        </is>
      </c>
    </row>
    <row r="487">
      <c r="A487" s="23" t="inlineStr">
        <is>
          <t>CH0433761274</t>
        </is>
      </c>
      <c r="B487" s="92">
        <f>PROPER(_xll.BDP($A487&amp;" Corp","NAME"))</f>
        <v/>
      </c>
      <c r="C487" s="23" t="inlineStr">
        <is>
          <t xml:space="preserve">Provides construction materials and solutions </t>
        </is>
      </c>
    </row>
    <row r="488">
      <c r="A488" s="92" t="inlineStr">
        <is>
          <t>XS2384273715</t>
        </is>
      </c>
      <c r="B488" s="92">
        <f>PROPER(_xll.BDP($A488&amp;" Corp","NAME"))</f>
        <v/>
      </c>
      <c r="C488" s="92" t="inlineStr">
        <is>
          <t xml:space="preserve">provides construction materials and solutions </t>
        </is>
      </c>
    </row>
    <row r="489">
      <c r="A489" s="23" t="inlineStr">
        <is>
          <t>CH1154887140</t>
        </is>
      </c>
      <c r="B489" s="92">
        <f>PROPER(_xll.BDP($A489&amp;" Corp","NAME"))</f>
        <v/>
      </c>
      <c r="C489" s="23" t="inlineStr">
        <is>
          <t>Provides construction materials and solutions</t>
        </is>
      </c>
    </row>
    <row r="490">
      <c r="A490" s="23" t="inlineStr">
        <is>
          <t>CH1154887132</t>
        </is>
      </c>
      <c r="B490" s="92">
        <f>PROPER(_xll.BDP($A490&amp;" Corp","NAME"))</f>
        <v/>
      </c>
      <c r="C490" s="23" t="inlineStr">
        <is>
          <t>Provides construction materials and solutions</t>
        </is>
      </c>
    </row>
    <row r="491">
      <c r="A491" s="23" t="inlineStr">
        <is>
          <t>US437076CH36</t>
        </is>
      </c>
      <c r="B491" s="92">
        <f>PROPER(_xll.BDP($A491&amp;" Corp","NAME"))</f>
        <v/>
      </c>
      <c r="C491" s="23" t="inlineStr">
        <is>
          <t>Home improvement retailer</t>
        </is>
      </c>
    </row>
    <row r="492">
      <c r="A492" s="23" t="inlineStr">
        <is>
          <t>US437076CK64</t>
        </is>
      </c>
      <c r="B492" s="92">
        <f>PROPER(_xll.BDP($A492&amp;" Corp","NAME"))</f>
        <v/>
      </c>
      <c r="C492" s="23" t="inlineStr">
        <is>
          <t>Home improvement retailer</t>
        </is>
      </c>
    </row>
    <row r="493">
      <c r="A493" s="23" t="inlineStr">
        <is>
          <t xml:space="preserve">XS2624938655 </t>
        </is>
      </c>
      <c r="B493" s="92">
        <f>PROPER(_xll.BDP($A493&amp;" Corp","NAME"))</f>
        <v/>
      </c>
      <c r="C493" s="23" t="inlineStr">
        <is>
          <t>Worldwide technology and manufacturing company</t>
        </is>
      </c>
    </row>
    <row r="494">
      <c r="A494" s="23" t="inlineStr">
        <is>
          <t xml:space="preserve">XS2624938739 </t>
        </is>
      </c>
      <c r="B494" s="92">
        <f>PROPER(_xll.BDP($A494&amp;" Corp","NAME"))</f>
        <v/>
      </c>
      <c r="C494" s="23" t="inlineStr">
        <is>
          <t>Worldwide technology and manufacturing company</t>
        </is>
      </c>
    </row>
    <row r="495">
      <c r="A495" s="23" t="inlineStr">
        <is>
          <t>USY3422VCS52</t>
        </is>
      </c>
      <c r="B495" s="92">
        <f>PROPER(_xll.BDP($A495&amp;" Corp","NAME"))</f>
        <v/>
      </c>
      <c r="C495" s="23" t="inlineStr">
        <is>
          <t>Government of Hong Kong</t>
        </is>
      </c>
    </row>
    <row r="496">
      <c r="A496" s="23" t="inlineStr">
        <is>
          <t>US42824CBK45</t>
        </is>
      </c>
      <c r="B496" s="92">
        <f>PROPER(_xll.BDP($A496&amp;" Corp","NAME"))</f>
        <v/>
      </c>
      <c r="C496" s="23" t="inlineStr">
        <is>
          <t>Hewlett Packard Entreprise Company provides information technology solutions</t>
        </is>
      </c>
    </row>
    <row r="497">
      <c r="A497" s="23" t="inlineStr">
        <is>
          <t>XS1716248197</t>
        </is>
      </c>
      <c r="B497" s="92">
        <f>PROPER(_xll.BDP($A497&amp;" Corp","NAME"))</f>
        <v/>
      </c>
      <c r="C497" s="23" t="inlineStr">
        <is>
          <t>UK largest banking and financial services group</t>
        </is>
      </c>
    </row>
    <row r="498">
      <c r="A498" s="23" t="inlineStr">
        <is>
          <t>US445545AQ90</t>
        </is>
      </c>
      <c r="B498" s="92">
        <f>PROPER(_xll.BDP($A498&amp;" Corp","NAME"))</f>
        <v/>
      </c>
      <c r="C498" s="23" t="inlineStr">
        <is>
          <t>Hungary government bnnd</t>
        </is>
      </c>
    </row>
    <row r="499">
      <c r="A499" s="23" t="inlineStr">
        <is>
          <t>XS2010026305</t>
        </is>
      </c>
      <c r="B499" s="92">
        <f>PROPER(_xll.BDP($A499&amp;" Corp","NAME"))</f>
        <v/>
      </c>
      <c r="C499" s="23" t="inlineStr">
        <is>
          <t>Hungary government bnnd</t>
        </is>
      </c>
    </row>
    <row r="500">
      <c r="A500" s="23" t="inlineStr">
        <is>
          <t>XS2574267261</t>
        </is>
      </c>
      <c r="B500" s="92">
        <f>PROPER(_xll.BDP($A500&amp;" Corp","NAME"))</f>
        <v/>
      </c>
      <c r="C500" s="23" t="inlineStr">
        <is>
          <t>Hungary government bnnd</t>
        </is>
      </c>
    </row>
    <row r="501">
      <c r="A501" s="23" t="inlineStr">
        <is>
          <t>USP5300PAB96</t>
        </is>
      </c>
      <c r="B501" s="92">
        <f>PROPER(_xll.BDP($A501&amp;" Corp","NAME"))</f>
        <v/>
      </c>
      <c r="C501" s="23" t="inlineStr">
        <is>
          <t xml:space="preserve">Oil and gas company </t>
        </is>
      </c>
    </row>
    <row r="502">
      <c r="A502" s="92" t="inlineStr">
        <is>
          <t>US44891CBG78</t>
        </is>
      </c>
      <c r="B502" s="92">
        <f>PROPER(_xll.BDP($A502&amp;" Corp","NAME"))</f>
        <v/>
      </c>
      <c r="C502" s="92" t="inlineStr">
        <is>
          <t>Provides commercial finance services</t>
        </is>
      </c>
    </row>
    <row r="503">
      <c r="A503" s="23" t="inlineStr">
        <is>
          <t>CH1239495042</t>
        </is>
      </c>
      <c r="B503" s="92">
        <f>PROPER(_xll.BDP($A503&amp;" Corp","NAME"))</f>
        <v/>
      </c>
      <c r="C503" s="23" t="inlineStr">
        <is>
          <t>Offers auto financing, durable goods financing, leasing services, and loans in Korea</t>
        </is>
      </c>
    </row>
    <row r="504">
      <c r="A504" s="92" t="inlineStr">
        <is>
          <t>XS2583741934</t>
        </is>
      </c>
      <c r="B504" s="92">
        <f>PROPER(_xll.BDP($A504&amp;" Corp","NAME"))</f>
        <v/>
      </c>
      <c r="C504" s="92" t="inlineStr">
        <is>
          <t>International Business Machines Corporation (IBM) provides computer solutions</t>
        </is>
      </c>
    </row>
    <row r="505">
      <c r="A505" s="23" t="inlineStr">
        <is>
          <t>US459200KW06</t>
        </is>
      </c>
      <c r="B505" s="92">
        <f>PROPER(_xll.BDP($A505&amp;" Corp","NAME"))</f>
        <v/>
      </c>
      <c r="C505" s="23" t="inlineStr">
        <is>
          <t>International Business Machines Corporation (IBM) provides computer solutions</t>
        </is>
      </c>
    </row>
    <row r="506">
      <c r="A506" s="23" t="inlineStr">
        <is>
          <t>US459200KX88</t>
        </is>
      </c>
      <c r="B506" s="92">
        <f>PROPER(_xll.BDP($A506&amp;" Corp","NAME"))</f>
        <v/>
      </c>
      <c r="C506" s="23" t="inlineStr">
        <is>
          <t>International Business Machines Corporation (IBM) provides computer solutions</t>
        </is>
      </c>
    </row>
    <row r="507">
      <c r="A507" s="23" t="inlineStr">
        <is>
          <t>US459200KY61</t>
        </is>
      </c>
      <c r="B507" s="92">
        <f>PROPER(_xll.BDP($A507&amp;" Corp","NAME"))</f>
        <v/>
      </c>
      <c r="C507" s="23" t="inlineStr">
        <is>
          <t>International Business Machines Corporation (IBM) provides computer solutions</t>
        </is>
      </c>
    </row>
    <row r="508">
      <c r="A508" s="23" t="inlineStr">
        <is>
          <t>US459200KZ37</t>
        </is>
      </c>
      <c r="B508" s="92">
        <f>PROPER(_xll.BDP($A508&amp;" Corp","NAME"))</f>
        <v/>
      </c>
      <c r="C508" s="23" t="inlineStr">
        <is>
          <t>International Business Machines Corporation (IBM) provides computer solutions</t>
        </is>
      </c>
    </row>
    <row r="509">
      <c r="A509" s="23" t="inlineStr">
        <is>
          <t>XS2583743047</t>
        </is>
      </c>
      <c r="B509" s="92">
        <f>PROPER(_xll.BDP($A509&amp;" Corp","NAME"))</f>
        <v/>
      </c>
      <c r="C509" s="23" t="inlineStr">
        <is>
          <t>International Business Machines Corporation (IBM) provides computer solutions</t>
        </is>
      </c>
    </row>
    <row r="510">
      <c r="A510" s="23" t="inlineStr">
        <is>
          <t>XS2583742239</t>
        </is>
      </c>
      <c r="B510" s="92">
        <f>PROPER(_xll.BDP($A510&amp;" Corp","NAME"))</f>
        <v/>
      </c>
      <c r="C510" s="23" t="inlineStr">
        <is>
          <t>International Business Machines Corporation (IBM) provides computer solutions</t>
        </is>
      </c>
    </row>
    <row r="511">
      <c r="A511" s="23" t="inlineStr">
        <is>
          <t>XS2583742585</t>
        </is>
      </c>
      <c r="B511" s="92">
        <f>PROPER(_xll.BDP($A511&amp;" Corp","NAME"))</f>
        <v/>
      </c>
      <c r="C511" s="23" t="inlineStr">
        <is>
          <t>International Business Machines Corporation (IBM) provides computer solutions</t>
        </is>
      </c>
    </row>
    <row r="512">
      <c r="A512" s="23" t="inlineStr">
        <is>
          <t>XS2583742668</t>
        </is>
      </c>
      <c r="B512" s="92">
        <f>PROPER(_xll.BDP($A512&amp;" Corp","NAME"))</f>
        <v/>
      </c>
      <c r="C512" s="23" t="inlineStr">
        <is>
          <t>International Business Machines Corporation (IBM) provides computer solutions</t>
        </is>
      </c>
    </row>
    <row r="513">
      <c r="A513" s="23" t="inlineStr">
        <is>
          <t>XS2333299324</t>
        </is>
      </c>
      <c r="B513" s="92">
        <f>PROPER(_xll.BDP($A513&amp;" Corp","NAME"))</f>
        <v/>
      </c>
      <c r="C513" s="23" t="inlineStr">
        <is>
          <t>Operates as a development financial institution</t>
        </is>
      </c>
    </row>
    <row r="514">
      <c r="A514" s="23" t="inlineStr">
        <is>
          <t>FR001400FIM6</t>
        </is>
      </c>
      <c r="B514" s="92">
        <f>PROPER(_xll.BDP($A514&amp;" Corp","NAME"))</f>
        <v/>
      </c>
      <c r="C514" s="23" t="inlineStr">
        <is>
          <t>Operates as the transport authority</t>
        </is>
      </c>
    </row>
    <row r="515">
      <c r="A515" s="23" t="inlineStr">
        <is>
          <t>XS2384533563</t>
        </is>
      </c>
      <c r="B515" s="92">
        <f>PROPER(_xll.BDP($A515&amp;" Corp","NAME"))</f>
        <v/>
      </c>
      <c r="C515" s="23" t="inlineStr">
        <is>
          <t xml:space="preserve">Chinese commercial bank </t>
        </is>
      </c>
    </row>
    <row r="516">
      <c r="A516" s="23" t="inlineStr">
        <is>
          <t>XS1733877762</t>
        </is>
      </c>
      <c r="B516" s="92">
        <f>PROPER(_xll.BDP($A516&amp;" Corp","NAME"))</f>
        <v/>
      </c>
      <c r="C516" s="23" t="inlineStr">
        <is>
          <t>Provides rail transportation, catering and tourism services, majority state-owned</t>
        </is>
      </c>
    </row>
    <row r="517">
      <c r="A517" s="23" t="inlineStr">
        <is>
          <t>US45434M2A91</t>
        </is>
      </c>
      <c r="B517" s="92">
        <f>PROPER(_xll.BDP($A517&amp;" Corp","NAME"))</f>
        <v/>
      </c>
      <c r="C517" s="23" t="inlineStr">
        <is>
          <t>largest utility company in Mumbai</t>
        </is>
      </c>
    </row>
    <row r="518">
      <c r="A518" s="23" t="inlineStr">
        <is>
          <t>US45434M2C57</t>
        </is>
      </c>
      <c r="B518" s="92">
        <f>PROPER(_xll.BDP($A518&amp;" Corp","NAME"))</f>
        <v/>
      </c>
      <c r="C518" s="23" t="inlineStr">
        <is>
          <t>Provides rail transportation, catering and tourism services, majority state-owned</t>
        </is>
      </c>
    </row>
    <row r="519">
      <c r="A519" s="23" t="inlineStr">
        <is>
          <t>US45434M2H45</t>
        </is>
      </c>
      <c r="B519" s="92">
        <f>PROPER(_xll.BDP($A519&amp;" Corp","NAME"))</f>
        <v/>
      </c>
      <c r="C519" s="23" t="inlineStr">
        <is>
          <t xml:space="preserve">Provides rail transportation, catering and tourism services </t>
        </is>
      </c>
    </row>
    <row r="520">
      <c r="A520" s="92" t="inlineStr">
        <is>
          <t>XS2526852350</t>
        </is>
      </c>
      <c r="B520" s="92">
        <f>PROPER(_xll.BDP($A520&amp;" Corp","NAME"))</f>
        <v/>
      </c>
      <c r="C520" s="92" t="inlineStr">
        <is>
          <t>Largest financial services in Netherlands</t>
        </is>
      </c>
    </row>
    <row r="521">
      <c r="A521" s="92" t="inlineStr">
        <is>
          <t>XS2483607474</t>
        </is>
      </c>
      <c r="B521" s="92">
        <f>PROPER(_xll.BDP($A521&amp;" Corp","NAME"))</f>
        <v/>
      </c>
      <c r="C521" s="92" t="inlineStr">
        <is>
          <t>Largest Dutch financial institution by total assets</t>
        </is>
      </c>
    </row>
    <row r="522">
      <c r="A522" s="23" t="inlineStr">
        <is>
          <t>XS1953146245</t>
        </is>
      </c>
      <c r="B522" s="92">
        <f>PROPER(_xll.BDP($A522&amp;" Corp","NAME"))</f>
        <v/>
      </c>
      <c r="C522" s="23" t="inlineStr">
        <is>
          <t>Largest financial services in Netherlands</t>
        </is>
      </c>
    </row>
    <row r="523">
      <c r="A523" s="23" t="inlineStr">
        <is>
          <t>XS2554746185</t>
        </is>
      </c>
      <c r="B523" s="92">
        <f>PROPER(_xll.BDP($A523&amp;" Corp","NAME"))</f>
        <v/>
      </c>
      <c r="C523" s="23" t="inlineStr">
        <is>
          <t>Largest Dutch financial institution by total assets</t>
        </is>
      </c>
    </row>
    <row r="524">
      <c r="A524" s="23" t="inlineStr">
        <is>
          <t>USP56236AB16</t>
        </is>
      </c>
      <c r="B524" s="92">
        <f>PROPER(_xll.BDP($A524&amp;" Corp","NAME"))</f>
        <v/>
      </c>
      <c r="C524" s="23" t="inlineStr">
        <is>
          <t>Operates as a multi-format retailer company</t>
        </is>
      </c>
    </row>
    <row r="525">
      <c r="A525" s="23" t="inlineStr">
        <is>
          <t>XS2586947082</t>
        </is>
      </c>
      <c r="B525" s="92">
        <f>PROPER(_xll.BDP($A525&amp;" Corp","NAME"))</f>
        <v/>
      </c>
      <c r="C525" s="23" t="inlineStr">
        <is>
          <t>Operates as government owned public sector bank</t>
        </is>
      </c>
    </row>
    <row r="526">
      <c r="A526" s="23" t="inlineStr">
        <is>
          <t>US458140CD04</t>
        </is>
      </c>
      <c r="B526" s="92">
        <f>PROPER(_xll.BDP($A526&amp;" Corp","NAME"))</f>
        <v/>
      </c>
      <c r="C526" s="23" t="inlineStr">
        <is>
          <t>One of the world's largest semiconductor companies</t>
        </is>
      </c>
    </row>
    <row r="527">
      <c r="A527" s="23" t="inlineStr">
        <is>
          <t>US458140BH27</t>
        </is>
      </c>
      <c r="B527" s="92">
        <f>PROPER(_xll.BDP($A527&amp;" Corp","NAME"))</f>
        <v/>
      </c>
      <c r="C527" s="23" t="inlineStr">
        <is>
          <t>One of the world's largest semiconductor companies</t>
        </is>
      </c>
    </row>
    <row r="528">
      <c r="A528" s="23" t="inlineStr">
        <is>
          <t>XS2594034998</t>
        </is>
      </c>
      <c r="B528" s="92">
        <f>PROPER(_xll.BDP($A528&amp;" Corp","NAME"))</f>
        <v/>
      </c>
      <c r="C528" s="23" t="inlineStr">
        <is>
          <t>Multilateral development institution operating across America</t>
        </is>
      </c>
    </row>
    <row r="529">
      <c r="A529" s="23" t="inlineStr">
        <is>
          <t>US4581X0CM87</t>
        </is>
      </c>
      <c r="B529" s="92">
        <f>PROPER(_xll.BDP($A529&amp;" Corp","NAME"))</f>
        <v/>
      </c>
      <c r="C529" s="23" t="inlineStr">
        <is>
          <t>Multilateral development institution operating across America</t>
        </is>
      </c>
    </row>
    <row r="530">
      <c r="A530" s="23" t="inlineStr">
        <is>
          <t>XS2473753841</t>
        </is>
      </c>
      <c r="B530" s="92">
        <f>PROPER(_xll.BDP($A530&amp;" Corp","NAME"))</f>
        <v/>
      </c>
      <c r="C530" s="23" t="inlineStr">
        <is>
          <t>Multilateral development institution operating across America</t>
        </is>
      </c>
    </row>
    <row r="531">
      <c r="A531" s="23" t="inlineStr">
        <is>
          <t>XS2297244878</t>
        </is>
      </c>
      <c r="B531" s="92">
        <f>PROPER(_xll.BDP($A531&amp;" Corp","NAME"))</f>
        <v/>
      </c>
      <c r="C531" s="23" t="inlineStr">
        <is>
          <t>A member of the Inter-American Development Bank Group</t>
        </is>
      </c>
    </row>
    <row r="532">
      <c r="A532" s="23" t="inlineStr">
        <is>
          <t>US45828Q2B29</t>
        </is>
      </c>
      <c r="B532" s="92">
        <f>PROPER(_xll.BDP($A532&amp;" Corp","NAME"))</f>
        <v/>
      </c>
      <c r="C532" s="23" t="inlineStr">
        <is>
          <t>A member of the Inter-American Development Bank Group</t>
        </is>
      </c>
    </row>
    <row r="533">
      <c r="A533" s="23" t="inlineStr">
        <is>
          <t>XS2547604715</t>
        </is>
      </c>
      <c r="B533" s="92">
        <f>PROPER(_xll.BDP($A533&amp;" Corp","NAME"))</f>
        <v/>
      </c>
      <c r="C533" s="23" t="inlineStr">
        <is>
          <t>A member of the Inter-American Development Bank Group</t>
        </is>
      </c>
    </row>
    <row r="534">
      <c r="A534" s="23" t="inlineStr">
        <is>
          <t>XS2633135699</t>
        </is>
      </c>
      <c r="B534" s="92">
        <f>PROPER(_xll.BDP($A534&amp;" Corp","NAME"))</f>
        <v/>
      </c>
      <c r="C534" s="23" t="inlineStr">
        <is>
          <t>A member of the Inter-American Development Bank Group</t>
        </is>
      </c>
    </row>
    <row r="535">
      <c r="A535" s="23" t="inlineStr">
        <is>
          <t>XS1480022315</t>
        </is>
      </c>
      <c r="B535" s="92">
        <f>PROPER(_xll.BDP($A535&amp;" Corp","NAME"))</f>
        <v/>
      </c>
      <c r="C535" s="23" t="inlineStr">
        <is>
          <t>Operates managed and franchised hotels</t>
        </is>
      </c>
    </row>
    <row r="536">
      <c r="A536" s="92" t="inlineStr">
        <is>
          <t>XS2559069849</t>
        </is>
      </c>
      <c r="B536" s="92">
        <f>PROPER(_xll.BDP($A536&amp;" Corp","NAME"))</f>
        <v/>
      </c>
      <c r="C536" s="92" t="inlineStr">
        <is>
          <t>One of the largest Italian banks</t>
        </is>
      </c>
    </row>
    <row r="537">
      <c r="A537" s="92" t="inlineStr">
        <is>
          <t>XS2015314037</t>
        </is>
      </c>
      <c r="B537" s="92">
        <f>PROPER(_xll.BDP($A537&amp;" Corp","NAME"))</f>
        <v/>
      </c>
      <c r="C537" s="92" t="inlineStr">
        <is>
          <t>One of the largest banks in Italy</t>
        </is>
      </c>
    </row>
    <row r="538">
      <c r="A538" s="92" t="inlineStr">
        <is>
          <t>XS2592658947</t>
        </is>
      </c>
      <c r="B538" s="92">
        <f>PROPER(_xll.BDP($A538&amp;" Corp","NAME"))</f>
        <v/>
      </c>
      <c r="C538" s="92" t="inlineStr">
        <is>
          <t>One of the largest Italian banks</t>
        </is>
      </c>
    </row>
    <row r="539">
      <c r="A539" s="23" t="inlineStr">
        <is>
          <t>XS2630420268</t>
        </is>
      </c>
      <c r="B539" s="92">
        <f>PROPER(_xll.BDP($A539&amp;" Corp","NAME"))</f>
        <v/>
      </c>
      <c r="C539" s="23" t="inlineStr">
        <is>
          <t>One of the largest Italian banks</t>
        </is>
      </c>
    </row>
    <row r="540">
      <c r="A540" s="23" t="inlineStr">
        <is>
          <t>XS2598063480</t>
        </is>
      </c>
      <c r="B540" s="92">
        <f>PROPER(_xll.BDP($A540&amp;" Corp","NAME"))</f>
        <v/>
      </c>
      <c r="C540" s="23" t="inlineStr">
        <is>
          <t>One of the largest Italian banks</t>
        </is>
      </c>
    </row>
    <row r="541">
      <c r="A541" s="23" t="inlineStr">
        <is>
          <t>XS2804485915</t>
        </is>
      </c>
      <c r="B541" s="92">
        <f>PROPER(_xll.BDP($A541&amp;" Corp","NAME"))</f>
        <v/>
      </c>
      <c r="C541" s="23" t="inlineStr">
        <is>
          <t>One of the largest banks in Italy</t>
        </is>
      </c>
    </row>
    <row r="542">
      <c r="A542" s="23" t="inlineStr">
        <is>
          <t>XS2592650373</t>
        </is>
      </c>
      <c r="B542" s="92">
        <f>PROPER(_xll.BDP($A542&amp;" Corp","NAME"))</f>
        <v/>
      </c>
      <c r="C542" s="23" t="inlineStr">
        <is>
          <t>One of the largest Italian banks</t>
        </is>
      </c>
    </row>
    <row r="543">
      <c r="A543" s="23" t="inlineStr">
        <is>
          <t>US459058KQ56</t>
        </is>
      </c>
      <c r="B543" s="92">
        <f>PROPER(_xll.BDP($A543&amp;" Corp","NAME"))</f>
        <v/>
      </c>
      <c r="C543" s="23" t="inlineStr">
        <is>
          <t>A multilateral development financial instiution</t>
        </is>
      </c>
    </row>
    <row r="544">
      <c r="A544" s="23" t="inlineStr">
        <is>
          <t>US459058KJ14</t>
        </is>
      </c>
      <c r="B544" s="92">
        <f>PROPER(_xll.BDP($A544&amp;" Corp","NAME"))</f>
        <v/>
      </c>
      <c r="C544" s="23" t="inlineStr">
        <is>
          <t>A multilateral development financial instiution</t>
        </is>
      </c>
    </row>
    <row r="545">
      <c r="A545" s="23" t="inlineStr">
        <is>
          <t>XS2562657374</t>
        </is>
      </c>
      <c r="B545" s="92">
        <f>PROPER(_xll.BDP($A545&amp;" Corp","NAME"))</f>
        <v/>
      </c>
      <c r="C545" s="23" t="inlineStr">
        <is>
          <t>Largest multilateral development bank serving clients throughout Europe</t>
        </is>
      </c>
    </row>
    <row r="546">
      <c r="A546" s="23" t="inlineStr">
        <is>
          <t>USP58072AX05</t>
        </is>
      </c>
      <c r="B546" s="92">
        <f>PROPER(_xll.BDP($A546&amp;" Corp","NAME"))</f>
        <v/>
      </c>
      <c r="C546" s="23" t="inlineStr">
        <is>
          <t xml:space="preserve"> offers production and commercialization of papers, cellulose, and tissue products</t>
        </is>
      </c>
    </row>
    <row r="547">
      <c r="A547" s="23" t="inlineStr">
        <is>
          <t>IE00BKFVC568</t>
        </is>
      </c>
      <c r="B547" s="92">
        <f>PROPER(_xll.BDP($A547&amp;" Corp","NAME"))</f>
        <v/>
      </c>
      <c r="C547" s="23" t="inlineStr">
        <is>
          <t>Ireland government bond</t>
        </is>
      </c>
    </row>
    <row r="548">
      <c r="A548" s="92" t="inlineStr">
        <is>
          <t>XS2197356186</t>
        </is>
      </c>
      <c r="B548" s="92">
        <f>PROPER(_xll.BDP($A548&amp;" Corp","NAME"))</f>
        <v/>
      </c>
      <c r="C548" s="92" t="inlineStr">
        <is>
          <t>Generates, distributes, and sells electricity and district heating</t>
        </is>
      </c>
    </row>
    <row r="549">
      <c r="A549" s="23" t="inlineStr">
        <is>
          <t>IL0060001943</t>
        </is>
      </c>
      <c r="B549" s="92">
        <f>PROPER(_xll.BDP($A549&amp;" Corp","NAME"))</f>
        <v/>
      </c>
      <c r="C549" s="23" t="inlineStr">
        <is>
          <t>Operates as an energy company</t>
        </is>
      </c>
    </row>
    <row r="550">
      <c r="A550" s="23" t="inlineStr">
        <is>
          <t>US46556KAB26</t>
        </is>
      </c>
      <c r="B550" s="92">
        <f>PROPER(_xll.BDP($A550&amp;" Corp","NAME"))</f>
        <v/>
      </c>
      <c r="C550" s="23" t="inlineStr">
        <is>
          <t>Second largest bank in Brazil</t>
        </is>
      </c>
    </row>
    <row r="551">
      <c r="A551" s="23" t="inlineStr">
        <is>
          <t>US46556MAM47</t>
        </is>
      </c>
      <c r="B551" s="92">
        <f>PROPER(_xll.BDP($A551&amp;" Corp","NAME"))</f>
        <v/>
      </c>
      <c r="C551" s="23" t="inlineStr">
        <is>
          <t>Second largest bank in Brazil</t>
        </is>
      </c>
    </row>
    <row r="552">
      <c r="A552" s="23" t="inlineStr">
        <is>
          <t>XS2010037849</t>
        </is>
      </c>
      <c r="B552" s="92">
        <f>PROPER(_xll.BDP($A552&amp;" Corp","NAME"))</f>
        <v/>
      </c>
      <c r="C552" s="23" t="inlineStr">
        <is>
          <t xml:space="preserve"> designs, develops, and manufactures automobiles</t>
        </is>
      </c>
    </row>
    <row r="553">
      <c r="A553" s="23" t="inlineStr">
        <is>
          <t>XS2364593579</t>
        </is>
      </c>
      <c r="B553" s="92">
        <f>PROPER(_xll.BDP($A553&amp;" Corp","NAME"))</f>
        <v/>
      </c>
      <c r="C553" s="23" t="inlineStr">
        <is>
          <t xml:space="preserve"> designs, develops, and manufactures automobiles</t>
        </is>
      </c>
    </row>
    <row r="554">
      <c r="A554" s="23" t="inlineStr">
        <is>
          <t>US47109LAD64</t>
        </is>
      </c>
      <c r="B554" s="92">
        <f>PROPER(_xll.BDP($A554&amp;" Corp","NAME"))</f>
        <v/>
      </c>
      <c r="C554" s="23" t="inlineStr">
        <is>
          <t>Independant admisnistrative organization</t>
        </is>
      </c>
    </row>
    <row r="555">
      <c r="A555" s="23" t="inlineStr">
        <is>
          <t>XS2313088739</t>
        </is>
      </c>
      <c r="B555" s="92">
        <f>PROPER(_xll.BDP($A555&amp;" Corp","NAME"))</f>
        <v/>
      </c>
      <c r="C555" s="23" t="inlineStr">
        <is>
          <t>Manufactures animal feed, breeds and processes chickens. Farms</t>
        </is>
      </c>
    </row>
    <row r="556">
      <c r="A556" s="23" t="inlineStr">
        <is>
          <t>US47215PAE60</t>
        </is>
      </c>
      <c r="B556" s="92">
        <f>PROPER(_xll.BDP($A556&amp;" Corp","NAME"))</f>
        <v/>
      </c>
      <c r="C556" s="23" t="inlineStr">
        <is>
          <t>Online direct sales company in China</t>
        </is>
      </c>
    </row>
    <row r="557">
      <c r="A557" s="92" t="inlineStr">
        <is>
          <t>XS2801963716</t>
        </is>
      </c>
      <c r="B557" s="92">
        <f>PROPER(_xll.BDP($A557&amp;" Corp","NAME"))</f>
        <v/>
      </c>
      <c r="C557" s="92" t="inlineStr">
        <is>
          <t xml:space="preserve">US investment bank </t>
        </is>
      </c>
    </row>
    <row r="558">
      <c r="A558" s="23" t="inlineStr">
        <is>
          <t>US47233JGT97</t>
        </is>
      </c>
      <c r="B558" s="92">
        <f>PROPER(_xll.BDP($A558&amp;" Corp","NAME"))</f>
        <v/>
      </c>
      <c r="C558" s="23" t="inlineStr">
        <is>
          <t xml:space="preserve">US investment bank </t>
        </is>
      </c>
    </row>
    <row r="559">
      <c r="A559" s="23" t="inlineStr">
        <is>
          <t>XS2801964284</t>
        </is>
      </c>
      <c r="B559" s="92">
        <f>PROPER(_xll.BDP($A559&amp;" Corp","NAME"))</f>
        <v/>
      </c>
      <c r="C559" s="23" t="inlineStr">
        <is>
          <t xml:space="preserve">US investment bank </t>
        </is>
      </c>
    </row>
    <row r="560">
      <c r="A560" s="23" t="inlineStr">
        <is>
          <t>XS2703627021</t>
        </is>
      </c>
      <c r="B560" s="92">
        <f>PROPER(_xll.BDP($A560&amp;" Corp","NAME"))</f>
        <v/>
      </c>
      <c r="C560" s="23" t="inlineStr">
        <is>
          <t>Manufactures agricultural machinery and parts</t>
        </is>
      </c>
    </row>
    <row r="561">
      <c r="A561" s="92" t="inlineStr">
        <is>
          <t>US24422EWR60</t>
        </is>
      </c>
      <c r="B561" s="92">
        <f>PROPER(_xll.BDP($A561&amp;" Corp","NAME"))</f>
        <v/>
      </c>
      <c r="C561" s="92" t="inlineStr">
        <is>
          <t>Manufactures agricultural machinery and parts</t>
        </is>
      </c>
    </row>
    <row r="562">
      <c r="A562" s="23" t="inlineStr">
        <is>
          <t>US24422EWL90</t>
        </is>
      </c>
      <c r="B562" s="92">
        <f>PROPER(_xll.BDP($A562&amp;" Corp","NAME"))</f>
        <v/>
      </c>
      <c r="C562" s="23" t="inlineStr">
        <is>
          <t>Manufactures agricultural machinery and parts</t>
        </is>
      </c>
    </row>
    <row r="563">
      <c r="A563" s="23" t="inlineStr">
        <is>
          <t>XS2150006307</t>
        </is>
      </c>
      <c r="B563" s="92">
        <f>PROPER(_xll.BDP($A563&amp;" Corp","NAME"))</f>
        <v/>
      </c>
      <c r="C563" s="23" t="inlineStr">
        <is>
          <t>Manufactures agricultural machinery and parts</t>
        </is>
      </c>
    </row>
    <row r="564">
      <c r="A564" s="23" t="inlineStr">
        <is>
          <t>XS2150006562</t>
        </is>
      </c>
      <c r="B564" s="92">
        <f>PROPER(_xll.BDP($A564&amp;" Corp","NAME"))</f>
        <v/>
      </c>
      <c r="C564" s="23" t="inlineStr">
        <is>
          <t>Manufactures agricultural machinery and parts</t>
        </is>
      </c>
    </row>
    <row r="565">
      <c r="A565" s="92" t="inlineStr">
        <is>
          <t>US478160CQ51</t>
        </is>
      </c>
      <c r="B565" s="92">
        <f>PROPER(_xll.BDP($A565&amp;" Corp","NAME"))</f>
        <v/>
      </c>
      <c r="C565" s="92" t="inlineStr">
        <is>
          <t>US medical devices, pharmaceutical and consumer packaged goods manufacturer</t>
        </is>
      </c>
    </row>
    <row r="566">
      <c r="A566" s="92" t="inlineStr">
        <is>
          <t>US478160BY94</t>
        </is>
      </c>
      <c r="B566" s="92">
        <f>PROPER(_xll.BDP($A566&amp;" Corp","NAME"))</f>
        <v/>
      </c>
      <c r="C566" s="92" t="inlineStr">
        <is>
          <t>US medical devices, pharmaceutical and consumer packaged goods manufacturer</t>
        </is>
      </c>
    </row>
    <row r="567">
      <c r="A567" s="23" t="inlineStr">
        <is>
          <t>US478160CK81</t>
        </is>
      </c>
      <c r="B567" s="92">
        <f>PROPER(_xll.BDP($A567&amp;" Corp","NAME"))</f>
        <v/>
      </c>
      <c r="C567" s="23" t="inlineStr">
        <is>
          <t>US medical devices, pharmaceutical and consumer packaged goods manufacturer</t>
        </is>
      </c>
    </row>
    <row r="568">
      <c r="A568" s="92" t="inlineStr">
        <is>
          <t>US46647PDE34</t>
        </is>
      </c>
      <c r="B568" s="92">
        <f>PROPER(_xll.BDP($A568&amp;" Corp","NAME"))</f>
        <v/>
      </c>
      <c r="C568" s="92" t="inlineStr">
        <is>
          <t>The largest US bank</t>
        </is>
      </c>
    </row>
    <row r="569">
      <c r="A569" s="92" t="inlineStr">
        <is>
          <t>US46647PEC68</t>
        </is>
      </c>
      <c r="B569" s="92">
        <f>PROPER(_xll.BDP($A569&amp;" Corp","NAME"))</f>
        <v/>
      </c>
      <c r="C569" s="92" t="inlineStr">
        <is>
          <t>The largest US bank</t>
        </is>
      </c>
    </row>
    <row r="570">
      <c r="A570" s="23" t="inlineStr">
        <is>
          <t xml:space="preserve"> US46647PAV85</t>
        </is>
      </c>
      <c r="B570" s="92">
        <f>PROPER(_xll.BDP($A570&amp;" Corp","NAME"))</f>
        <v/>
      </c>
      <c r="C570" s="23" t="inlineStr">
        <is>
          <t xml:space="preserve">The largest US bank </t>
        </is>
      </c>
    </row>
    <row r="571">
      <c r="A571" s="23" t="inlineStr">
        <is>
          <t>US46647PDU75</t>
        </is>
      </c>
      <c r="B571" s="92">
        <f>PROPER(_xll.BDP($A571&amp;" Corp","NAME"))</f>
        <v/>
      </c>
      <c r="C571" s="23" t="inlineStr">
        <is>
          <t xml:space="preserve">The largest US bank </t>
        </is>
      </c>
    </row>
    <row r="572">
      <c r="A572" s="23" t="inlineStr">
        <is>
          <t>US46647PDH64</t>
        </is>
      </c>
      <c r="B572" s="92">
        <f>PROPER(_xll.BDP($A572&amp;" Corp","NAME"))</f>
        <v/>
      </c>
      <c r="C572" s="23" t="inlineStr">
        <is>
          <t>The largest US bank</t>
        </is>
      </c>
    </row>
    <row r="573">
      <c r="A573" s="23" t="inlineStr">
        <is>
          <t>XS1883352095</t>
        </is>
      </c>
      <c r="B573" s="92">
        <f>PROPER(_xll.BDP($A573&amp;" Corp","NAME"))</f>
        <v/>
      </c>
      <c r="C573" s="23" t="inlineStr">
        <is>
          <t>One of the largest tobacco producers</t>
        </is>
      </c>
    </row>
    <row r="574">
      <c r="A574" s="23" t="inlineStr">
        <is>
          <t>XS2793255162</t>
        </is>
      </c>
      <c r="B574" s="92">
        <f>PROPER(_xll.BDP($A574&amp;" Corp","NAME"))</f>
        <v/>
      </c>
      <c r="C574" s="23" t="inlineStr">
        <is>
          <t>One of the largest tobacco producers</t>
        </is>
      </c>
    </row>
    <row r="575">
      <c r="A575" s="23" t="inlineStr">
        <is>
          <t>BE0002846278</t>
        </is>
      </c>
      <c r="B575" s="92">
        <f>PROPER(_xll.BDP($A575&amp;" Corp","NAME"))</f>
        <v/>
      </c>
      <c r="C575" s="23" t="inlineStr">
        <is>
          <t>Attracts deposits and offers banking and insurance services.</t>
        </is>
      </c>
    </row>
    <row r="576">
      <c r="A576" s="23" t="inlineStr">
        <is>
          <t>US487836BP25</t>
        </is>
      </c>
      <c r="B576" s="92">
        <f>PROPER(_xll.BDP($A576&amp;" Corp","NAME"))</f>
        <v/>
      </c>
      <c r="C576" s="23" t="inlineStr">
        <is>
          <t>Leading producer of cereals, cookies, crackers, snacks and frozen food</t>
        </is>
      </c>
    </row>
    <row r="577">
      <c r="A577" s="23" t="inlineStr">
        <is>
          <t>US487836BZ07</t>
        </is>
      </c>
      <c r="B577" s="92">
        <f>PROPER(_xll.BDP($A577&amp;" Corp","NAME"))</f>
        <v/>
      </c>
      <c r="C577" s="23" t="inlineStr">
        <is>
          <t>Leading producer of cereals, cookies, crackers, snacks and frozen food</t>
        </is>
      </c>
    </row>
    <row r="578">
      <c r="A578" s="92" t="inlineStr">
        <is>
          <t>FR001400M6N9</t>
        </is>
      </c>
      <c r="B578" s="92">
        <f>PROPER(_xll.BDP($A578&amp;" Corp","NAME"))</f>
        <v/>
      </c>
      <c r="C578" s="92" t="inlineStr">
        <is>
          <t>Designs, manufactures, and markets fashion and leather goods</t>
        </is>
      </c>
    </row>
    <row r="579">
      <c r="A579" s="23" t="inlineStr">
        <is>
          <t>FR001400M6M1</t>
        </is>
      </c>
      <c r="B579" s="92">
        <f>PROPER(_xll.BDP($A579&amp;" Corp","NAME"))</f>
        <v/>
      </c>
      <c r="C579" s="23" t="inlineStr">
        <is>
          <t>Designs, manufactures, and markets fashion and leather goods</t>
        </is>
      </c>
    </row>
    <row r="580">
      <c r="A580" s="23" t="inlineStr">
        <is>
          <t>FR001400KHZ0</t>
        </is>
      </c>
      <c r="B580" s="92">
        <f>PROPER(_xll.BDP($A580&amp;" Corp","NAME"))</f>
        <v/>
      </c>
      <c r="C580" s="23" t="inlineStr">
        <is>
          <t>Designs, manufactures, and markets fashion and leather goods</t>
        </is>
      </c>
    </row>
    <row r="581">
      <c r="A581" s="23" t="inlineStr">
        <is>
          <t>FR001400G3Y1</t>
        </is>
      </c>
      <c r="B581" s="92">
        <f>PROPER(_xll.BDP($A581&amp;" Corp","NAME"))</f>
        <v/>
      </c>
      <c r="C581" s="23" t="inlineStr">
        <is>
          <t>Designs, manufactures, and markets fashion and leather goods</t>
        </is>
      </c>
    </row>
    <row r="582">
      <c r="A582" s="23" t="inlineStr">
        <is>
          <t>FR001400KHW7</t>
        </is>
      </c>
      <c r="B582" s="92">
        <f>PROPER(_xll.BDP($A582&amp;" Corp","NAME"))</f>
        <v/>
      </c>
      <c r="C582" s="23" t="inlineStr">
        <is>
          <t>Designs, manufactures, and markets fashion and leather goods</t>
        </is>
      </c>
    </row>
    <row r="583">
      <c r="A583" s="23" t="inlineStr">
        <is>
          <t>FR001400KHX5</t>
        </is>
      </c>
      <c r="B583" s="92">
        <f>PROPER(_xll.BDP($A583&amp;" Corp","NAME"))</f>
        <v/>
      </c>
      <c r="C583" s="23" t="inlineStr">
        <is>
          <t>Designs, manufactures, and markets fashion and leather goods</t>
        </is>
      </c>
    </row>
    <row r="584">
      <c r="A584" s="23" t="inlineStr">
        <is>
          <t>XS1941813617</t>
        </is>
      </c>
      <c r="B584" s="92">
        <f>PROPER(_xll.BDP($A584&amp;" Corp","NAME"))</f>
        <v/>
      </c>
      <c r="C584" s="23" t="inlineStr">
        <is>
          <t>Germany’s largest public development bank serving policy objectives</t>
        </is>
      </c>
    </row>
    <row r="585">
      <c r="A585" s="23" t="inlineStr">
        <is>
          <t>US500769GQ12</t>
        </is>
      </c>
      <c r="B585" s="92">
        <f>PROPER(_xll.BDP($A585&amp;" Corp","NAME"))</f>
        <v/>
      </c>
      <c r="C585" s="23" t="inlineStr">
        <is>
          <t>Germany’s largest public development bank serving policy objectives</t>
        </is>
      </c>
    </row>
    <row r="586">
      <c r="A586" s="23" t="inlineStr">
        <is>
          <t>US500769GQ12</t>
        </is>
      </c>
      <c r="B586" s="92">
        <f>PROPER(_xll.BDP($A586&amp;" Corp","NAME"))</f>
        <v/>
      </c>
      <c r="C586" s="23" t="inlineStr">
        <is>
          <t>Germany’s largest public development bank serving policy objectives</t>
        </is>
      </c>
    </row>
    <row r="587">
      <c r="A587" s="23" t="inlineStr">
        <is>
          <t>US500769JD71</t>
        </is>
      </c>
      <c r="B587" s="92">
        <f>PROPER(_xll.BDP($A587&amp;" Corp","NAME"))</f>
        <v/>
      </c>
      <c r="C587" s="23" t="inlineStr">
        <is>
          <t>Germany’s largest public development bank serving policy objectives</t>
        </is>
      </c>
    </row>
    <row r="588">
      <c r="A588" s="23" t="inlineStr">
        <is>
          <t>XS2584128263</t>
        </is>
      </c>
      <c r="B588" s="92">
        <f>PROPER(_xll.BDP($A588&amp;" Corp","NAME"))</f>
        <v/>
      </c>
      <c r="C588" s="23" t="inlineStr">
        <is>
          <t>Germany’s largest public development bank serving policy objectives</t>
        </is>
      </c>
    </row>
    <row r="589">
      <c r="A589" s="23" t="inlineStr">
        <is>
          <t>XS2679764493</t>
        </is>
      </c>
      <c r="B589" s="92">
        <f>PROPER(_xll.BDP($A589&amp;" Corp","NAME"))</f>
        <v/>
      </c>
      <c r="C589" s="23" t="inlineStr">
        <is>
          <t>Germany’s largest public development bank serving policy objectives</t>
        </is>
      </c>
    </row>
    <row r="590">
      <c r="A590" s="23" t="inlineStr">
        <is>
          <t>CH0022268004</t>
        </is>
      </c>
      <c r="B590" s="92">
        <f>PROPER(_xll.BDP($A590&amp;" Corp","NAME"))</f>
        <v/>
      </c>
      <c r="C590" s="23" t="inlineStr">
        <is>
          <t>Germany’s largest public development bank serving policy objectives</t>
        </is>
      </c>
    </row>
    <row r="591">
      <c r="A591" s="23" t="inlineStr">
        <is>
          <t>XS2595028452</t>
        </is>
      </c>
      <c r="B591" s="92">
        <f>PROPER(_xll.BDP($A591&amp;" Corp","NAME"))</f>
        <v/>
      </c>
      <c r="C591" s="23" t="inlineStr">
        <is>
          <t>Kingdom Of Morocco</t>
        </is>
      </c>
    </row>
    <row r="592">
      <c r="A592" s="23" t="inlineStr">
        <is>
          <t>XS2270576619</t>
        </is>
      </c>
      <c r="B592" s="92">
        <f>PROPER(_xll.BDP($A592&amp;" Corp","NAME"))</f>
        <v/>
      </c>
      <c r="C592" s="23" t="inlineStr">
        <is>
          <t>Kingdom Of Morocco</t>
        </is>
      </c>
    </row>
    <row r="593">
      <c r="A593" s="23" t="inlineStr">
        <is>
          <t>USL5828LAB55</t>
        </is>
      </c>
      <c r="B593" s="92">
        <f>PROPER(_xll.BDP($A593&amp;" Corp","NAME"))</f>
        <v/>
      </c>
      <c r="C593" s="23" t="inlineStr">
        <is>
          <t>Manufactures paper containers and packaging materials</t>
        </is>
      </c>
    </row>
    <row r="594">
      <c r="A594" s="23" t="inlineStr">
        <is>
          <t>XS1397023448</t>
        </is>
      </c>
      <c r="B594" s="92">
        <f>PROPER(_xll.BDP($A594&amp;" Corp","NAME"))</f>
        <v/>
      </c>
      <c r="C594" s="23" t="inlineStr">
        <is>
          <t>Largest provider of funding to Norwegian local government</t>
        </is>
      </c>
    </row>
    <row r="595">
      <c r="A595" s="23" t="inlineStr">
        <is>
          <t>XS1397023448</t>
        </is>
      </c>
      <c r="B595" s="92">
        <f>PROPER(_xll.BDP($A595&amp;" Corp","NAME"))</f>
        <v/>
      </c>
      <c r="C595" s="23" t="inlineStr">
        <is>
          <t>Provides local government funding services</t>
        </is>
      </c>
    </row>
    <row r="596">
      <c r="A596" s="23" t="inlineStr">
        <is>
          <t>XS1408351887</t>
        </is>
      </c>
      <c r="B596" s="92">
        <f>PROPER(_xll.BDP($A596&amp;" Corp","NAME"))</f>
        <v/>
      </c>
      <c r="C596" s="23" t="inlineStr">
        <is>
          <t>Danish local government credit institutions providing financing and credit services</t>
        </is>
      </c>
    </row>
    <row r="597">
      <c r="A597" s="23" t="inlineStr">
        <is>
          <t>XS1408351887</t>
        </is>
      </c>
      <c r="B597" s="92">
        <f>PROPER(_xll.BDP($A597&amp;" Corp","NAME"))</f>
        <v/>
      </c>
      <c r="C597" s="23" t="inlineStr">
        <is>
          <t>Provides local government funding services</t>
        </is>
      </c>
    </row>
    <row r="598">
      <c r="A598" s="23" t="inlineStr">
        <is>
          <t>US500630CJ53</t>
        </is>
      </c>
      <c r="B598" s="92">
        <f>PROPER(_xll.BDP($A598&amp;" Corp","NAME"))</f>
        <v/>
      </c>
      <c r="C598" s="23" t="inlineStr">
        <is>
          <t>Korean government-owned policy bank supplying capital to Korean industries</t>
        </is>
      </c>
    </row>
    <row r="599">
      <c r="A599" s="23" t="inlineStr">
        <is>
          <t>CH1243933574</t>
        </is>
      </c>
      <c r="B599" s="92">
        <f>PROPER(_xll.BDP($A599&amp;" Corp","NAME"))</f>
        <v/>
      </c>
      <c r="C599" s="23" t="inlineStr">
        <is>
          <t>Korea Housing Finance Corporation provides long-term housing finance services</t>
        </is>
      </c>
    </row>
    <row r="600">
      <c r="A600" s="23" t="inlineStr">
        <is>
          <t>CH1243933574</t>
        </is>
      </c>
      <c r="B600" s="92">
        <f>PROPER(_xll.BDP($A600&amp;" Corp","NAME"))</f>
        <v/>
      </c>
      <c r="C600" s="23" t="inlineStr">
        <is>
          <t>Korea Housing Finance Corporation provides long-term housing finance services</t>
        </is>
      </c>
    </row>
    <row r="601">
      <c r="A601" s="23" t="inlineStr">
        <is>
          <t>US50066RAM88</t>
        </is>
      </c>
      <c r="B601" s="92">
        <f>PROPER(_xll.BDP($A601&amp;" Corp","NAME"))</f>
        <v/>
      </c>
      <c r="C601" s="23" t="inlineStr">
        <is>
          <t>Upstream exploration and production company, owned by the Korean govt</t>
        </is>
      </c>
    </row>
    <row r="602">
      <c r="A602" s="23" t="inlineStr">
        <is>
          <t>US50065XAP96</t>
        </is>
      </c>
      <c r="B602" s="92">
        <f>PROPER(_xll.BDP($A602&amp;" Corp","NAME"))</f>
        <v/>
      </c>
      <c r="C602" s="23" t="inlineStr">
        <is>
          <t>Upstream exploration and production company, owned by the Korean govt</t>
        </is>
      </c>
    </row>
    <row r="603">
      <c r="A603" s="23" t="inlineStr">
        <is>
          <t>XS1680281133</t>
        </is>
      </c>
      <c r="B603" s="92">
        <f>PROPER(_xll.BDP($A603&amp;" Corp","NAME"))</f>
        <v/>
      </c>
      <c r="C603" s="23" t="inlineStr">
        <is>
          <t xml:space="preserve">One of the major producer of Titanium dioxyde </t>
        </is>
      </c>
    </row>
    <row r="604">
      <c r="A604" s="92" t="inlineStr">
        <is>
          <t>FR001400F5F6</t>
        </is>
      </c>
      <c r="B604" s="92">
        <f>PROPER(_xll.BDP($A604&amp;" Corp","NAME"))</f>
        <v/>
      </c>
      <c r="C604" s="92" t="inlineStr">
        <is>
          <t>La Banque Postale provides banking services in France</t>
        </is>
      </c>
    </row>
    <row r="605">
      <c r="A605" s="23" t="inlineStr">
        <is>
          <t>US505861AC85</t>
        </is>
      </c>
      <c r="B605" s="92">
        <f>PROPER(_xll.BDP($A605&amp;" Corp","NAME"))</f>
        <v/>
      </c>
      <c r="C605" s="23" t="inlineStr">
        <is>
          <t>Supplies building materials.</t>
        </is>
      </c>
    </row>
    <row r="606">
      <c r="A606" s="23" t="inlineStr">
        <is>
          <t>DE000A351PF4</t>
        </is>
      </c>
      <c r="B606" s="92">
        <f>PROPER(_xll.BDP($A606&amp;" Corp","NAME"))</f>
        <v/>
      </c>
      <c r="C606" s="23" t="inlineStr">
        <is>
          <t>A state in Germany</t>
        </is>
      </c>
    </row>
    <row r="607">
      <c r="A607" s="23" t="inlineStr">
        <is>
          <t>US515110BR44</t>
        </is>
      </c>
      <c r="B607" s="92">
        <f>PROPER(_xll.BDP($A607&amp;" Corp","NAME"))</f>
        <v/>
      </c>
      <c r="C607" s="23" t="inlineStr">
        <is>
          <t>Frankfurt-based bank that serves as a development agency in  Germany</t>
        </is>
      </c>
    </row>
    <row r="608">
      <c r="A608" s="23" t="inlineStr">
        <is>
          <t>XS1944468617</t>
        </is>
      </c>
      <c r="B608" s="92">
        <f>PROPER(_xll.BDP($A608&amp;" Corp","NAME"))</f>
        <v/>
      </c>
      <c r="C608" s="23" t="inlineStr">
        <is>
          <t>Frankfurt-based bank that serves as a development agency in Germany</t>
        </is>
      </c>
    </row>
    <row r="609">
      <c r="A609" s="23" t="inlineStr">
        <is>
          <t>XS2125052261</t>
        </is>
      </c>
      <c r="B609" s="92">
        <f>PROPER(_xll.BDP($A609&amp;" Corp","NAME"))</f>
        <v/>
      </c>
      <c r="C609" s="23" t="inlineStr">
        <is>
          <t>Largest manufacturer of personal computers.</t>
        </is>
      </c>
    </row>
    <row r="610">
      <c r="A610" s="23" t="inlineStr">
        <is>
          <t>USY5257YAL12</t>
        </is>
      </c>
      <c r="B610" s="92">
        <f>PROPER(_xll.BDP($A610&amp;" Corp","NAME"))</f>
        <v/>
      </c>
      <c r="C610" s="23" t="inlineStr">
        <is>
          <t>Largest manufacturer of personal computers.</t>
        </is>
      </c>
    </row>
    <row r="611">
      <c r="A611" s="23" t="inlineStr">
        <is>
          <t>USY5257YAJ65</t>
        </is>
      </c>
      <c r="B611" s="92">
        <f>PROPER(_xll.BDP($A611&amp;" Corp","NAME"))</f>
        <v/>
      </c>
      <c r="C611" s="23" t="inlineStr">
        <is>
          <t>Largest manufacturer of personal computers.</t>
        </is>
      </c>
    </row>
    <row r="612">
      <c r="A612" s="23" t="inlineStr">
        <is>
          <t>CH1243651929</t>
        </is>
      </c>
      <c r="B612" s="92">
        <f>PROPER(_xll.BDP($A612&amp;" Corp","NAME"))</f>
        <v/>
      </c>
      <c r="C612" s="23" t="inlineStr">
        <is>
          <t xml:space="preserve">Operates as a bank, serving customers worlwide. </t>
        </is>
      </c>
    </row>
    <row r="613">
      <c r="A613" s="92" t="inlineStr">
        <is>
          <t>US53522KAB98</t>
        </is>
      </c>
      <c r="B613" s="92">
        <f>PROPER(_xll.BDP($A613&amp;" Corp","NAME"))</f>
        <v/>
      </c>
      <c r="C613" s="92" t="inlineStr">
        <is>
          <t>Manufacturer of industrial gas</t>
        </is>
      </c>
    </row>
    <row r="614">
      <c r="A614" s="23" t="inlineStr">
        <is>
          <t>US53522KAA16</t>
        </is>
      </c>
      <c r="B614" s="92">
        <f>PROPER(_xll.BDP($A614&amp;" Corp","NAME"))</f>
        <v/>
      </c>
      <c r="C614" s="23" t="inlineStr">
        <is>
          <t>Manufacturer of industrial gas</t>
        </is>
      </c>
    </row>
    <row r="615">
      <c r="A615" s="23" t="inlineStr">
        <is>
          <t xml:space="preserve"> XS2834282142</t>
        </is>
      </c>
      <c r="B615" s="92">
        <f>PROPER(_xll.BDP($A615&amp;" Corp","NAME"))</f>
        <v/>
      </c>
      <c r="C615" s="23" t="inlineStr">
        <is>
          <t xml:space="preserve">Manufacturer of industrial gas  </t>
        </is>
      </c>
    </row>
    <row r="616">
      <c r="A616" s="92" t="inlineStr">
        <is>
          <t>XS2430704655</t>
        </is>
      </c>
      <c r="B616" s="92">
        <f>PROPER(_xll.BDP($A616&amp;" Corp","NAME"))</f>
        <v/>
      </c>
      <c r="C616" s="92" t="inlineStr">
        <is>
          <t>Third largest bank in the UK</t>
        </is>
      </c>
    </row>
    <row r="617">
      <c r="A617" s="23" t="inlineStr">
        <is>
          <t>XS2569069375</t>
        </is>
      </c>
      <c r="B617" s="92">
        <f>PROPER(_xll.BDP($A617&amp;" Corp","NAME"))</f>
        <v/>
      </c>
      <c r="C617" s="23" t="inlineStr">
        <is>
          <t xml:space="preserve">Third largest bank in the UK </t>
        </is>
      </c>
    </row>
    <row r="618">
      <c r="A618" s="23" t="inlineStr">
        <is>
          <t>CH1243018806</t>
        </is>
      </c>
      <c r="B618" s="92">
        <f>PROPER(_xll.BDP($A618&amp;" Corp","NAME"))</f>
        <v/>
      </c>
      <c r="C618" s="23" t="inlineStr">
        <is>
          <t>Third largest bank in the UK</t>
        </is>
      </c>
    </row>
    <row r="619">
      <c r="A619" s="92" t="inlineStr">
        <is>
          <t>FR001400M6K5</t>
        </is>
      </c>
      <c r="B619" s="92">
        <f>PROPER(_xll.BDP($A619&amp;" Corp","NAME"))</f>
        <v/>
      </c>
      <c r="C619" s="92" t="inlineStr">
        <is>
          <t xml:space="preserve">World leader in the cosmetic industry </t>
        </is>
      </c>
    </row>
    <row r="620">
      <c r="A620" s="92" t="inlineStr">
        <is>
          <t>FR001400M6L3</t>
        </is>
      </c>
      <c r="B620" s="92">
        <f>PROPER(_xll.BDP($A620&amp;" Corp","NAME"))</f>
        <v/>
      </c>
      <c r="C620" s="92" t="inlineStr">
        <is>
          <t xml:space="preserve">World leader in the cosmetic industry </t>
        </is>
      </c>
    </row>
    <row r="621">
      <c r="A621" s="23" t="inlineStr">
        <is>
          <t>FR001400HX81</t>
        </is>
      </c>
      <c r="B621" s="92">
        <f>PROPER(_xll.BDP($A621&amp;" Corp","NAME"))</f>
        <v/>
      </c>
      <c r="C621" s="23" t="inlineStr">
        <is>
          <t xml:space="preserve">World leader in the cosmetic industry </t>
        </is>
      </c>
    </row>
    <row r="622">
      <c r="A622" s="23" t="inlineStr">
        <is>
          <t>XS1975699569</t>
        </is>
      </c>
      <c r="B622" s="92">
        <f>PROPER(_xll.BDP($A622&amp;" Corp","NAME"))</f>
        <v/>
      </c>
      <c r="C622" s="23" t="inlineStr">
        <is>
          <t>EU Leader in rental equipment for the industrial &amp; construction sector</t>
        </is>
      </c>
    </row>
    <row r="623">
      <c r="A623" s="23" t="inlineStr">
        <is>
          <t>CH0399611307</t>
        </is>
      </c>
      <c r="B623" s="92">
        <f>PROPER(_xll.BDP($A623&amp;" Corp","NAME"))</f>
        <v/>
      </c>
      <c r="C623" s="23" t="inlineStr">
        <is>
          <t>Swiss regional bank</t>
        </is>
      </c>
    </row>
    <row r="624">
      <c r="A624" s="92" t="inlineStr">
        <is>
          <t>FR001400HJE7</t>
        </is>
      </c>
      <c r="B624" s="92">
        <f>PROPER(_xll.BDP($A624&amp;" Corp","NAME"))</f>
        <v/>
      </c>
      <c r="C624" s="92" t="inlineStr">
        <is>
          <t>French luxury group</t>
        </is>
      </c>
    </row>
    <row r="625">
      <c r="A625" s="92" t="inlineStr">
        <is>
          <t>FR001400KJP7</t>
        </is>
      </c>
      <c r="B625" s="92">
        <f>PROPER(_xll.BDP($A625&amp;" Corp","NAME"))</f>
        <v/>
      </c>
      <c r="C625" s="92" t="inlineStr">
        <is>
          <t>French luxury group</t>
        </is>
      </c>
    </row>
    <row r="626">
      <c r="A626" s="92" t="inlineStr">
        <is>
          <t>FR001400KJO0</t>
        </is>
      </c>
      <c r="B626" s="92">
        <f>PROPER(_xll.BDP($A626&amp;" Corp","NAME"))</f>
        <v/>
      </c>
      <c r="C626" s="92" t="inlineStr">
        <is>
          <t>French luxury group</t>
        </is>
      </c>
    </row>
    <row r="627">
      <c r="A627" s="23" t="inlineStr">
        <is>
          <t>US55608RAW07</t>
        </is>
      </c>
      <c r="B627" s="92">
        <f>PROPER(_xll.BDP($A627&amp;" Corp","NAME"))</f>
        <v/>
      </c>
      <c r="C627" s="23" t="inlineStr">
        <is>
          <t>Australian global financial services provider</t>
        </is>
      </c>
    </row>
    <row r="628">
      <c r="A628" s="23" t="inlineStr">
        <is>
          <t>XS1991188548</t>
        </is>
      </c>
      <c r="B628" s="92">
        <f>PROPER(_xll.BDP($A628&amp;" Corp","NAME"))</f>
        <v/>
      </c>
      <c r="C628" s="23" t="inlineStr">
        <is>
          <t>UAE conglomerate in shopping centres and exclusive Carrefour franchisee</t>
        </is>
      </c>
    </row>
    <row r="629">
      <c r="A629" s="23" t="inlineStr">
        <is>
          <t>XS2626291129</t>
        </is>
      </c>
      <c r="B629" s="92">
        <f>PROPER(_xll.BDP($A629&amp;" Corp","NAME"))</f>
        <v/>
      </c>
      <c r="C629" s="23" t="inlineStr">
        <is>
          <t>UAE conglomerate in shopping centres and exclusive Carrefour franchisee</t>
        </is>
      </c>
    </row>
    <row r="630">
      <c r="A630" s="23" t="inlineStr">
        <is>
          <t>XS1991188548</t>
        </is>
      </c>
      <c r="B630" s="92">
        <f>PROPER(_xll.BDP($A630&amp;" Corp","NAME"))</f>
        <v/>
      </c>
      <c r="C630" s="23" t="inlineStr">
        <is>
          <t>UAE conglomerate in shopping malls and Carrefour franchisee</t>
        </is>
      </c>
    </row>
    <row r="631">
      <c r="A631" s="23" t="inlineStr">
        <is>
          <t>XS2626291129</t>
        </is>
      </c>
      <c r="B631" s="92">
        <f>PROPER(_xll.BDP($A631&amp;" Corp","NAME"))</f>
        <v/>
      </c>
      <c r="C631" s="23" t="inlineStr">
        <is>
          <t>UAE conglomerate in shopping malls and Carrefour franchisee</t>
        </is>
      </c>
    </row>
    <row r="632">
      <c r="A632" s="23" t="inlineStr">
        <is>
          <t>XS1839680680</t>
        </is>
      </c>
      <c r="B632" s="92">
        <f>PROPER(_xll.BDP($A632&amp;" Corp","NAME"))</f>
        <v/>
      </c>
      <c r="C632" s="23" t="inlineStr">
        <is>
          <t>Third largest staffing firm in the World</t>
        </is>
      </c>
    </row>
    <row r="633">
      <c r="A633" s="23" t="inlineStr">
        <is>
          <t>XS2024535036</t>
        </is>
      </c>
      <c r="B633" s="92">
        <f>PROPER(_xll.BDP($A633&amp;" Corp","NAME"))</f>
        <v/>
      </c>
      <c r="C633" s="23" t="inlineStr">
        <is>
          <t>Leading United Kingdom clothing and food retailer</t>
        </is>
      </c>
    </row>
    <row r="634">
      <c r="A634" s="23" t="inlineStr">
        <is>
          <t>US571903BH57</t>
        </is>
      </c>
      <c r="B634" s="92">
        <f>PROPER(_xll.BDP($A634&amp;" Corp","NAME"))</f>
        <v/>
      </c>
      <c r="C634" s="23" t="inlineStr">
        <is>
          <t>Worldwide operator and franchisor of hotels</t>
        </is>
      </c>
    </row>
    <row r="635">
      <c r="A635" s="23" t="inlineStr">
        <is>
          <t>US57636QAW42</t>
        </is>
      </c>
      <c r="B635" s="92">
        <f>PROPER(_xll.BDP($A635&amp;" Corp","NAME"))</f>
        <v/>
      </c>
      <c r="C635" s="23" t="inlineStr">
        <is>
          <t>Provides financial transaction processing services</t>
        </is>
      </c>
    </row>
    <row r="636">
      <c r="A636" s="23" t="inlineStr">
        <is>
          <t>US57636QAU85</t>
        </is>
      </c>
      <c r="B636" s="92">
        <f>PROPER(_xll.BDP($A636&amp;" Corp","NAME"))</f>
        <v/>
      </c>
      <c r="C636" s="23" t="inlineStr">
        <is>
          <t>Provides financial transaction processing services</t>
        </is>
      </c>
    </row>
    <row r="637">
      <c r="A637" s="23" t="inlineStr">
        <is>
          <t>US57636QAX25</t>
        </is>
      </c>
      <c r="B637" s="92">
        <f>PROPER(_xll.BDP($A637&amp;" Corp","NAME"))</f>
        <v/>
      </c>
      <c r="C637" s="23" t="inlineStr">
        <is>
          <t>Provides financial transaction processing services</t>
        </is>
      </c>
    </row>
    <row r="638">
      <c r="A638" s="23" t="inlineStr">
        <is>
          <t>XS2448014808</t>
        </is>
      </c>
      <c r="B638" s="92">
        <f>PROPER(_xll.BDP($A638&amp;" Corp","NAME"))</f>
        <v/>
      </c>
      <c r="C638" s="23" t="inlineStr">
        <is>
          <t>Provides financial transaction processing services</t>
        </is>
      </c>
    </row>
    <row r="639">
      <c r="A639" s="23" t="inlineStr">
        <is>
          <t>USU57619AG08</t>
        </is>
      </c>
      <c r="B639" s="92">
        <f>PROPER(_xll.BDP($A639&amp;" Corp","NAME"))</f>
        <v/>
      </c>
      <c r="C639" s="23" t="inlineStr">
        <is>
          <t>Leading global toy company</t>
        </is>
      </c>
    </row>
    <row r="640">
      <c r="A640" s="92" t="inlineStr">
        <is>
          <t>US58013MFV19</t>
        </is>
      </c>
      <c r="B640" s="92">
        <f>PROPER(_xll.BDP($A640&amp;" Corp","NAME"))</f>
        <v/>
      </c>
      <c r="C640" s="92" t="inlineStr">
        <is>
          <t>franchised fast food chain</t>
        </is>
      </c>
    </row>
    <row r="641">
      <c r="A641" s="23" t="inlineStr">
        <is>
          <t>US58013MFW91</t>
        </is>
      </c>
      <c r="B641" s="92">
        <f>PROPER(_xll.BDP($A641&amp;" Corp","NAME"))</f>
        <v/>
      </c>
      <c r="C641" s="23" t="inlineStr">
        <is>
          <t>franchised fast food chain</t>
        </is>
      </c>
    </row>
    <row r="642">
      <c r="A642" s="23" t="inlineStr">
        <is>
          <t>XS1567174286</t>
        </is>
      </c>
      <c r="B642" s="92">
        <f>PROPER(_xll.BDP($A642&amp;" Corp","NAME"))</f>
        <v/>
      </c>
      <c r="C642" s="23" t="inlineStr">
        <is>
          <t>Distributor of pharmaceuticals and medical-surgical supplies.</t>
        </is>
      </c>
    </row>
    <row r="643">
      <c r="A643" s="23" t="inlineStr">
        <is>
          <t>XS2533094400</t>
        </is>
      </c>
      <c r="B643" s="92">
        <f>PROPER(_xll.BDP($A643&amp;" Corp","NAME"))</f>
        <v/>
      </c>
      <c r="C643" s="23" t="inlineStr">
        <is>
          <t>European Investment banking boutique</t>
        </is>
      </c>
    </row>
    <row r="644">
      <c r="A644" s="23" t="inlineStr">
        <is>
          <t>XS2386287689</t>
        </is>
      </c>
      <c r="B644" s="92">
        <f>PROPER(_xll.BDP($A644&amp;" Corp","NAME"))</f>
        <v/>
      </c>
      <c r="C644" s="23" t="inlineStr">
        <is>
          <t>European investment banking boutique.</t>
        </is>
      </c>
    </row>
    <row r="645">
      <c r="A645" s="23" t="inlineStr">
        <is>
          <t>USG59669AC89</t>
        </is>
      </c>
      <c r="B645" s="92">
        <f>PROPER(_xll.BDP($A645&amp;" Corp","NAME"))</f>
        <v/>
      </c>
      <c r="C645" s="23" t="inlineStr">
        <is>
          <t>Operates as a web based shopping platform for locally found consumers</t>
        </is>
      </c>
    </row>
    <row r="646">
      <c r="A646" s="23" t="inlineStr">
        <is>
          <t>US58733RAE27</t>
        </is>
      </c>
      <c r="B646" s="92">
        <f>PROPER(_xll.BDP($A646&amp;" Corp","NAME"))</f>
        <v/>
      </c>
      <c r="C646" s="23" t="inlineStr">
        <is>
          <t>Operates as an online trading site for the latin american market</t>
        </is>
      </c>
    </row>
    <row r="647">
      <c r="A647" s="23" t="inlineStr">
        <is>
          <t>USU2339CBX57</t>
        </is>
      </c>
      <c r="B647" s="92">
        <f>PROPER(_xll.BDP($A647&amp;" Corp","NAME"))</f>
        <v/>
      </c>
      <c r="C647" s="23" t="inlineStr">
        <is>
          <t>Developer and Manufacturer of automotive products</t>
        </is>
      </c>
    </row>
    <row r="648">
      <c r="A648" s="23" t="inlineStr">
        <is>
          <t>USU2339CCC02</t>
        </is>
      </c>
      <c r="B648" s="92">
        <f>PROPER(_xll.BDP($A648&amp;" Corp","NAME"))</f>
        <v/>
      </c>
      <c r="C648" s="23" t="inlineStr">
        <is>
          <t>Developer and Manufacturer of automotive products</t>
        </is>
      </c>
    </row>
    <row r="649">
      <c r="A649" s="23" t="inlineStr">
        <is>
          <t>USU5876JAG05</t>
        </is>
      </c>
      <c r="B649" s="92">
        <f>PROPER(_xll.BDP($A649&amp;" Corp","NAME"))</f>
        <v/>
      </c>
      <c r="C649" s="23" t="inlineStr">
        <is>
          <t>Developer and Manufacturer of automotive products</t>
        </is>
      </c>
    </row>
    <row r="650">
      <c r="A650" s="23" t="inlineStr">
        <is>
          <t>DE000A190NE4</t>
        </is>
      </c>
      <c r="B650" s="92">
        <f>PROPER(_xll.BDP($A650&amp;" Corp","NAME"))</f>
        <v/>
      </c>
      <c r="C650" s="23" t="inlineStr">
        <is>
          <t>Developer and Manufacturer of automotive products</t>
        </is>
      </c>
    </row>
    <row r="651">
      <c r="A651" s="23" t="inlineStr">
        <is>
          <t>US588056AW17</t>
        </is>
      </c>
      <c r="B651" s="92">
        <f>PROPER(_xll.BDP($A651&amp;" Corp","NAME"))</f>
        <v/>
      </c>
      <c r="C651" s="23" t="inlineStr">
        <is>
          <t>American producer of bleached softwood fraft pulp</t>
        </is>
      </c>
    </row>
    <row r="652">
      <c r="A652" s="23" t="inlineStr">
        <is>
          <t>US58933YAR62</t>
        </is>
      </c>
      <c r="B652" s="92">
        <f>PROPER(_xll.BDP($A652&amp;" Corp","NAME"))</f>
        <v/>
      </c>
      <c r="C652" s="23" t="inlineStr">
        <is>
          <t>One of the largest global pharmaceutical companies</t>
        </is>
      </c>
    </row>
    <row r="653">
      <c r="A653" s="23" t="inlineStr">
        <is>
          <t>US58933YBJ38</t>
        </is>
      </c>
      <c r="B653" s="92">
        <f>PROPER(_xll.BDP($A653&amp;" Corp","NAME"))</f>
        <v/>
      </c>
      <c r="C653" s="23" t="inlineStr">
        <is>
          <t>One of the largest global pharmaceutical companies</t>
        </is>
      </c>
    </row>
    <row r="654">
      <c r="A654" s="23" t="inlineStr">
        <is>
          <t>US58933YBL83</t>
        </is>
      </c>
      <c r="B654" s="92">
        <f>PROPER(_xll.BDP($A654&amp;" Corp","NAME"))</f>
        <v/>
      </c>
      <c r="C654" s="23" t="inlineStr">
        <is>
          <t>One of the largest global pharmaceutical companies</t>
        </is>
      </c>
    </row>
    <row r="655">
      <c r="A655" s="23" t="inlineStr">
        <is>
          <t>USU5900CAA81</t>
        </is>
      </c>
      <c r="B655" s="92">
        <f>PROPER(_xll.BDP($A655&amp;" Corp","NAME"))</f>
        <v/>
      </c>
      <c r="C655" s="23" t="inlineStr">
        <is>
          <t xml:space="preserve">Holding company of utility </t>
        </is>
      </c>
    </row>
    <row r="656">
      <c r="A656" s="23" t="inlineStr">
        <is>
          <t xml:space="preserve"> USU5922DDR09</t>
        </is>
      </c>
      <c r="B656" s="92">
        <f>PROPER(_xll.BDP($A656&amp;" Corp","NAME"))</f>
        <v/>
      </c>
      <c r="C656" s="23" t="inlineStr">
        <is>
          <t>Provides individual insurance, employee benefits and financial services in the world</t>
        </is>
      </c>
    </row>
    <row r="657">
      <c r="A657" s="23" t="inlineStr">
        <is>
          <t>USU5922DDT64</t>
        </is>
      </c>
      <c r="B657" s="92">
        <f>PROPER(_xll.BDP($A657&amp;" Corp","NAME"))</f>
        <v/>
      </c>
      <c r="C657" s="23" t="inlineStr">
        <is>
          <t>Provides individual insurance, employee benefits and financial services in the world</t>
        </is>
      </c>
    </row>
    <row r="658">
      <c r="A658" s="23" t="inlineStr">
        <is>
          <t>XS2429208056</t>
        </is>
      </c>
      <c r="B658" s="92">
        <f>PROPER(_xll.BDP($A658&amp;" Corp","NAME"))</f>
        <v/>
      </c>
      <c r="C658" s="23" t="inlineStr">
        <is>
          <t>The company provides life insurance, automobile and homeowners insurance.</t>
        </is>
      </c>
    </row>
    <row r="659">
      <c r="A659" s="92" t="inlineStr">
        <is>
          <t>US30303M8M79</t>
        </is>
      </c>
      <c r="B659" s="92">
        <f>PROPER(_xll.BDP($A659&amp;" Corp","NAME"))</f>
        <v/>
      </c>
      <c r="C659" s="92" t="inlineStr">
        <is>
          <t>A social technology company</t>
        </is>
      </c>
    </row>
    <row r="660">
      <c r="A660" s="23" t="inlineStr">
        <is>
          <t>US30303M8N52</t>
        </is>
      </c>
      <c r="B660" s="92">
        <f>PROPER(_xll.BDP($A660&amp;" Corp","NAME"))</f>
        <v/>
      </c>
      <c r="C660" s="23" t="inlineStr">
        <is>
          <t>A social technology company</t>
        </is>
      </c>
    </row>
    <row r="661">
      <c r="A661" s="23" t="inlineStr">
        <is>
          <t>US30303M8Q83</t>
        </is>
      </c>
      <c r="B661" s="92">
        <f>PROPER(_xll.BDP($A661&amp;" Corp","NAME"))</f>
        <v/>
      </c>
      <c r="C661" s="23" t="inlineStr">
        <is>
          <t>A social technology company</t>
        </is>
      </c>
    </row>
    <row r="662">
      <c r="A662" s="23" t="inlineStr">
        <is>
          <t>US30303M8R66</t>
        </is>
      </c>
      <c r="B662" s="92">
        <f>PROPER(_xll.BDP($A662&amp;" Corp","NAME"))</f>
        <v/>
      </c>
      <c r="C662" s="23" t="inlineStr">
        <is>
          <t>A social technology company</t>
        </is>
      </c>
    </row>
    <row r="663">
      <c r="A663" s="23" t="inlineStr">
        <is>
          <t>US30303M8L96</t>
        </is>
      </c>
      <c r="B663" s="92">
        <f>PROPER(_xll.BDP($A663&amp;" Corp","NAME"))</f>
        <v/>
      </c>
      <c r="C663" s="23" t="inlineStr">
        <is>
          <t>A social technology company</t>
        </is>
      </c>
    </row>
    <row r="664">
      <c r="A664" s="92" t="inlineStr">
        <is>
          <t>US59156RCE62</t>
        </is>
      </c>
      <c r="B664" s="92">
        <f>PROPER(_xll.BDP($A664&amp;" Corp","NAME"))</f>
        <v/>
      </c>
      <c r="C664" s="92" t="inlineStr">
        <is>
          <t>Provides individual insurance, employee benefits, and financial services</t>
        </is>
      </c>
    </row>
    <row r="665">
      <c r="A665" s="23" t="inlineStr">
        <is>
          <t>USP6629MAC66</t>
        </is>
      </c>
      <c r="B665" s="92">
        <f>PROPER(_xll.BDP($A665&amp;" Corp","NAME"))</f>
        <v/>
      </c>
      <c r="C665" s="23" t="inlineStr">
        <is>
          <t>Airport operator</t>
        </is>
      </c>
    </row>
    <row r="666">
      <c r="A666" s="92" t="inlineStr">
        <is>
          <t>US594918BY93</t>
        </is>
      </c>
      <c r="B666" s="92">
        <f>PROPER(_xll.BDP($A666&amp;" Corp","NAME"))</f>
        <v/>
      </c>
      <c r="C666" s="92" t="inlineStr">
        <is>
          <t>World's largest software manufacturer</t>
        </is>
      </c>
    </row>
    <row r="667">
      <c r="A667" s="92" t="inlineStr">
        <is>
          <t>US594918BB90</t>
        </is>
      </c>
      <c r="B667" s="92">
        <f>PROPER(_xll.BDP($A667&amp;" Corp","NAME"))</f>
        <v/>
      </c>
      <c r="C667" s="92" t="inlineStr">
        <is>
          <t>World's largest software manufacturer</t>
        </is>
      </c>
    </row>
    <row r="668">
      <c r="A668" s="23" t="inlineStr">
        <is>
          <t>US594918BC73</t>
        </is>
      </c>
      <c r="B668" s="92">
        <f>PROPER(_xll.BDP($A668&amp;" Corp","NAME"))</f>
        <v/>
      </c>
      <c r="C668" s="23" t="inlineStr">
        <is>
          <t>World's largest software manufacturer</t>
        </is>
      </c>
    </row>
    <row r="669">
      <c r="A669" s="23" t="inlineStr">
        <is>
          <t>US594918BL72</t>
        </is>
      </c>
      <c r="B669" s="92">
        <f>PROPER(_xll.BDP($A669&amp;" Corp","NAME"))</f>
        <v/>
      </c>
      <c r="C669" s="23" t="inlineStr">
        <is>
          <t>World's largest software manufacturer</t>
        </is>
      </c>
    </row>
    <row r="670">
      <c r="A670" s="23" t="inlineStr">
        <is>
          <t>USL6401PAH66</t>
        </is>
      </c>
      <c r="B670" s="92">
        <f>PROPER(_xll.BDP($A670&amp;" Corp","NAME"))</f>
        <v/>
      </c>
      <c r="C670" s="23" t="inlineStr">
        <is>
          <t>One of Brazil's leaders in the production and sale of fresh beef</t>
        </is>
      </c>
    </row>
    <row r="671">
      <c r="A671" s="23" t="inlineStr">
        <is>
          <t>US606822BS23</t>
        </is>
      </c>
      <c r="B671" s="92">
        <f>PROPER(_xll.BDP($A671&amp;" Corp","NAME"))</f>
        <v/>
      </c>
      <c r="C671" s="23" t="inlineStr">
        <is>
          <t>Mitsubishi UFJ Financial Group is a holding company (Mitsubishi Tokyo and UFJ)</t>
        </is>
      </c>
    </row>
    <row r="672">
      <c r="A672" s="23" t="inlineStr">
        <is>
          <t>XS2594990892</t>
        </is>
      </c>
      <c r="B672" s="92">
        <f>PROPER(_xll.BDP($A672&amp;" Corp","NAME"))</f>
        <v/>
      </c>
      <c r="C672" s="23" t="inlineStr">
        <is>
          <t>One of the largest banks in Japan</t>
        </is>
      </c>
    </row>
    <row r="673">
      <c r="A673" s="23" t="inlineStr">
        <is>
          <t>USY6142NAG35</t>
        </is>
      </c>
      <c r="B673" s="92">
        <f>PROPER(_xll.BDP($A673&amp;" Corp","NAME"))</f>
        <v/>
      </c>
      <c r="C673" s="23" t="inlineStr">
        <is>
          <t>Mongolia sovereign bond</t>
        </is>
      </c>
    </row>
    <row r="674">
      <c r="A674" s="92" t="inlineStr">
        <is>
          <t>US61746BCY02</t>
        </is>
      </c>
      <c r="B674" s="92">
        <f>PROPER(_xll.BDP($A674&amp;" Corp","NAME"))</f>
        <v/>
      </c>
      <c r="C674" s="92" t="inlineStr">
        <is>
          <t>One of the largest US investment banks</t>
        </is>
      </c>
    </row>
    <row r="675">
      <c r="A675" s="92" t="inlineStr">
        <is>
          <t>XS2446386356</t>
        </is>
      </c>
      <c r="B675" s="92">
        <f>PROPER(_xll.BDP($A675&amp;" Corp","NAME"))</f>
        <v/>
      </c>
      <c r="C675" s="92" t="inlineStr">
        <is>
          <t>One of the largest US investment banks</t>
        </is>
      </c>
    </row>
    <row r="676">
      <c r="A676" s="23" t="inlineStr">
        <is>
          <t>USU5521TAG77</t>
        </is>
      </c>
      <c r="B676" s="92">
        <f>PROPER(_xll.BDP($A676&amp;" Corp","NAME"))</f>
        <v/>
      </c>
      <c r="C676" s="23" t="inlineStr">
        <is>
          <t>Global provider of financial indices, data and analytics</t>
        </is>
      </c>
    </row>
    <row r="677">
      <c r="A677" s="23" t="inlineStr">
        <is>
          <t>US55354GAL41</t>
        </is>
      </c>
      <c r="B677" s="92">
        <f>PROPER(_xll.BDP($A677&amp;" Corp","NAME"))</f>
        <v/>
      </c>
      <c r="C677" s="23" t="inlineStr">
        <is>
          <t>Global provider of financial indices, data and analytics</t>
        </is>
      </c>
    </row>
    <row r="678">
      <c r="A678" s="23" t="inlineStr">
        <is>
          <t>USJ0423YBX16</t>
        </is>
      </c>
      <c r="B678" s="92">
        <f>PROPER(_xll.BDP($A678&amp;" Corp","NAME"))</f>
        <v/>
      </c>
      <c r="C678" s="23" t="inlineStr">
        <is>
          <t>Major commercial banking organization in Japan</t>
        </is>
      </c>
    </row>
    <row r="679">
      <c r="A679" s="23" t="inlineStr">
        <is>
          <t>XS2242171291</t>
        </is>
      </c>
      <c r="B679" s="92">
        <f>PROPER(_xll.BDP($A679&amp;" Corp","NAME"))</f>
        <v/>
      </c>
      <c r="C679" s="23" t="inlineStr">
        <is>
          <t>UAE partially state-owned district cooling company</t>
        </is>
      </c>
    </row>
    <row r="680">
      <c r="A680" s="23" t="inlineStr">
        <is>
          <t>US639057AG33</t>
        </is>
      </c>
      <c r="B680" s="92">
        <f>PROPER(_xll.BDP($A680&amp;" Corp","NAME"))</f>
        <v/>
      </c>
      <c r="C680" s="23" t="inlineStr">
        <is>
          <t xml:space="preserve">Provide worldwide financial services. </t>
        </is>
      </c>
    </row>
    <row r="681">
      <c r="A681" s="23" t="inlineStr">
        <is>
          <t>XS1795261822</t>
        </is>
      </c>
      <c r="B681" s="92">
        <f>PROPER(_xll.BDP($A681&amp;" Corp","NAME"))</f>
        <v/>
      </c>
      <c r="C681" s="23" t="inlineStr">
        <is>
          <t>Banking and Financial service company</t>
        </is>
      </c>
    </row>
    <row r="682">
      <c r="A682" s="92" t="inlineStr">
        <is>
          <t>XS2449911143</t>
        </is>
      </c>
      <c r="B682" s="92">
        <f>PROPER(_xll.BDP($A682&amp;" Corp","NAME"))</f>
        <v/>
      </c>
      <c r="C682" s="92" t="inlineStr">
        <is>
          <t>Banking and Financial service company</t>
        </is>
      </c>
    </row>
    <row r="683">
      <c r="A683" s="23" t="inlineStr">
        <is>
          <t>XS2576255249</t>
        </is>
      </c>
      <c r="B683" s="92">
        <f>PROPER(_xll.BDP($A683&amp;" Corp","NAME"))</f>
        <v/>
      </c>
      <c r="C683" s="23" t="inlineStr">
        <is>
          <t xml:space="preserve">Banking and Financial service company </t>
        </is>
      </c>
    </row>
    <row r="684">
      <c r="A684" s="23" t="inlineStr">
        <is>
          <t>CH1231312708</t>
        </is>
      </c>
      <c r="B684" s="92">
        <f>PROPER(_xll.BDP($A684&amp;" Corp","NAME"))</f>
        <v/>
      </c>
      <c r="C684" s="23" t="inlineStr">
        <is>
          <t>Banking and Financial service company</t>
        </is>
      </c>
    </row>
    <row r="685">
      <c r="A685" s="23" t="inlineStr">
        <is>
          <t>CH1167887277</t>
        </is>
      </c>
      <c r="B685" s="92">
        <f>PROPER(_xll.BDP($A685&amp;" Corp","NAME"))</f>
        <v/>
      </c>
      <c r="C685" s="23" t="inlineStr">
        <is>
          <t>Banking and Financial service company</t>
        </is>
      </c>
    </row>
    <row r="686">
      <c r="A686" s="23" t="inlineStr">
        <is>
          <t>USP71340AD81</t>
        </is>
      </c>
      <c r="B686" s="92">
        <f>PROPER(_xll.BDP($A686&amp;" Corp","NAME"))</f>
        <v/>
      </c>
      <c r="C686" s="23" t="inlineStr">
        <is>
          <t>Nemak develops and markets aluminum products for the automotive industry</t>
        </is>
      </c>
    </row>
    <row r="687">
      <c r="A687" s="23" t="inlineStr">
        <is>
          <t>XS2362994068</t>
        </is>
      </c>
      <c r="B687" s="92">
        <f>PROPER(_xll.BDP($A687&amp;" Corp","NAME"))</f>
        <v/>
      </c>
      <c r="C687" s="23" t="inlineStr">
        <is>
          <t>Developer and manufacturer of aluminum products for the auto industry</t>
        </is>
      </c>
    </row>
    <row r="688">
      <c r="A688" s="92" t="inlineStr">
        <is>
          <t>XS2595412631</t>
        </is>
      </c>
      <c r="B688" s="92">
        <f>PROPER(_xll.BDP($A688&amp;" Corp","NAME"))</f>
        <v/>
      </c>
      <c r="C688" s="92" t="inlineStr">
        <is>
          <t>Swiss multinational packaged food company</t>
        </is>
      </c>
    </row>
    <row r="689">
      <c r="A689" s="23" t="inlineStr">
        <is>
          <t>XS2595410775</t>
        </is>
      </c>
      <c r="B689" s="92">
        <f>PROPER(_xll.BDP($A689&amp;" Corp","NAME"))</f>
        <v/>
      </c>
      <c r="C689" s="23" t="inlineStr">
        <is>
          <t>Swiss multinational packaged food company</t>
        </is>
      </c>
    </row>
    <row r="690">
      <c r="A690" s="23" t="inlineStr">
        <is>
          <t>XS2148390755</t>
        </is>
      </c>
      <c r="B690" s="92">
        <f>PROPER(_xll.BDP($A690&amp;" Corp","NAME"))</f>
        <v/>
      </c>
      <c r="C690" s="23" t="inlineStr">
        <is>
          <t>Swiss multinational packaged food company</t>
        </is>
      </c>
    </row>
    <row r="691">
      <c r="A691" s="92" t="inlineStr">
        <is>
          <t>XS2689046626</t>
        </is>
      </c>
      <c r="B691" s="92">
        <f>PROPER(_xll.BDP($A691&amp;" Corp","NAME"))</f>
        <v/>
      </c>
      <c r="C691" s="92" t="inlineStr">
        <is>
          <t>Swiss multinational packaged food company</t>
        </is>
      </c>
    </row>
    <row r="692">
      <c r="A692" s="23" t="inlineStr">
        <is>
          <t>USU64106CD47</t>
        </is>
      </c>
      <c r="B692" s="92">
        <f>PROPER(_xll.BDP($A692&amp;" Corp","NAME"))</f>
        <v/>
      </c>
      <c r="C692" s="23" t="inlineStr">
        <is>
          <t>Swiss multinational packaged food company</t>
        </is>
      </c>
    </row>
    <row r="693">
      <c r="A693" s="23" t="inlineStr">
        <is>
          <t>USU74078CU56</t>
        </is>
      </c>
      <c r="B693" s="92">
        <f>PROPER(_xll.BDP($A693&amp;" Corp","NAME"))</f>
        <v/>
      </c>
      <c r="C693" s="23" t="inlineStr">
        <is>
          <t>Swiss multinational packaged food company</t>
        </is>
      </c>
    </row>
    <row r="694">
      <c r="A694" s="23" t="inlineStr">
        <is>
          <t>USU64106CB80</t>
        </is>
      </c>
      <c r="B694" s="92">
        <f>PROPER(_xll.BDP($A694&amp;" Corp","NAME"))</f>
        <v/>
      </c>
      <c r="C694" s="23" t="inlineStr">
        <is>
          <t>Swiss multinational packaged food company</t>
        </is>
      </c>
    </row>
    <row r="695">
      <c r="A695" s="23" t="inlineStr">
        <is>
          <t>XS2689044258</t>
        </is>
      </c>
      <c r="B695" s="92">
        <f>PROPER(_xll.BDP($A695&amp;" Corp","NAME"))</f>
        <v/>
      </c>
      <c r="C695" s="23" t="inlineStr">
        <is>
          <t>Swiss multinational packaged food company</t>
        </is>
      </c>
    </row>
    <row r="696">
      <c r="A696" s="23" t="inlineStr">
        <is>
          <t>CH1226543846</t>
        </is>
      </c>
      <c r="B696" s="92">
        <f>PROPER(_xll.BDP($A696&amp;" Corp","NAME"))</f>
        <v/>
      </c>
      <c r="C696" s="23" t="inlineStr">
        <is>
          <t>Swiss multinational packaged food company</t>
        </is>
      </c>
    </row>
    <row r="697">
      <c r="A697" s="23" t="inlineStr">
        <is>
          <t>CH1226543838</t>
        </is>
      </c>
      <c r="B697" s="92">
        <f>PROPER(_xll.BDP($A697&amp;" Corp","NAME"))</f>
        <v/>
      </c>
      <c r="C697" s="23" t="inlineStr">
        <is>
          <t>Swiss multinational packaged food company</t>
        </is>
      </c>
    </row>
    <row r="698">
      <c r="A698" s="23" t="inlineStr">
        <is>
          <t>CH1221150506</t>
        </is>
      </c>
      <c r="B698" s="92">
        <f>PROPER(_xll.BDP($A698&amp;" Corp","NAME"))</f>
        <v/>
      </c>
      <c r="C698" s="23" t="inlineStr">
        <is>
          <t>Swiss multinational packaged food company</t>
        </is>
      </c>
    </row>
    <row r="699">
      <c r="A699" s="23" t="inlineStr">
        <is>
          <t>XS2811733240</t>
        </is>
      </c>
      <c r="B699" s="92">
        <f>PROPER(_xll.BDP($A699&amp;" Corp","NAME"))</f>
        <v/>
      </c>
      <c r="C699" s="23" t="inlineStr">
        <is>
          <t>The company provides life insurance, automobile and homeowners insurance.</t>
        </is>
      </c>
    </row>
    <row r="700">
      <c r="A700" s="23" t="inlineStr">
        <is>
          <t>XS2572476864</t>
        </is>
      </c>
      <c r="B700" s="92">
        <f>PROPER(_xll.BDP($A700&amp;" Corp","NAME"))</f>
        <v/>
      </c>
      <c r="C700" s="23" t="inlineStr">
        <is>
          <t>The company provides life insurance, automobile and homeowners insurance.</t>
        </is>
      </c>
    </row>
    <row r="701">
      <c r="A701" s="23" t="inlineStr">
        <is>
          <t>USP98118AA38</t>
        </is>
      </c>
      <c r="B701" s="92">
        <f>PROPER(_xll.BDP($A701&amp;" Corp","NAME"))</f>
        <v/>
      </c>
      <c r="C701" s="23" t="inlineStr">
        <is>
          <t xml:space="preserve">Mining company </t>
        </is>
      </c>
    </row>
    <row r="702">
      <c r="A702" s="23" t="inlineStr">
        <is>
          <t>USL67359AB21</t>
        </is>
      </c>
      <c r="B702" s="92">
        <f>PROPER(_xll.BDP($A702&amp;" Corp","NAME"))</f>
        <v/>
      </c>
      <c r="C702" s="23" t="inlineStr">
        <is>
          <t xml:space="preserve">Mining company </t>
        </is>
      </c>
    </row>
    <row r="703">
      <c r="A703" s="23" t="inlineStr">
        <is>
          <t>FR001400H0F5</t>
        </is>
      </c>
      <c r="B703" s="92">
        <f>PROPER(_xll.BDP($A703&amp;" Corp","NAME"))</f>
        <v/>
      </c>
      <c r="C703" s="23" t="inlineStr">
        <is>
          <t>Manufactures cables</t>
        </is>
      </c>
    </row>
    <row r="704">
      <c r="A704" s="23" t="inlineStr">
        <is>
          <t>XS1985037974</t>
        </is>
      </c>
      <c r="B704" s="92">
        <f>PROPER(_xll.BDP($A704&amp;" Corp","NAME"))</f>
        <v/>
      </c>
      <c r="C704" s="23" t="inlineStr">
        <is>
          <t>British clothing, footwear and home products company</t>
        </is>
      </c>
    </row>
    <row r="705">
      <c r="A705" s="23" t="inlineStr">
        <is>
          <t>US65339KCP30</t>
        </is>
      </c>
      <c r="B705" s="92">
        <f>PROPER(_xll.BDP($A705&amp;" Corp","NAME"))</f>
        <v/>
      </c>
      <c r="C705" s="23" t="inlineStr">
        <is>
          <t>Develops, constructs, operates and manages wind and solar energy plants</t>
        </is>
      </c>
    </row>
    <row r="706">
      <c r="A706" s="23" t="inlineStr">
        <is>
          <t>US65339KCQ13</t>
        </is>
      </c>
      <c r="B706" s="92">
        <f>PROPER(_xll.BDP($A706&amp;" Corp","NAME"))</f>
        <v/>
      </c>
      <c r="C706" s="23" t="inlineStr">
        <is>
          <t>Develops, constructs, operates and manages wind and solar energy plants</t>
        </is>
      </c>
    </row>
    <row r="707">
      <c r="A707" s="23" t="inlineStr">
        <is>
          <t>XS1423753463</t>
        </is>
      </c>
      <c r="B707" s="92">
        <f>PROPER(_xll.BDP($A707&amp;" Corp","NAME"))</f>
        <v/>
      </c>
      <c r="C707" s="23" t="inlineStr">
        <is>
          <t>Dutch bank with activities in corporate and investment banking</t>
        </is>
      </c>
    </row>
    <row r="708">
      <c r="A708" s="23" t="inlineStr">
        <is>
          <t>US65535HAR03</t>
        </is>
      </c>
      <c r="B708" s="92">
        <f>PROPER(_xll.BDP($A708&amp;" Corp","NAME"))</f>
        <v/>
      </c>
      <c r="C708" s="23" t="inlineStr">
        <is>
          <t>Japanese financial holding company</t>
        </is>
      </c>
    </row>
    <row r="709">
      <c r="A709" s="23" t="inlineStr">
        <is>
          <t>US65535HBK41</t>
        </is>
      </c>
      <c r="B709" s="92">
        <f>PROPER(_xll.BDP($A709&amp;" Corp","NAME"))</f>
        <v/>
      </c>
      <c r="C709" s="23" t="inlineStr">
        <is>
          <t>Japanese financial holding company</t>
        </is>
      </c>
    </row>
    <row r="710">
      <c r="A710" s="92" t="inlineStr">
        <is>
          <t>USX6000LAA27</t>
        </is>
      </c>
      <c r="B710" s="92">
        <f>PROPER(_xll.BDP($A710&amp;" Corp","NAME"))</f>
        <v/>
      </c>
      <c r="C710" s="92" t="inlineStr">
        <is>
          <t>Largest financial services group in the Nordic and Baltic Sea region</t>
        </is>
      </c>
    </row>
    <row r="711">
      <c r="A711" s="92" t="inlineStr">
        <is>
          <t>XS2443893255</t>
        </is>
      </c>
      <c r="B711" s="92">
        <f>PROPER(_xll.BDP($A711&amp;" Corp","NAME"))</f>
        <v/>
      </c>
      <c r="C711" s="92" t="inlineStr">
        <is>
          <t>Largest financial services group in the Nordic and Baltic Sea region</t>
        </is>
      </c>
    </row>
    <row r="712">
      <c r="A712" s="23" t="inlineStr">
        <is>
          <t>XS2578472412</t>
        </is>
      </c>
      <c r="B712" s="92">
        <f>PROPER(_xll.BDP($A712&amp;" Corp","NAME"))</f>
        <v/>
      </c>
      <c r="C712" s="23" t="inlineStr">
        <is>
          <t>Provides banking and financial services.</t>
        </is>
      </c>
    </row>
    <row r="713">
      <c r="A713" s="23" t="inlineStr">
        <is>
          <t>XS2578472412</t>
        </is>
      </c>
      <c r="B713" s="92">
        <f>PROPER(_xll.BDP($A713&amp;" Corp","NAME"))</f>
        <v/>
      </c>
      <c r="C713" s="23" t="inlineStr">
        <is>
          <t>Provides banking and financial services</t>
        </is>
      </c>
    </row>
    <row r="714">
      <c r="A714" s="23" t="inlineStr">
        <is>
          <t xml:space="preserve">US66989HAN89 </t>
        </is>
      </c>
      <c r="B714" s="92">
        <f>PROPER(_xll.BDP($A714&amp;" Corp","NAME"))</f>
        <v/>
      </c>
      <c r="C714" s="23" t="inlineStr">
        <is>
          <t>Global pharmaceutical company</t>
        </is>
      </c>
    </row>
    <row r="715">
      <c r="A715" s="23" t="inlineStr">
        <is>
          <t>US66989HAR93</t>
        </is>
      </c>
      <c r="B715" s="92">
        <f>PROPER(_xll.BDP($A715&amp;" Corp","NAME"))</f>
        <v/>
      </c>
      <c r="C715" s="23" t="inlineStr">
        <is>
          <t>Global pharmaceutical company</t>
        </is>
      </c>
    </row>
    <row r="716">
      <c r="A716" s="23" t="inlineStr">
        <is>
          <t xml:space="preserve">XS2820449945 </t>
        </is>
      </c>
      <c r="B716" s="92">
        <f>PROPER(_xll.BDP($A716&amp;" Corp","NAME"))</f>
        <v/>
      </c>
      <c r="C716" s="23" t="inlineStr">
        <is>
          <t xml:space="preserve">Global leading pharmaceutical company in diabetes and chronic diseases </t>
        </is>
      </c>
    </row>
    <row r="717">
      <c r="A717" s="23" t="inlineStr">
        <is>
          <t>XS2820454606</t>
        </is>
      </c>
      <c r="B717" s="92">
        <f>PROPER(_xll.BDP($A717&amp;" Corp","NAME"))</f>
        <v/>
      </c>
      <c r="C717" s="23" t="inlineStr">
        <is>
          <t xml:space="preserve">Global leading pharmaceutical company in diabetes and chronic diseases </t>
        </is>
      </c>
    </row>
    <row r="718">
      <c r="A718" s="23" t="inlineStr">
        <is>
          <t>XS2820455678</t>
        </is>
      </c>
      <c r="B718" s="92">
        <f>PROPER(_xll.BDP($A718&amp;" Corp","NAME"))</f>
        <v/>
      </c>
      <c r="C718" s="23" t="inlineStr">
        <is>
          <t xml:space="preserve">Global leading pharmaceutical company in diabetes and chronic diseases </t>
        </is>
      </c>
    </row>
    <row r="719">
      <c r="A719" s="23" t="inlineStr">
        <is>
          <t>XS1372846003</t>
        </is>
      </c>
      <c r="B719" s="92">
        <f>PROPER(_xll.BDP($A719&amp;" Corp","NAME"))</f>
        <v/>
      </c>
      <c r="C719" s="23" t="inlineStr">
        <is>
          <t xml:space="preserve">Majority state-owned power generation company </t>
        </is>
      </c>
    </row>
    <row r="720">
      <c r="A720" s="23" t="inlineStr">
        <is>
          <t>XS1372846003</t>
        </is>
      </c>
      <c r="B720" s="92">
        <f>PROPER(_xll.BDP($A720&amp;" Corp","NAME"))</f>
        <v/>
      </c>
      <c r="C720" s="23" t="inlineStr">
        <is>
          <t xml:space="preserve">Majority state-owned power generation company </t>
        </is>
      </c>
    </row>
    <row r="721">
      <c r="A721" s="23" t="inlineStr">
        <is>
          <t>XS1792122266</t>
        </is>
      </c>
      <c r="B721" s="92">
        <f>PROPER(_xll.BDP($A721&amp;" Corp","NAME"))</f>
        <v/>
      </c>
      <c r="C721" s="23" t="inlineStr">
        <is>
          <t xml:space="preserve">Majority state-owned power generation company </t>
        </is>
      </c>
    </row>
    <row r="722">
      <c r="A722" s="23" t="inlineStr">
        <is>
          <t>XS2576361609</t>
        </is>
      </c>
      <c r="B722" s="92">
        <f>PROPER(_xll.BDP($A722&amp;" Corp","NAME"))</f>
        <v/>
      </c>
      <c r="C722" s="23" t="inlineStr">
        <is>
          <t>Doing business as OeKB, provides financial</t>
        </is>
      </c>
    </row>
    <row r="723">
      <c r="A723" s="23" t="inlineStr">
        <is>
          <t>CH0020632144</t>
        </is>
      </c>
      <c r="B723" s="92">
        <f>PROPER(_xll.BDP($A723&amp;" Corp","NAME"))</f>
        <v/>
      </c>
      <c r="C723" s="23" t="inlineStr">
        <is>
          <t>Doing business as OeKB, provides financial</t>
        </is>
      </c>
    </row>
    <row r="724">
      <c r="A724" s="23" t="inlineStr">
        <is>
          <t>XS2810168737</t>
        </is>
      </c>
      <c r="B724" s="92">
        <f>PROPER(_xll.BDP($A724&amp;" Corp","NAME"))</f>
        <v/>
      </c>
      <c r="C724" s="23" t="inlineStr">
        <is>
          <t xml:space="preserve">Moroccan state-owned fertiliser company </t>
        </is>
      </c>
    </row>
    <row r="725">
      <c r="A725" s="23" t="inlineStr">
        <is>
          <t>XS1221677120</t>
        </is>
      </c>
      <c r="B725" s="92">
        <f>PROPER(_xll.BDP($A725&amp;" Corp","NAME"))</f>
        <v/>
      </c>
      <c r="C725" s="23" t="inlineStr">
        <is>
          <t xml:space="preserve">Moroccan state-owned fertiliser company </t>
        </is>
      </c>
    </row>
    <row r="726">
      <c r="A726" s="23" t="inlineStr">
        <is>
          <t>XS1565437487</t>
        </is>
      </c>
      <c r="B726" s="92">
        <f>PROPER(_xll.BDP($A726&amp;" Corp","NAME"))</f>
        <v/>
      </c>
      <c r="C726" s="23" t="inlineStr">
        <is>
          <t xml:space="preserve">Majority state-owned oil and gas company </t>
        </is>
      </c>
    </row>
    <row r="727">
      <c r="A727" s="23" t="inlineStr">
        <is>
          <t>XS1932866079</t>
        </is>
      </c>
      <c r="B727" s="92">
        <f>PROPER(_xll.BDP($A727&amp;" Corp","NAME"))</f>
        <v/>
      </c>
      <c r="C727" s="23" t="inlineStr">
        <is>
          <t xml:space="preserve">Majority state-owned oil and gas company </t>
        </is>
      </c>
    </row>
    <row r="728">
      <c r="A728" s="23" t="inlineStr">
        <is>
          <t>XS1457499645</t>
        </is>
      </c>
      <c r="B728" s="92">
        <f>PROPER(_xll.BDP($A728&amp;" Corp","NAME"))</f>
        <v/>
      </c>
      <c r="C728" s="23" t="inlineStr">
        <is>
          <t xml:space="preserve">Majority state-owned oil and gas producer </t>
        </is>
      </c>
    </row>
    <row r="729">
      <c r="A729" s="23" t="inlineStr">
        <is>
          <t>US683234AU21</t>
        </is>
      </c>
      <c r="B729" s="92">
        <f>PROPER(_xll.BDP($A729&amp;" Corp","NAME"))</f>
        <v/>
      </c>
      <c r="C729" s="23" t="inlineStr">
        <is>
          <t>Province of Ontario (Canada)</t>
        </is>
      </c>
    </row>
    <row r="730">
      <c r="A730" s="23" t="inlineStr">
        <is>
          <t>XS2484353219</t>
        </is>
      </c>
      <c r="B730" s="92">
        <f>PROPER(_xll.BDP($A730&amp;" Corp","NAME"))</f>
        <v/>
      </c>
      <c r="C730" s="23" t="inlineStr">
        <is>
          <t>Province of Ontario (Canada)</t>
        </is>
      </c>
    </row>
    <row r="731">
      <c r="A731" s="23" t="inlineStr">
        <is>
          <t>USC69798AJ27</t>
        </is>
      </c>
      <c r="B731" s="92">
        <f>PROPER(_xll.BDP($A731&amp;" Corp","NAME"))</f>
        <v/>
      </c>
      <c r="C731" s="23" t="inlineStr">
        <is>
          <t>The Company engages in raising funds and incurring indebtedness</t>
        </is>
      </c>
    </row>
    <row r="732">
      <c r="A732" s="23" t="inlineStr">
        <is>
          <t xml:space="preserve">XS2311299957 </t>
        </is>
      </c>
      <c r="B732" s="92">
        <f>PROPER(_xll.BDP($A732&amp;" Corp","NAME"))</f>
        <v/>
      </c>
      <c r="C732" s="23" t="inlineStr">
        <is>
          <t xml:space="preserve">Qatari majority state-owned telecom </t>
        </is>
      </c>
    </row>
    <row r="733">
      <c r="A733" s="23" t="inlineStr">
        <is>
          <t>US68389XAU90</t>
        </is>
      </c>
      <c r="B733" s="92">
        <f>PROPER(_xll.BDP($A733&amp;" Corp","NAME"))</f>
        <v/>
      </c>
      <c r="C733" s="23" t="inlineStr">
        <is>
          <t xml:space="preserve">One of the largest global enterprise software company </t>
        </is>
      </c>
    </row>
    <row r="734">
      <c r="A734" s="23" t="inlineStr">
        <is>
          <t>US68389XCF06</t>
        </is>
      </c>
      <c r="B734" s="92">
        <f>PROPER(_xll.BDP($A734&amp;" Corp","NAME"))</f>
        <v/>
      </c>
      <c r="C734" s="23" t="inlineStr">
        <is>
          <t xml:space="preserve">One of the largest global enterprise software company </t>
        </is>
      </c>
    </row>
    <row r="735">
      <c r="A735" s="23" t="inlineStr">
        <is>
          <t>US68389XCH61</t>
        </is>
      </c>
      <c r="B735" s="92">
        <f>PROPER(_xll.BDP($A735&amp;" Corp","NAME"))</f>
        <v/>
      </c>
      <c r="C735" s="23" t="inlineStr">
        <is>
          <t>One of the largest global enterprise software companies</t>
        </is>
      </c>
    </row>
    <row r="736">
      <c r="A736" s="23" t="inlineStr">
        <is>
          <t>US68389XCK90</t>
        </is>
      </c>
      <c r="B736" s="92">
        <f>PROPER(_xll.BDP($A736&amp;" Corp","NAME"))</f>
        <v/>
      </c>
      <c r="C736" s="23" t="inlineStr">
        <is>
          <t xml:space="preserve">One of the largest global enterprise software company </t>
        </is>
      </c>
    </row>
    <row r="737">
      <c r="A737" s="23" t="inlineStr">
        <is>
          <t>USP7372BAA19</t>
        </is>
      </c>
      <c r="B737" s="92">
        <f>PROPER(_xll.BDP($A737&amp;" Corp","NAME"))</f>
        <v/>
      </c>
      <c r="C737" s="23" t="inlineStr">
        <is>
          <t>Utility company</t>
        </is>
      </c>
    </row>
    <row r="738">
      <c r="A738" s="92" t="inlineStr">
        <is>
          <t>XS2647371843</t>
        </is>
      </c>
      <c r="B738" s="92">
        <f>PROPER(_xll.BDP($A738&amp;" Corp","NAME"))</f>
        <v/>
      </c>
      <c r="C738" s="92" t="inlineStr">
        <is>
          <t>Is an integrated, multi-utility company, operating in Central Europe and Canada</t>
        </is>
      </c>
    </row>
    <row r="739">
      <c r="A739" s="23" t="inlineStr">
        <is>
          <t>XS1997070781</t>
        </is>
      </c>
      <c r="B739" s="92">
        <f>PROPER(_xll.BDP($A739&amp;" Corp","NAME"))</f>
        <v/>
      </c>
      <c r="C739" s="23" t="inlineStr">
        <is>
          <t>Danish utility company operating offshore wind farm</t>
        </is>
      </c>
    </row>
    <row r="740">
      <c r="A740" s="23" t="inlineStr">
        <is>
          <t>USP7464EAA49</t>
        </is>
      </c>
      <c r="B740" s="92">
        <f>PROPER(_xll.BDP($A740&amp;" Corp","NAME"))</f>
        <v/>
      </c>
      <c r="C740" s="23" t="inlineStr">
        <is>
          <t>Generates, transmits and distributes electricity</t>
        </is>
      </c>
    </row>
    <row r="741">
      <c r="A741" s="23" t="inlineStr">
        <is>
          <t>US713448CT37</t>
        </is>
      </c>
      <c r="B741" s="92">
        <f>PROPER(_xll.BDP($A741&amp;" Corp","NAME"))</f>
        <v/>
      </c>
      <c r="C741" s="23" t="inlineStr">
        <is>
          <t>One of the world leaders in snack foods and beverages</t>
        </is>
      </c>
    </row>
    <row r="742">
      <c r="A742" s="23" t="inlineStr">
        <is>
          <t>US713448EL82</t>
        </is>
      </c>
      <c r="B742" s="92">
        <f>PROPER(_xll.BDP($A742&amp;" Corp","NAME"))</f>
        <v/>
      </c>
      <c r="C742" s="23" t="inlineStr">
        <is>
          <t>One of the world leaders in snack foods and beverages</t>
        </is>
      </c>
    </row>
    <row r="743">
      <c r="A743" s="23" t="inlineStr">
        <is>
          <t>US713448FS27</t>
        </is>
      </c>
      <c r="B743" s="92">
        <f>PROPER(_xll.BDP($A743&amp;" Corp","NAME"))</f>
        <v/>
      </c>
      <c r="C743" s="23" t="inlineStr">
        <is>
          <t>One of the world leaders in snack foods and beverages</t>
        </is>
      </c>
    </row>
    <row r="744">
      <c r="A744" s="23" t="inlineStr">
        <is>
          <t>US713448FT00</t>
        </is>
      </c>
      <c r="B744" s="92">
        <f>PROPER(_xll.BDP($A744&amp;" Corp","NAME"))</f>
        <v/>
      </c>
      <c r="C744" s="23" t="inlineStr">
        <is>
          <t>One of the world leaders in snack foods and beverages</t>
        </is>
      </c>
    </row>
    <row r="745">
      <c r="A745" s="23" t="inlineStr">
        <is>
          <t>USU7136QAB78</t>
        </is>
      </c>
      <c r="B745" s="92">
        <f>PROPER(_xll.BDP($A745&amp;" Corp","NAME"))</f>
        <v/>
      </c>
      <c r="C745" s="23" t="inlineStr">
        <is>
          <t>Pernod Ricard International Finance LLC manufactures alcoholic beverages.</t>
        </is>
      </c>
    </row>
    <row r="746">
      <c r="A746" s="23" t="inlineStr">
        <is>
          <t>FR001400KPB4</t>
        </is>
      </c>
      <c r="B746" s="92">
        <f>PROPER(_xll.BDP($A746&amp;" Corp","NAME"))</f>
        <v/>
      </c>
      <c r="C746" s="23" t="inlineStr">
        <is>
          <t>Pernod Ricard produces and markets alcoholic beverages.</t>
        </is>
      </c>
    </row>
    <row r="747">
      <c r="A747" s="23" t="inlineStr">
        <is>
          <t>FR001400KPC2</t>
        </is>
      </c>
      <c r="B747" s="92">
        <f>PROPER(_xll.BDP($A747&amp;" Corp","NAME"))</f>
        <v/>
      </c>
      <c r="C747" s="23" t="inlineStr">
        <is>
          <t>Pernod Ricard produces and markets alcoholic beverages.</t>
        </is>
      </c>
    </row>
    <row r="748">
      <c r="A748" s="23" t="inlineStr">
        <is>
          <t>XS0718502007</t>
        </is>
      </c>
      <c r="B748" s="92">
        <f>PROPER(_xll.BDP($A748&amp;" Corp","NAME"))</f>
        <v/>
      </c>
      <c r="C748" s="23" t="inlineStr">
        <is>
          <t>Largest oil company in Latin America</t>
        </is>
      </c>
    </row>
    <row r="749">
      <c r="A749" s="23" t="inlineStr">
        <is>
          <t>US71647NAQ25</t>
        </is>
      </c>
      <c r="B749" s="92">
        <f>PROPER(_xll.BDP($A749&amp;" Corp","NAME"))</f>
        <v/>
      </c>
      <c r="C749" s="23" t="inlineStr">
        <is>
          <t>Largest oil company in Latin America</t>
        </is>
      </c>
    </row>
    <row r="750">
      <c r="A750" s="23" t="inlineStr">
        <is>
          <t>US71647NAS80</t>
        </is>
      </c>
      <c r="B750" s="92">
        <f>PROPER(_xll.BDP($A750&amp;" Corp","NAME"))</f>
        <v/>
      </c>
      <c r="C750" s="23" t="inlineStr">
        <is>
          <t>Largest oil company in Latin America</t>
        </is>
      </c>
    </row>
    <row r="751">
      <c r="A751" s="23" t="inlineStr">
        <is>
          <t>US71647NAY58</t>
        </is>
      </c>
      <c r="B751" s="92">
        <f>PROPER(_xll.BDP($A751&amp;" Corp","NAME"))</f>
        <v/>
      </c>
      <c r="C751" s="23" t="inlineStr">
        <is>
          <t>Largest oil company in Latin America</t>
        </is>
      </c>
    </row>
    <row r="752">
      <c r="A752" s="23" t="inlineStr">
        <is>
          <t>US71647NAZ24</t>
        </is>
      </c>
      <c r="B752" s="92">
        <f>PROPER(_xll.BDP($A752&amp;" Corp","NAME"))</f>
        <v/>
      </c>
      <c r="C752" s="23" t="inlineStr">
        <is>
          <t>Largest oil company in Latin America</t>
        </is>
      </c>
    </row>
    <row r="753">
      <c r="A753" s="23" t="inlineStr">
        <is>
          <t>US71647NBH17</t>
        </is>
      </c>
      <c r="B753" s="92">
        <f>PROPER(_xll.BDP($A753&amp;" Corp","NAME"))</f>
        <v/>
      </c>
      <c r="C753" s="23" t="inlineStr">
        <is>
          <t>Largest oil company in Latin America</t>
        </is>
      </c>
    </row>
    <row r="754">
      <c r="A754" s="23" t="inlineStr">
        <is>
          <t>US71645WAQ42</t>
        </is>
      </c>
      <c r="B754" s="92">
        <f>PROPER(_xll.BDP($A754&amp;" Corp","NAME"))</f>
        <v/>
      </c>
      <c r="C754" s="23" t="inlineStr">
        <is>
          <t>Largest oil company in Latin America</t>
        </is>
      </c>
    </row>
    <row r="755">
      <c r="A755" s="23" t="inlineStr">
        <is>
          <t>US71645WAS08</t>
        </is>
      </c>
      <c r="B755" s="92">
        <f>PROPER(_xll.BDP($A755&amp;" Corp","NAME"))</f>
        <v/>
      </c>
      <c r="C755" s="23" t="inlineStr">
        <is>
          <t>Largest oil company in Latin America</t>
        </is>
      </c>
    </row>
    <row r="756">
      <c r="A756" s="23" t="inlineStr">
        <is>
          <t>US71647NAK54</t>
        </is>
      </c>
      <c r="B756" s="92">
        <f>PROPER(_xll.BDP($A756&amp;" Corp","NAME"))</f>
        <v/>
      </c>
      <c r="C756" s="23" t="inlineStr">
        <is>
          <t>Largest oil company in Latin America</t>
        </is>
      </c>
    </row>
    <row r="757">
      <c r="A757" s="23" t="inlineStr">
        <is>
          <t>US71647NAN93</t>
        </is>
      </c>
      <c r="B757" s="92">
        <f>PROPER(_xll.BDP($A757&amp;" Corp","NAME"))</f>
        <v/>
      </c>
      <c r="C757" s="23" t="inlineStr">
        <is>
          <t>Largest oil company in Latin America</t>
        </is>
      </c>
    </row>
    <row r="758">
      <c r="A758" s="23" t="inlineStr">
        <is>
          <t>XS0835891838</t>
        </is>
      </c>
      <c r="B758" s="92">
        <f>PROPER(_xll.BDP($A758&amp;" Corp","NAME"))</f>
        <v/>
      </c>
      <c r="C758" s="23" t="inlineStr">
        <is>
          <t>7th largest commercial bank in Brazil, 50% owned by Banco do Brasil</t>
        </is>
      </c>
    </row>
    <row r="759">
      <c r="A759" s="23" t="inlineStr">
        <is>
          <t>XS0982711714</t>
        </is>
      </c>
      <c r="B759" s="92">
        <f>PROPER(_xll.BDP($A759&amp;" Corp","NAME"))</f>
        <v/>
      </c>
      <c r="C759" s="23" t="inlineStr">
        <is>
          <t>Largest oil company in Latin America</t>
        </is>
      </c>
    </row>
    <row r="760">
      <c r="A760" s="23" t="inlineStr">
        <is>
          <t>US71654QBV32</t>
        </is>
      </c>
      <c r="B760" s="92">
        <f>PROPER(_xll.BDP($A760&amp;" Corp","NAME"))</f>
        <v/>
      </c>
      <c r="C760" s="23" t="inlineStr">
        <is>
          <t>Mexican state oil and gas company</t>
        </is>
      </c>
    </row>
    <row r="761">
      <c r="A761" s="23" t="inlineStr">
        <is>
          <t>US71654QCG55</t>
        </is>
      </c>
      <c r="B761" s="92">
        <f>PROPER(_xll.BDP($A761&amp;" Corp","NAME"))</f>
        <v/>
      </c>
      <c r="C761" s="23" t="inlineStr">
        <is>
          <t>Mexican state oil and gas company</t>
        </is>
      </c>
    </row>
    <row r="762">
      <c r="A762" s="23" t="inlineStr">
        <is>
          <t>USP8000UAA71</t>
        </is>
      </c>
      <c r="B762" s="92">
        <f>PROPER(_xll.BDP($A762&amp;" Corp","NAME"))</f>
        <v/>
      </c>
      <c r="C762" s="23" t="inlineStr">
        <is>
          <t>Mexican state oil and gas company</t>
        </is>
      </c>
    </row>
    <row r="763">
      <c r="A763" s="23" t="inlineStr">
        <is>
          <t>XS1824425182</t>
        </is>
      </c>
      <c r="B763" s="92">
        <f>PROPER(_xll.BDP($A763&amp;" Corp","NAME"))</f>
        <v/>
      </c>
      <c r="C763" s="23" t="inlineStr">
        <is>
          <t>Mexican state oil and gas company</t>
        </is>
      </c>
    </row>
    <row r="764">
      <c r="A764" s="23" t="inlineStr">
        <is>
          <t>CH1206367588</t>
        </is>
      </c>
      <c r="B764" s="92">
        <f>PROPER(_xll.BDP($A764&amp;" Corp","NAME"))</f>
        <v/>
      </c>
      <c r="C764" s="23" t="inlineStr">
        <is>
          <t>Provides mortgage finance services</t>
        </is>
      </c>
    </row>
    <row r="765">
      <c r="A765" s="23" t="inlineStr">
        <is>
          <t>CH1206367570</t>
        </is>
      </c>
      <c r="B765" s="92">
        <f>PROPER(_xll.BDP($A765&amp;" Corp","NAME"))</f>
        <v/>
      </c>
      <c r="C765" s="23" t="inlineStr">
        <is>
          <t>Provides mortgage finance services</t>
        </is>
      </c>
    </row>
    <row r="766">
      <c r="A766" s="23" t="inlineStr">
        <is>
          <t>CH1131931243</t>
        </is>
      </c>
      <c r="B766" s="92">
        <f>PROPER(_xll.BDP($A766&amp;" Corp","NAME"))</f>
        <v/>
      </c>
      <c r="C766" s="23" t="inlineStr">
        <is>
          <t>Provides mortgage finance services</t>
        </is>
      </c>
    </row>
    <row r="767">
      <c r="A767" s="23" t="inlineStr">
        <is>
          <t>CH1206367570</t>
        </is>
      </c>
      <c r="B767" s="92">
        <f>PROPER(_xll.BDP($A767&amp;" Corp","NAME"))</f>
        <v/>
      </c>
      <c r="C767" s="23" t="inlineStr">
        <is>
          <t>Provides mortgage finance services</t>
        </is>
      </c>
    </row>
    <row r="768">
      <c r="A768" s="23" t="inlineStr">
        <is>
          <t>CH0373476073</t>
        </is>
      </c>
      <c r="B768" s="92">
        <f>PROPER(_xll.BDP($A768&amp;" Corp","NAME"))</f>
        <v/>
      </c>
      <c r="C768" s="23" t="inlineStr">
        <is>
          <t>Provides mortgage finance services</t>
        </is>
      </c>
    </row>
    <row r="769">
      <c r="A769" s="23" t="inlineStr">
        <is>
          <t>CH1206367588</t>
        </is>
      </c>
      <c r="B769" s="92">
        <f>PROPER(_xll.BDP($A769&amp;" Corp","NAME"))</f>
        <v/>
      </c>
      <c r="C769" s="23" t="inlineStr">
        <is>
          <t>Provides mortgage finance services</t>
        </is>
      </c>
    </row>
    <row r="770">
      <c r="A770" s="23" t="inlineStr">
        <is>
          <t>CH0352595893</t>
        </is>
      </c>
      <c r="B770" s="92">
        <f>PROPER(_xll.BDP($A770&amp;" Corp","NAME"))</f>
        <v/>
      </c>
      <c r="C770" s="23" t="inlineStr">
        <is>
          <t>Provides mortgage finance services</t>
        </is>
      </c>
    </row>
    <row r="771">
      <c r="A771" s="23" t="inlineStr">
        <is>
          <t>CH0360172768</t>
        </is>
      </c>
      <c r="B771" s="92">
        <f>PROPER(_xll.BDP($A771&amp;" Corp","NAME"))</f>
        <v/>
      </c>
      <c r="C771" s="23" t="inlineStr">
        <is>
          <t>Provides mortgage finance services</t>
        </is>
      </c>
    </row>
    <row r="772">
      <c r="A772" s="23" t="inlineStr">
        <is>
          <t>CH1255924438</t>
        </is>
      </c>
      <c r="B772" s="92">
        <f>PROPER(_xll.BDP($A772&amp;" Corp","NAME"))</f>
        <v/>
      </c>
      <c r="C772" s="23" t="inlineStr">
        <is>
          <t>Provides mortgage finance services</t>
        </is>
      </c>
    </row>
    <row r="773">
      <c r="A773" s="23" t="inlineStr">
        <is>
          <t xml:space="preserve">  US717081ET61</t>
        </is>
      </c>
      <c r="B773" s="92">
        <f>PROPER(_xll.BDP($A773&amp;" Corp","NAME"))</f>
        <v/>
      </c>
      <c r="C773" s="23" t="inlineStr">
        <is>
          <t>One of the world's largest pharmaceutical companies</t>
        </is>
      </c>
    </row>
    <row r="774">
      <c r="A774" s="23" t="inlineStr">
        <is>
          <t>XS1574158082</t>
        </is>
      </c>
      <c r="B774" s="92">
        <f>PROPER(_xll.BDP($A774&amp;" Corp","NAME"))</f>
        <v/>
      </c>
      <c r="C774" s="23" t="inlineStr">
        <is>
          <t>World's largest pharmaceutical company</t>
        </is>
      </c>
    </row>
    <row r="775">
      <c r="A775" s="23" t="inlineStr">
        <is>
          <t xml:space="preserve"> US716973AD41</t>
        </is>
      </c>
      <c r="B775" s="92">
        <f>PROPER(_xll.BDP($A775&amp;" Corp","NAME"))</f>
        <v/>
      </c>
      <c r="C775" s="23" t="inlineStr">
        <is>
          <t>One of the world's largest pharmaceutical companies</t>
        </is>
      </c>
    </row>
    <row r="776">
      <c r="A776" s="23" t="inlineStr">
        <is>
          <t>US718172BM02</t>
        </is>
      </c>
      <c r="B776" s="92">
        <f>PROPER(_xll.BDP($A776&amp;" Corp","NAME"))</f>
        <v/>
      </c>
      <c r="C776" s="23" t="inlineStr">
        <is>
          <t>World's leading international tobacco company</t>
        </is>
      </c>
    </row>
    <row r="777">
      <c r="A777" s="23" t="inlineStr">
        <is>
          <t>US718172DA46</t>
        </is>
      </c>
      <c r="B777" s="92">
        <f>PROPER(_xll.BDP($A777&amp;" Corp","NAME"))</f>
        <v/>
      </c>
      <c r="C777" s="23" t="inlineStr">
        <is>
          <t>World's leading international tobacco company</t>
        </is>
      </c>
    </row>
    <row r="778">
      <c r="A778" s="23" t="inlineStr">
        <is>
          <t>XS2361342889</t>
        </is>
      </c>
      <c r="B778" s="92">
        <f>PROPER(_xll.BDP($A778&amp;" Corp","NAME"))</f>
        <v/>
      </c>
      <c r="C778" s="23" t="inlineStr">
        <is>
          <t xml:space="preserve">French distributor of Frozen food products </t>
        </is>
      </c>
    </row>
    <row r="779">
      <c r="A779" s="23" t="inlineStr">
        <is>
          <t>XS2577396430</t>
        </is>
      </c>
      <c r="B779" s="92">
        <f>PROPER(_xll.BDP($A779&amp;" Corp","NAME"))</f>
        <v/>
      </c>
      <c r="C779" s="23" t="inlineStr">
        <is>
          <t>Designs, produces and sells tires for cars, motorcycles and bicycles</t>
        </is>
      </c>
    </row>
    <row r="780">
      <c r="A780" s="92" t="inlineStr">
        <is>
          <t>XS2643320109</t>
        </is>
      </c>
      <c r="B780" s="92">
        <f>PROPER(_xll.BDP($A780&amp;" Corp","NAME"))</f>
        <v/>
      </c>
      <c r="C780" s="92" t="inlineStr">
        <is>
          <t>Holding company of Prosche AG and Volkswagen AG</t>
        </is>
      </c>
    </row>
    <row r="781">
      <c r="A781" s="23" t="inlineStr">
        <is>
          <t>XS2615940215</t>
        </is>
      </c>
      <c r="B781" s="92">
        <f>PROPER(_xll.BDP($A781&amp;" Corp","NAME"))</f>
        <v/>
      </c>
      <c r="C781" s="23" t="inlineStr">
        <is>
          <t>Holding company of Prosche AG and Volkswagen AG</t>
        </is>
      </c>
    </row>
    <row r="782">
      <c r="A782" s="92" t="inlineStr">
        <is>
          <t>FR0013535150</t>
        </is>
      </c>
      <c r="B782" s="92">
        <f>PROPER(_xll.BDP($A782&amp;" Corp","NAME"))</f>
        <v/>
      </c>
      <c r="C782" s="92" t="inlineStr">
        <is>
          <t>Hospital operator</t>
        </is>
      </c>
    </row>
    <row r="783">
      <c r="A783" s="92" t="inlineStr">
        <is>
          <t>US742718GA10</t>
        </is>
      </c>
      <c r="B783" s="92">
        <f>PROPER(_xll.BDP($A783&amp;" Corp","NAME"))</f>
        <v/>
      </c>
      <c r="C783" s="92" t="inlineStr">
        <is>
          <t>Manufactures and markets consumer products</t>
        </is>
      </c>
    </row>
    <row r="784">
      <c r="A784" s="23" t="inlineStr">
        <is>
          <t>US742718FY05</t>
        </is>
      </c>
      <c r="B784" s="92">
        <f>PROPER(_xll.BDP($A784&amp;" Corp","NAME"))</f>
        <v/>
      </c>
      <c r="C784" s="23" t="inlineStr">
        <is>
          <t>Manufactures and markets consumer products</t>
        </is>
      </c>
    </row>
    <row r="785">
      <c r="A785" s="23" t="inlineStr">
        <is>
          <t>XS1608101066</t>
        </is>
      </c>
      <c r="B785" s="92">
        <f>PROPER(_xll.BDP($A785&amp;" Corp","NAME"))</f>
        <v/>
      </c>
      <c r="C785" s="23" t="inlineStr">
        <is>
          <t xml:space="preserve">Manufactures and markets consumer products </t>
        </is>
      </c>
    </row>
    <row r="786">
      <c r="A786" s="23" t="inlineStr">
        <is>
          <t>USN7163RAW36</t>
        </is>
      </c>
      <c r="B786" s="92">
        <f>PROPER(_xll.BDP($A786&amp;" Corp","NAME"))</f>
        <v/>
      </c>
      <c r="C786" s="23" t="inlineStr">
        <is>
          <t>Firm which invests in internet, digital media and technology companies</t>
        </is>
      </c>
    </row>
    <row r="787">
      <c r="A787" s="23" t="inlineStr">
        <is>
          <t>USN7163RAX19</t>
        </is>
      </c>
      <c r="B787" s="92">
        <f>PROPER(_xll.BDP($A787&amp;" Corp","NAME"))</f>
        <v/>
      </c>
      <c r="C787" s="23" t="inlineStr">
        <is>
          <t>Firm which invests in internet, digital media and technology companies</t>
        </is>
      </c>
    </row>
    <row r="788">
      <c r="A788" s="23" t="inlineStr">
        <is>
          <t>USN7163RAY91</t>
        </is>
      </c>
      <c r="B788" s="92">
        <f>PROPER(_xll.BDP($A788&amp;" Corp","NAME"))</f>
        <v/>
      </c>
      <c r="C788" s="23" t="inlineStr">
        <is>
          <t>Firm which invests in internet, digital media and technology companies</t>
        </is>
      </c>
    </row>
    <row r="789">
      <c r="A789" s="23" t="inlineStr">
        <is>
          <t>US013051EM50</t>
        </is>
      </c>
      <c r="B789" s="92">
        <f>PROPER(_xll.BDP($A789&amp;" Corp","NAME"))</f>
        <v/>
      </c>
      <c r="C789" s="23" t="inlineStr">
        <is>
          <t>Province of Alberta (Canada)</t>
        </is>
      </c>
    </row>
    <row r="790">
      <c r="A790" s="23" t="inlineStr">
        <is>
          <t>US748148SC86</t>
        </is>
      </c>
      <c r="B790" s="92">
        <f>PROPER(_xll.BDP($A790&amp;" Corp","NAME"))</f>
        <v/>
      </c>
      <c r="C790" s="23" t="inlineStr">
        <is>
          <t>Province of Quebec (Canada)</t>
        </is>
      </c>
    </row>
    <row r="791">
      <c r="A791" s="23" t="inlineStr">
        <is>
          <t>XS2476287979</t>
        </is>
      </c>
      <c r="B791" s="92">
        <f>PROPER(_xll.BDP($A791&amp;" Corp","NAME"))</f>
        <v/>
      </c>
      <c r="C791" s="23" t="inlineStr">
        <is>
          <t>Province of Quebec (Canada)</t>
        </is>
      </c>
    </row>
    <row r="792">
      <c r="A792" s="23" t="inlineStr">
        <is>
          <t>XS1606720131</t>
        </is>
      </c>
      <c r="B792" s="92">
        <f>PROPER(_xll.BDP($A792&amp;" Corp","NAME"))</f>
        <v/>
      </c>
      <c r="C792" s="23" t="inlineStr">
        <is>
          <t>Province of Quebec (Canada)</t>
        </is>
      </c>
    </row>
    <row r="793">
      <c r="A793" s="23" t="inlineStr">
        <is>
          <t>US803854KQ02</t>
        </is>
      </c>
      <c r="B793" s="92">
        <f>PROPER(_xll.BDP($A793&amp;" Corp","NAME"))</f>
        <v/>
      </c>
      <c r="C793" s="23" t="inlineStr">
        <is>
          <t>A prairie province in Canada</t>
        </is>
      </c>
    </row>
    <row r="794">
      <c r="A794" s="23" t="inlineStr">
        <is>
          <t>CH1232107164</t>
        </is>
      </c>
      <c r="B794" s="92">
        <f>PROPER(_xll.BDP($A794&amp;" Corp","NAME"))</f>
        <v/>
      </c>
      <c r="C794" s="23" t="inlineStr">
        <is>
          <t>Owns and manage real estate</t>
        </is>
      </c>
    </row>
    <row r="795">
      <c r="A795" s="23" t="inlineStr">
        <is>
          <t>XS2327392234</t>
        </is>
      </c>
      <c r="B795" s="92">
        <f>PROPER(_xll.BDP($A795&amp;" Corp","NAME"))</f>
        <v/>
      </c>
      <c r="C795" s="23" t="inlineStr">
        <is>
          <t>One of the leading property developers in Indonesia</t>
        </is>
      </c>
    </row>
    <row r="796">
      <c r="A796" s="23" t="inlineStr">
        <is>
          <t>XS2357494322</t>
        </is>
      </c>
      <c r="B796" s="92">
        <f>PROPER(_xll.BDP($A796&amp;" Corp","NAME"))</f>
        <v/>
      </c>
      <c r="C796" s="23" t="inlineStr">
        <is>
          <t xml:space="preserve">Qatari fully state-owned integrated energy company </t>
        </is>
      </c>
    </row>
    <row r="797">
      <c r="A797" s="23" t="inlineStr">
        <is>
          <t>XS2114850949</t>
        </is>
      </c>
      <c r="B797" s="92">
        <f>PROPER(_xll.BDP($A797&amp;" Corp","NAME"))</f>
        <v/>
      </c>
      <c r="C797" s="23" t="inlineStr">
        <is>
          <t>Qatari bank owned by the government</t>
        </is>
      </c>
    </row>
    <row r="798">
      <c r="A798" s="23" t="inlineStr">
        <is>
          <t>US74736KAH41</t>
        </is>
      </c>
      <c r="B798" s="92">
        <f>PROPER(_xll.BDP($A798&amp;" Corp","NAME"))</f>
        <v/>
      </c>
      <c r="C798" s="23" t="inlineStr">
        <is>
          <t>Designs semiconductor solutions for connectivity and power applications</t>
        </is>
      </c>
    </row>
    <row r="799">
      <c r="A799" s="23" t="inlineStr">
        <is>
          <t>US747262AU78</t>
        </is>
      </c>
      <c r="B799" s="92">
        <f>PROPER(_xll.BDP($A799&amp;" Corp","NAME"))</f>
        <v/>
      </c>
      <c r="C799" s="23" t="inlineStr">
        <is>
          <t>offers online shopping services</t>
        </is>
      </c>
    </row>
    <row r="800">
      <c r="A800" s="92" t="inlineStr">
        <is>
          <t>XS2579606927</t>
        </is>
      </c>
      <c r="B800" s="92">
        <f>PROPER(_xll.BDP($A800&amp;" Corp","NAME"))</f>
        <v/>
      </c>
      <c r="C800" s="92" t="inlineStr">
        <is>
          <t>The bank operates in Austria and Central and Eastern</t>
        </is>
      </c>
    </row>
    <row r="801">
      <c r="A801" s="23" t="inlineStr">
        <is>
          <t>USL7909CAA55</t>
        </is>
      </c>
      <c r="B801" s="92">
        <f>PROPER(_xll.BDP($A801&amp;" Corp","NAME"))</f>
        <v/>
      </c>
      <c r="C801" s="23" t="inlineStr">
        <is>
          <t>operates as a sepcial purpose entitty</t>
        </is>
      </c>
    </row>
    <row r="802">
      <c r="A802" s="92" t="inlineStr">
        <is>
          <t>FR001400F0U6</t>
        </is>
      </c>
      <c r="B802" s="92">
        <f>PROPER(_xll.BDP($A802&amp;" Corp","NAME"))</f>
        <v/>
      </c>
      <c r="C802" s="92" t="inlineStr">
        <is>
          <t>Provider of automobile financing services for Renault</t>
        </is>
      </c>
    </row>
    <row r="803">
      <c r="A803" s="23" t="inlineStr">
        <is>
          <t>FR001400P3E2</t>
        </is>
      </c>
      <c r="B803" s="92">
        <f>PROPER(_xll.BDP($A803&amp;" Corp","NAME"))</f>
        <v/>
      </c>
      <c r="C803" s="23" t="inlineStr">
        <is>
          <t>Provider of automobile financing services for Renault</t>
        </is>
      </c>
    </row>
    <row r="804">
      <c r="A804" s="23" t="inlineStr">
        <is>
          <t>USL7915RAA43</t>
        </is>
      </c>
      <c r="B804" s="92">
        <f>PROPER(_xll.BDP($A804&amp;" Corp","NAME"))</f>
        <v/>
      </c>
      <c r="C804" s="23" t="inlineStr">
        <is>
          <t>Provides medical and surgical hospital services</t>
        </is>
      </c>
    </row>
    <row r="805">
      <c r="A805" s="23" t="inlineStr">
        <is>
          <t>US168863DX33</t>
        </is>
      </c>
      <c r="B805" s="92">
        <f>PROPER(_xll.BDP($A805&amp;" Corp","NAME"))</f>
        <v/>
      </c>
      <c r="C805" s="23" t="inlineStr">
        <is>
          <t>Chile Government bond</t>
        </is>
      </c>
    </row>
    <row r="806">
      <c r="A806" s="23" t="inlineStr">
        <is>
          <t>US168863DN50</t>
        </is>
      </c>
      <c r="B806" s="92">
        <f>PROPER(_xll.BDP($A806&amp;" Corp","NAME"))</f>
        <v/>
      </c>
      <c r="C806" s="23" t="inlineStr">
        <is>
          <t>Chile Government bond</t>
        </is>
      </c>
    </row>
    <row r="807">
      <c r="A807" s="23" t="inlineStr">
        <is>
          <t>US168863DZ80</t>
        </is>
      </c>
      <c r="B807" s="92">
        <f>PROPER(_xll.BDP($A807&amp;" Corp","NAME"))</f>
        <v/>
      </c>
      <c r="C807" s="23" t="inlineStr">
        <is>
          <t>Chile Government bond</t>
        </is>
      </c>
    </row>
    <row r="808">
      <c r="A808" s="23" t="inlineStr">
        <is>
          <t>US195325EG61</t>
        </is>
      </c>
      <c r="B808" s="92">
        <f>PROPER(_xll.BDP($A808&amp;" Corp","NAME"))</f>
        <v/>
      </c>
      <c r="C808" s="23" t="inlineStr">
        <is>
          <t>Colombian Government bond</t>
        </is>
      </c>
    </row>
    <row r="809">
      <c r="A809" s="23" t="inlineStr">
        <is>
          <t>USP5015VAQ97</t>
        </is>
      </c>
      <c r="B809" s="92">
        <f>PROPER(_xll.BDP($A809&amp;" Corp","NAME"))</f>
        <v/>
      </c>
      <c r="C809" s="23" t="inlineStr">
        <is>
          <t>Guatemala government bond</t>
        </is>
      </c>
    </row>
    <row r="810">
      <c r="A810" s="23" t="inlineStr">
        <is>
          <t>US455780DQ66</t>
        </is>
      </c>
      <c r="B810" s="92">
        <f>PROPER(_xll.BDP($A810&amp;" Corp","NAME"))</f>
        <v/>
      </c>
      <c r="C810" s="23" t="inlineStr">
        <is>
          <t>Republic Of Indonesia</t>
        </is>
      </c>
    </row>
    <row r="811">
      <c r="A811" s="23" t="inlineStr">
        <is>
          <t>US455780DR40</t>
        </is>
      </c>
      <c r="B811" s="92">
        <f>PROPER(_xll.BDP($A811&amp;" Corp","NAME"))</f>
        <v/>
      </c>
      <c r="C811" s="23" t="inlineStr">
        <is>
          <t>Republic Of Indonesia</t>
        </is>
      </c>
    </row>
    <row r="812">
      <c r="A812" s="23" t="inlineStr">
        <is>
          <t>US455780DS23</t>
        </is>
      </c>
      <c r="B812" s="92">
        <f>PROPER(_xll.BDP($A812&amp;" Corp","NAME"))</f>
        <v/>
      </c>
      <c r="C812" s="23" t="inlineStr">
        <is>
          <t>Republic Of Indonesia</t>
        </is>
      </c>
    </row>
    <row r="813">
      <c r="A813" s="23" t="inlineStr">
        <is>
          <t>USP75744AM75</t>
        </is>
      </c>
      <c r="B813" s="92">
        <f>PROPER(_xll.BDP($A813&amp;" Corp","NAME"))</f>
        <v/>
      </c>
      <c r="C813" s="23" t="inlineStr">
        <is>
          <t>Paraguay Government bond</t>
        </is>
      </c>
    </row>
    <row r="814">
      <c r="A814" s="23" t="inlineStr">
        <is>
          <t>US731011AV42</t>
        </is>
      </c>
      <c r="B814" s="92">
        <f>PROPER(_xll.BDP($A814&amp;" Corp","NAME"))</f>
        <v/>
      </c>
      <c r="C814" s="23" t="inlineStr">
        <is>
          <t>Republic of Poland</t>
        </is>
      </c>
    </row>
    <row r="815">
      <c r="A815" s="23" t="inlineStr">
        <is>
          <t>XS2586944659</t>
        </is>
      </c>
      <c r="B815" s="92">
        <f>PROPER(_xll.BDP($A815&amp;" Corp","NAME"))</f>
        <v/>
      </c>
      <c r="C815" s="23" t="inlineStr">
        <is>
          <t>Poland government bond</t>
        </is>
      </c>
    </row>
    <row r="816">
      <c r="A816" s="23" t="inlineStr">
        <is>
          <t>XS2586944147</t>
        </is>
      </c>
      <c r="B816" s="92">
        <f>PROPER(_xll.BDP($A816&amp;" Corp","NAME"))</f>
        <v/>
      </c>
      <c r="C816" s="23" t="inlineStr">
        <is>
          <t>Poland government bond</t>
        </is>
      </c>
    </row>
    <row r="817">
      <c r="A817" s="23" t="inlineStr">
        <is>
          <t>US857524AD47</t>
        </is>
      </c>
      <c r="B817" s="92">
        <f>PROPER(_xll.BDP($A817&amp;" Corp","NAME"))</f>
        <v/>
      </c>
      <c r="C817" s="23" t="inlineStr">
        <is>
          <t xml:space="preserve">Poland government bond </t>
        </is>
      </c>
    </row>
    <row r="818">
      <c r="A818" s="23" t="inlineStr">
        <is>
          <t>US731011AV42</t>
        </is>
      </c>
      <c r="B818" s="92">
        <f>PROPER(_xll.BDP($A818&amp;" Corp","NAME"))</f>
        <v/>
      </c>
      <c r="C818" s="23" t="inlineStr">
        <is>
          <t xml:space="preserve">Poland government bond </t>
        </is>
      </c>
    </row>
    <row r="819">
      <c r="A819" s="23" t="inlineStr">
        <is>
          <t>US731011AW25</t>
        </is>
      </c>
      <c r="B819" s="92">
        <f>PROPER(_xll.BDP($A819&amp;" Corp","NAME"))</f>
        <v/>
      </c>
      <c r="C819" s="23" t="inlineStr">
        <is>
          <t xml:space="preserve">Poland government bond </t>
        </is>
      </c>
    </row>
    <row r="820">
      <c r="A820" s="23" t="inlineStr">
        <is>
          <t>XS1508566392</t>
        </is>
      </c>
      <c r="B820" s="92">
        <f>PROPER(_xll.BDP($A820&amp;" Corp","NAME"))</f>
        <v/>
      </c>
      <c r="C820" s="23" t="inlineStr">
        <is>
          <t>Poland government bond</t>
        </is>
      </c>
    </row>
    <row r="821">
      <c r="A821" s="23" t="inlineStr">
        <is>
          <t>XS2447602793</t>
        </is>
      </c>
      <c r="B821" s="92">
        <f>PROPER(_xll.BDP($A821&amp;" Corp","NAME"))</f>
        <v/>
      </c>
      <c r="C821" s="23" t="inlineStr">
        <is>
          <t>Poland government bond</t>
        </is>
      </c>
    </row>
    <row r="822">
      <c r="A822" s="23" t="inlineStr">
        <is>
          <t>XS1085735899</t>
        </is>
      </c>
      <c r="B822" s="92">
        <f>PROPER(_xll.BDP($A822&amp;" Corp","NAME"))</f>
        <v/>
      </c>
      <c r="C822" s="23" t="inlineStr">
        <is>
          <t xml:space="preserve">Portuguese government bond </t>
        </is>
      </c>
    </row>
    <row r="823">
      <c r="A823" s="23" t="inlineStr">
        <is>
          <t>XS2580269426</t>
        </is>
      </c>
      <c r="B823" s="92">
        <f>PROPER(_xll.BDP($A823&amp;" Corp","NAME"))</f>
        <v/>
      </c>
      <c r="C823" s="23" t="inlineStr">
        <is>
          <t>Serbian government bond</t>
        </is>
      </c>
    </row>
    <row r="824">
      <c r="A824" s="23" t="inlineStr">
        <is>
          <t>XS2580270275</t>
        </is>
      </c>
      <c r="B824" s="92">
        <f>PROPER(_xll.BDP($A824&amp;" Corp","NAME"))</f>
        <v/>
      </c>
      <c r="C824" s="23" t="inlineStr">
        <is>
          <t>Serbian government bond</t>
        </is>
      </c>
    </row>
    <row r="825">
      <c r="A825" s="23" t="inlineStr">
        <is>
          <t>US900123CQ19</t>
        </is>
      </c>
      <c r="B825" s="92">
        <f>PROPER(_xll.BDP($A825&amp;" Corp","NAME"))</f>
        <v/>
      </c>
      <c r="C825" s="23" t="inlineStr">
        <is>
          <t>Turkey sovereign bond</t>
        </is>
      </c>
    </row>
    <row r="826">
      <c r="A826" s="23" t="inlineStr">
        <is>
          <t>US900123DG28</t>
        </is>
      </c>
      <c r="B826" s="92">
        <f>PROPER(_xll.BDP($A826&amp;" Corp","NAME"))</f>
        <v/>
      </c>
      <c r="C826" s="23" t="inlineStr">
        <is>
          <t>Turkey sovereign bond</t>
        </is>
      </c>
    </row>
    <row r="827">
      <c r="A827" s="23" t="inlineStr">
        <is>
          <t>US900123BG46</t>
        </is>
      </c>
      <c r="B827" s="92">
        <f>PROPER(_xll.BDP($A827&amp;" Corp","NAME"))</f>
        <v/>
      </c>
      <c r="C827" s="23" t="inlineStr">
        <is>
          <t>Turkey sovereign bond</t>
        </is>
      </c>
    </row>
    <row r="828">
      <c r="A828" s="23" t="inlineStr">
        <is>
          <t>SI0002103990</t>
        </is>
      </c>
      <c r="B828" s="92">
        <f>PROPER(_xll.BDP($A828&amp;" Corp","NAME"))</f>
        <v/>
      </c>
      <c r="C828" s="23" t="inlineStr">
        <is>
          <t>Slovekia government bond</t>
        </is>
      </c>
    </row>
    <row r="829">
      <c r="A829" s="23" t="inlineStr">
        <is>
          <t>XS2403428472</t>
        </is>
      </c>
      <c r="B829" s="92">
        <f>PROPER(_xll.BDP($A829&amp;" Corp","NAME"))</f>
        <v/>
      </c>
      <c r="C829" s="23" t="inlineStr">
        <is>
          <t xml:space="preserve">Provides a wide range of electrical supplies </t>
        </is>
      </c>
    </row>
    <row r="830">
      <c r="A830" s="23" t="inlineStr">
        <is>
          <t>US76720AAN63</t>
        </is>
      </c>
      <c r="B830" s="92">
        <f>PROPER(_xll.BDP($A830&amp;" Corp","NAME"))</f>
        <v/>
      </c>
      <c r="C830" s="23" t="inlineStr">
        <is>
          <t>Provides iron ore mining services</t>
        </is>
      </c>
    </row>
    <row r="831">
      <c r="A831" s="23" t="inlineStr">
        <is>
          <t>XS2592088236</t>
        </is>
      </c>
      <c r="B831" s="92">
        <f>PROPER(_xll.BDP($A831&amp;" Corp","NAME"))</f>
        <v/>
      </c>
      <c r="C831" s="23" t="inlineStr">
        <is>
          <t>One of the leading global pharmaceutical companys</t>
        </is>
      </c>
    </row>
    <row r="832">
      <c r="A832" s="92" t="inlineStr">
        <is>
          <t xml:space="preserve">  USU75000CF14</t>
        </is>
      </c>
      <c r="B832" s="92">
        <f>PROPER(_xll.BDP($A832&amp;" Corp","NAME"))</f>
        <v/>
      </c>
      <c r="C832" s="92" t="inlineStr">
        <is>
          <t>Global healthcare company, with international pharmaceutical operations</t>
        </is>
      </c>
    </row>
    <row r="833">
      <c r="A833" s="23" t="inlineStr">
        <is>
          <t>USU75000BD74</t>
        </is>
      </c>
      <c r="B833" s="92">
        <f>PROPER(_xll.BDP($A833&amp;" Corp","NAME"))</f>
        <v/>
      </c>
      <c r="C833" s="23" t="inlineStr">
        <is>
          <t>One of the leading global pharmaceutical companies</t>
        </is>
      </c>
    </row>
    <row r="834">
      <c r="A834" s="23" t="inlineStr">
        <is>
          <t>CH1305916772</t>
        </is>
      </c>
      <c r="B834" s="92">
        <f>PROPER(_xll.BDP($A834&amp;" Corp","NAME"))</f>
        <v/>
      </c>
      <c r="C834" s="23" t="inlineStr">
        <is>
          <t>One of the largest Swiss pharmaceutical company</t>
        </is>
      </c>
    </row>
    <row r="835">
      <c r="A835" s="23" t="inlineStr">
        <is>
          <t xml:space="preserve"> CH1305916764</t>
        </is>
      </c>
      <c r="B835" s="92">
        <f>PROPER(_xll.BDP($A835&amp;" Corp","NAME"))</f>
        <v/>
      </c>
      <c r="C835" s="23" t="inlineStr">
        <is>
          <t>One of the largest Swiss pharmaceutical company</t>
        </is>
      </c>
    </row>
    <row r="836">
      <c r="A836" s="23" t="inlineStr">
        <is>
          <t>XS0944831154</t>
        </is>
      </c>
      <c r="B836" s="92">
        <f>PROPER(_xll.BDP($A836&amp;" Corp","NAME"))</f>
        <v/>
      </c>
      <c r="C836" s="23" t="inlineStr">
        <is>
          <t xml:space="preserve">Manufactures aero, marine, and industrial gas turbines for civil and military aircraft. </t>
        </is>
      </c>
    </row>
    <row r="837">
      <c r="A837" s="23" t="inlineStr">
        <is>
          <t>XS2485248806</t>
        </is>
      </c>
      <c r="B837" s="92">
        <f>PROPER(_xll.BDP($A837&amp;" Corp","NAME"))</f>
        <v/>
      </c>
      <c r="C837" s="23" t="inlineStr">
        <is>
          <t>Romania government bmnd</t>
        </is>
      </c>
    </row>
    <row r="838">
      <c r="A838" s="23" t="inlineStr">
        <is>
          <t>XS2201851172</t>
        </is>
      </c>
      <c r="B838" s="92">
        <f>PROPER(_xll.BDP($A838&amp;" Corp","NAME"))</f>
        <v/>
      </c>
      <c r="C838" s="23" t="inlineStr">
        <is>
          <t>Romania government bmnd</t>
        </is>
      </c>
    </row>
    <row r="839">
      <c r="A839" s="23" t="inlineStr">
        <is>
          <t>XS2538440780</t>
        </is>
      </c>
      <c r="B839" s="92">
        <f>PROPER(_xll.BDP($A839&amp;" Corp","NAME"))</f>
        <v/>
      </c>
      <c r="C839" s="23" t="inlineStr">
        <is>
          <t>Romanian government bond</t>
        </is>
      </c>
    </row>
    <row r="840">
      <c r="A840" s="23" t="inlineStr">
        <is>
          <t>XS2571922884</t>
        </is>
      </c>
      <c r="B840" s="92">
        <f>PROPER(_xll.BDP($A840&amp;" Corp","NAME"))</f>
        <v/>
      </c>
      <c r="C840" s="23" t="inlineStr">
        <is>
          <t>Romanian government bond</t>
        </is>
      </c>
    </row>
    <row r="841">
      <c r="A841" s="23" t="inlineStr">
        <is>
          <t>XS2571923007</t>
        </is>
      </c>
      <c r="B841" s="92">
        <f>PROPER(_xll.BDP($A841&amp;" Corp","NAME"))</f>
        <v/>
      </c>
      <c r="C841" s="23" t="inlineStr">
        <is>
          <t>Romanian government bond</t>
        </is>
      </c>
    </row>
    <row r="842">
      <c r="A842" s="23" t="inlineStr">
        <is>
          <t>XS2571924070</t>
        </is>
      </c>
      <c r="B842" s="92">
        <f>PROPER(_xll.BDP($A842&amp;" Corp","NAME"))</f>
        <v/>
      </c>
      <c r="C842" s="23" t="inlineStr">
        <is>
          <t>Romanian government bond</t>
        </is>
      </c>
    </row>
    <row r="843">
      <c r="A843" s="23" t="inlineStr">
        <is>
          <t>XS2538441598</t>
        </is>
      </c>
      <c r="B843" s="92">
        <f>PROPER(_xll.BDP($A843&amp;" Corp","NAME"))</f>
        <v/>
      </c>
      <c r="C843" s="23" t="inlineStr">
        <is>
          <t>Romanian government bond</t>
        </is>
      </c>
    </row>
    <row r="844">
      <c r="A844" s="92" t="inlineStr">
        <is>
          <t xml:space="preserve"> CH1230759552</t>
        </is>
      </c>
      <c r="B844" s="92">
        <f>PROPER(_xll.BDP($A844&amp;" Corp","NAME"))</f>
        <v/>
      </c>
      <c r="C844" s="92" t="inlineStr">
        <is>
          <t>One of the Canada's largest bank</t>
        </is>
      </c>
    </row>
    <row r="845">
      <c r="A845" s="23" t="inlineStr">
        <is>
          <t>US78016FZW75</t>
        </is>
      </c>
      <c r="B845" s="92">
        <f>PROPER(_xll.BDP($A845&amp;" Corp","NAME"))</f>
        <v/>
      </c>
      <c r="C845" s="23" t="inlineStr">
        <is>
          <t>Canada's largest bank and one of the largest in the world by market capitalization</t>
        </is>
      </c>
    </row>
    <row r="846">
      <c r="A846" s="23" t="inlineStr">
        <is>
          <t>US78016FZX58</t>
        </is>
      </c>
      <c r="B846" s="92">
        <f>PROPER(_xll.BDP($A846&amp;" Corp","NAME"))</f>
        <v/>
      </c>
      <c r="C846" s="23" t="inlineStr">
        <is>
          <t>Canada's largest bank and one of the largest in the world by market capitalization</t>
        </is>
      </c>
    </row>
    <row r="847">
      <c r="A847" s="23" t="inlineStr">
        <is>
          <t>XS2578939527</t>
        </is>
      </c>
      <c r="B847" s="92">
        <f>PROPER(_xll.BDP($A847&amp;" Corp","NAME"))</f>
        <v/>
      </c>
      <c r="C847" s="23" t="inlineStr">
        <is>
          <t>One of the Canada's largest bank</t>
        </is>
      </c>
    </row>
    <row r="848">
      <c r="A848" s="92" t="inlineStr">
        <is>
          <t>XS2523390271</t>
        </is>
      </c>
      <c r="B848" s="92">
        <f>PROPER(_xll.BDP($A848&amp;" Corp","NAME"))</f>
        <v/>
      </c>
      <c r="C848" s="92" t="inlineStr">
        <is>
          <t>Generates and trades electricity</t>
        </is>
      </c>
    </row>
    <row r="849">
      <c r="A849" s="92" t="inlineStr">
        <is>
          <t>USU75091AT28</t>
        </is>
      </c>
      <c r="B849" s="92">
        <f>PROPER(_xll.BDP($A849&amp;" Corp","NAME"))</f>
        <v/>
      </c>
      <c r="C849" s="92" t="inlineStr">
        <is>
          <t>One of the largest rating agencies</t>
        </is>
      </c>
    </row>
    <row r="850">
      <c r="A850" s="23" t="inlineStr">
        <is>
          <t>XS2352861814</t>
        </is>
      </c>
      <c r="B850" s="92">
        <f>PROPER(_xll.BDP($A850&amp;" Corp","NAME"))</f>
        <v/>
      </c>
      <c r="C850" s="23" t="inlineStr">
        <is>
          <t>Saudi majority state-owned integrated energy company</t>
        </is>
      </c>
    </row>
    <row r="851">
      <c r="A851" s="23" t="inlineStr">
        <is>
          <t>XS1890684761</t>
        </is>
      </c>
      <c r="B851" s="92">
        <f>PROPER(_xll.BDP($A851&amp;" Corp","NAME"))</f>
        <v/>
      </c>
      <c r="C851" s="23" t="inlineStr">
        <is>
          <t>State-owned petrochemical company</t>
        </is>
      </c>
    </row>
    <row r="852">
      <c r="A852" s="23" t="inlineStr">
        <is>
          <t>XS2441259137</t>
        </is>
      </c>
      <c r="B852" s="92">
        <f>PROPER(_xll.BDP($A852&amp;" Corp","NAME"))</f>
        <v/>
      </c>
      <c r="C852" s="23" t="inlineStr">
        <is>
          <t>Software publishing company</t>
        </is>
      </c>
    </row>
    <row r="853">
      <c r="A853" s="23" t="inlineStr">
        <is>
          <t>US80282KAW62</t>
        </is>
      </c>
      <c r="B853" s="92">
        <f>PROPER(_xll.BDP($A853&amp;" Corp","NAME"))</f>
        <v/>
      </c>
      <c r="C853" s="23" t="inlineStr">
        <is>
          <t>One of the largest bank in the Eurozone by market value</t>
        </is>
      </c>
    </row>
    <row r="854">
      <c r="A854" s="23" t="inlineStr">
        <is>
          <t>US80282KBB17</t>
        </is>
      </c>
      <c r="B854" s="92">
        <f>PROPER(_xll.BDP($A854&amp;" Corp","NAME"))</f>
        <v/>
      </c>
      <c r="C854" s="23" t="inlineStr">
        <is>
          <t>One of the largest bank in the Eurozone by market value</t>
        </is>
      </c>
    </row>
    <row r="855">
      <c r="A855" s="23" t="inlineStr">
        <is>
          <t>XS1345415472</t>
        </is>
      </c>
      <c r="B855" s="92">
        <f>PROPER(_xll.BDP($A855&amp;" Corp","NAME"))</f>
        <v/>
      </c>
      <c r="C855" s="23" t="inlineStr">
        <is>
          <t>One of the largest bank in the Eurozone by market value</t>
        </is>
      </c>
    </row>
    <row r="856">
      <c r="A856" s="23" t="inlineStr">
        <is>
          <t>US80386WAD74</t>
        </is>
      </c>
      <c r="B856" s="92">
        <f>PROPER(_xll.BDP($A856&amp;" Corp","NAME"))</f>
        <v/>
      </c>
      <c r="C856" s="23" t="inlineStr">
        <is>
          <t xml:space="preserve">Integrated energy and chemical company </t>
        </is>
      </c>
    </row>
    <row r="857">
      <c r="A857" s="23" t="inlineStr">
        <is>
          <t>XS2763630774</t>
        </is>
      </c>
      <c r="B857" s="92">
        <f>PROPER(_xll.BDP($A857&amp;" Corp","NAME"))</f>
        <v/>
      </c>
      <c r="C857" s="23" t="inlineStr">
        <is>
          <t>Saudi majority state-owned electricity company</t>
        </is>
      </c>
    </row>
    <row r="858">
      <c r="A858" s="23" t="inlineStr">
        <is>
          <t>XS2763630857</t>
        </is>
      </c>
      <c r="B858" s="92">
        <f>PROPER(_xll.BDP($A858&amp;" Corp","NAME"))</f>
        <v/>
      </c>
      <c r="C858" s="23" t="inlineStr">
        <is>
          <t>Saudi state-owned dominant player in electricity generation</t>
        </is>
      </c>
    </row>
    <row r="859">
      <c r="A859" s="23" t="inlineStr">
        <is>
          <t>XS2763630857</t>
        </is>
      </c>
      <c r="B859" s="92">
        <f>PROPER(_xll.BDP($A859&amp;" Corp","NAME"))</f>
        <v/>
      </c>
      <c r="C859" s="23" t="inlineStr">
        <is>
          <t>Saudi majority state-owned electricity company</t>
        </is>
      </c>
    </row>
    <row r="860">
      <c r="A860" s="23" t="inlineStr">
        <is>
          <t>XS2577134401</t>
        </is>
      </c>
      <c r="B860" s="92">
        <f>PROPER(_xll.BDP($A860&amp;" Corp","NAME"))</f>
        <v/>
      </c>
      <c r="C860" s="23" t="inlineStr">
        <is>
          <t>Kingdom of Saudia sovereign bond</t>
        </is>
      </c>
    </row>
    <row r="861">
      <c r="A861" s="23" t="inlineStr">
        <is>
          <t>XS2577135127</t>
        </is>
      </c>
      <c r="B861" s="92">
        <f>PROPER(_xll.BDP($A861&amp;" Corp","NAME"))</f>
        <v/>
      </c>
      <c r="C861" s="23" t="inlineStr">
        <is>
          <t>Kingdom of Saudia sovereign bond</t>
        </is>
      </c>
    </row>
    <row r="862">
      <c r="A862" s="23" t="inlineStr">
        <is>
          <t>XS2577136109</t>
        </is>
      </c>
      <c r="B862" s="92">
        <f>PROPER(_xll.BDP($A862&amp;" Corp","NAME"))</f>
        <v/>
      </c>
      <c r="C862" s="23" t="inlineStr">
        <is>
          <t>Kingdom of Saudia sovereign bond</t>
        </is>
      </c>
    </row>
    <row r="863">
      <c r="A863" s="23" t="inlineStr">
        <is>
          <t>XS1992985694</t>
        </is>
      </c>
      <c r="B863" s="92">
        <f>PROPER(_xll.BDP($A863&amp;" Corp","NAME"))</f>
        <v/>
      </c>
      <c r="C863" s="23" t="inlineStr">
        <is>
          <t xml:space="preserve">Majority state-owned telecom </t>
        </is>
      </c>
    </row>
    <row r="864">
      <c r="A864" s="92" t="inlineStr">
        <is>
          <t>FR001400F703</t>
        </is>
      </c>
      <c r="B864" s="92">
        <f>PROPER(_xll.BDP($A864&amp;" Corp","NAME"))</f>
        <v/>
      </c>
      <c r="C864" s="92" t="inlineStr">
        <is>
          <t>manufactures electrical power products</t>
        </is>
      </c>
    </row>
    <row r="865">
      <c r="A865" s="23" t="inlineStr">
        <is>
          <t>FR001400F711</t>
        </is>
      </c>
      <c r="B865" s="92">
        <f>PROPER(_xll.BDP($A865&amp;" Corp","NAME"))</f>
        <v/>
      </c>
      <c r="C865" s="23" t="inlineStr">
        <is>
          <t>manufactures electrical power products</t>
        </is>
      </c>
    </row>
    <row r="866">
      <c r="A866" s="92" t="inlineStr">
        <is>
          <t>XS2676818482</t>
        </is>
      </c>
      <c r="B866" s="92">
        <f>PROPER(_xll.BDP($A866&amp;" Corp","NAME"))</f>
        <v/>
      </c>
      <c r="C866" s="92" t="inlineStr">
        <is>
          <t>Provides security services</t>
        </is>
      </c>
    </row>
    <row r="867">
      <c r="A867" s="92" t="inlineStr">
        <is>
          <t>XS2771418097</t>
        </is>
      </c>
      <c r="B867" s="92">
        <f>PROPER(_xll.BDP($A867&amp;" Corp","NAME"))</f>
        <v/>
      </c>
      <c r="C867" s="92" t="inlineStr">
        <is>
          <t xml:space="preserve">Security services provider </t>
        </is>
      </c>
    </row>
    <row r="868">
      <c r="A868" s="23" t="inlineStr">
        <is>
          <t>XS2607381436</t>
        </is>
      </c>
      <c r="B868" s="92">
        <f>PROPER(_xll.BDP($A868&amp;" Corp","NAME"))</f>
        <v/>
      </c>
      <c r="C868" s="23" t="inlineStr">
        <is>
          <t>Security services provider</t>
        </is>
      </c>
    </row>
    <row r="869">
      <c r="A869" s="23" t="inlineStr">
        <is>
          <t>CH1189217990</t>
        </is>
      </c>
      <c r="B869" s="92">
        <f>PROPER(_xll.BDP($A869&amp;" Corp","NAME"))</f>
        <v/>
      </c>
      <c r="C869" s="23" t="inlineStr">
        <is>
          <t>Provides industrial inspection, analysis, testing and verification services</t>
        </is>
      </c>
    </row>
    <row r="870">
      <c r="A870" s="23" t="inlineStr">
        <is>
          <t>XS2187634642</t>
        </is>
      </c>
      <c r="B870" s="92">
        <f>PROPER(_xll.BDP($A870&amp;" Corp","NAME"))</f>
        <v/>
      </c>
      <c r="C870" s="23" t="inlineStr">
        <is>
          <t>Operator of public terminals in the Port of Shanghai</t>
        </is>
      </c>
    </row>
    <row r="871">
      <c r="A871" s="23" t="inlineStr">
        <is>
          <t>US822582BD31</t>
        </is>
      </c>
      <c r="B871" s="92">
        <f>PROPER(_xll.BDP($A871&amp;" Corp","NAME"))</f>
        <v/>
      </c>
      <c r="C871" s="23" t="inlineStr">
        <is>
          <t>One of the largest and most geographically diversified integrated oil companies</t>
        </is>
      </c>
    </row>
    <row r="872">
      <c r="A872" s="23" t="inlineStr">
        <is>
          <t>USN82008AE85</t>
        </is>
      </c>
      <c r="B872" s="92">
        <f>PROPER(_xll.BDP($A872&amp;" Corp","NAME"))</f>
        <v/>
      </c>
      <c r="C872" s="23" t="inlineStr">
        <is>
          <t>Europe's largest electrical engineering and electronics group</t>
        </is>
      </c>
    </row>
    <row r="873">
      <c r="A873" s="23" t="inlineStr">
        <is>
          <t>XS2526839175</t>
        </is>
      </c>
      <c r="B873" s="92">
        <f>PROPER(_xll.BDP($A873&amp;" Corp","NAME"))</f>
        <v/>
      </c>
      <c r="C873" s="23" t="inlineStr">
        <is>
          <t>Europe's largest manufacturer of electrical equipment</t>
        </is>
      </c>
    </row>
    <row r="874">
      <c r="A874" s="23" t="inlineStr">
        <is>
          <t>USU8215LAA27</t>
        </is>
      </c>
      <c r="B874" s="92">
        <f>PROPER(_xll.BDP($A874&amp;" Corp","NAME"))</f>
        <v/>
      </c>
      <c r="C874" s="23" t="inlineStr">
        <is>
          <t xml:space="preserve">Oil and gas company </t>
        </is>
      </c>
    </row>
    <row r="875">
      <c r="A875" s="23" t="inlineStr">
        <is>
          <t>USP8674JAE93</t>
        </is>
      </c>
      <c r="B875" s="92">
        <f>PROPER(_xll.BDP($A875&amp;" Corp","NAME"))</f>
        <v/>
      </c>
      <c r="C875" s="23" t="inlineStr">
        <is>
          <t>Mexican multinational producer of packaged food</t>
        </is>
      </c>
    </row>
    <row r="876">
      <c r="A876" s="23" t="inlineStr">
        <is>
          <t>CH1226543879</t>
        </is>
      </c>
      <c r="B876" s="92">
        <f>PROPER(_xll.BDP($A876&amp;" Corp","NAME"))</f>
        <v/>
      </c>
      <c r="C876" s="23" t="inlineStr">
        <is>
          <t>Manufactures construction materials</t>
        </is>
      </c>
    </row>
    <row r="877">
      <c r="A877" s="23" t="inlineStr">
        <is>
          <t>CH1226543861</t>
        </is>
      </c>
      <c r="B877" s="92">
        <f>PROPER(_xll.BDP($A877&amp;" Corp","NAME"))</f>
        <v/>
      </c>
      <c r="C877" s="23" t="inlineStr">
        <is>
          <t>Manufactures construction materials</t>
        </is>
      </c>
    </row>
    <row r="878">
      <c r="A878" s="23" t="inlineStr">
        <is>
          <t>CH1253456078</t>
        </is>
      </c>
      <c r="B878" s="92">
        <f>PROPER(_xll.BDP($A878&amp;" Corp","NAME"))</f>
        <v/>
      </c>
      <c r="C878" s="23" t="inlineStr">
        <is>
          <t>Manufactures construction materials</t>
        </is>
      </c>
    </row>
    <row r="879">
      <c r="A879" s="92" t="inlineStr">
        <is>
          <t>XS2616008970</t>
        </is>
      </c>
      <c r="B879" s="92">
        <f>PROPER(_xll.BDP($A879&amp;" Corp","NAME"))</f>
        <v/>
      </c>
      <c r="C879" s="92" t="inlineStr">
        <is>
          <t xml:space="preserve"> manufactures construction chemical products.</t>
        </is>
      </c>
    </row>
    <row r="880">
      <c r="A880" s="23" t="inlineStr">
        <is>
          <t>XS2405871570</t>
        </is>
      </c>
      <c r="B880" s="92">
        <f>PROPER(_xll.BDP($A880&amp;" Corp","NAME"))</f>
        <v/>
      </c>
      <c r="C880" s="23" t="inlineStr">
        <is>
          <t xml:space="preserve">Flag carrier airline of Singapore </t>
        </is>
      </c>
    </row>
    <row r="881">
      <c r="A881" s="23" t="inlineStr">
        <is>
          <t>XS2408454077</t>
        </is>
      </c>
      <c r="B881" s="92">
        <f>PROPER(_xll.BDP($A881&amp;" Corp","NAME"))</f>
        <v/>
      </c>
      <c r="C881" s="23" t="inlineStr">
        <is>
          <t>The company provides oil exploration, production, refining, trading</t>
        </is>
      </c>
    </row>
    <row r="882">
      <c r="A882" s="23" t="inlineStr">
        <is>
          <t>USG82016AR01</t>
        </is>
      </c>
      <c r="B882" s="92">
        <f>PROPER(_xll.BDP($A882&amp;" Corp","NAME"))</f>
        <v/>
      </c>
      <c r="C882" s="23" t="inlineStr">
        <is>
          <t>Produces energy products</t>
        </is>
      </c>
    </row>
    <row r="883">
      <c r="A883" s="92" t="inlineStr">
        <is>
          <t>XS2190256706</t>
        </is>
      </c>
      <c r="B883" s="92">
        <f>PROPER(_xll.BDP($A883&amp;" Corp","NAME"))</f>
        <v/>
      </c>
      <c r="C883" s="92" t="inlineStr">
        <is>
          <t>Owns and operates Italy's natural-gas distribution network</t>
        </is>
      </c>
    </row>
    <row r="884">
      <c r="A884" s="23" t="inlineStr">
        <is>
          <t>XS2412586450</t>
        </is>
      </c>
      <c r="B884" s="92">
        <f>PROPER(_xll.BDP($A884&amp;" Corp","NAME"))</f>
        <v/>
      </c>
      <c r="C884" s="23" t="inlineStr">
        <is>
          <t xml:space="preserve">The Saudi National Bank provides commercial banking services. </t>
        </is>
      </c>
    </row>
    <row r="885">
      <c r="A885" s="23" t="inlineStr">
        <is>
          <t>XS0096412548</t>
        </is>
      </c>
      <c r="B885" s="92">
        <f>PROPER(_xll.BDP($A885&amp;" Corp","NAME"))</f>
        <v/>
      </c>
      <c r="C885" s="23" t="inlineStr">
        <is>
          <t>Provides railway network management services</t>
        </is>
      </c>
    </row>
    <row r="886">
      <c r="A886" s="23" t="inlineStr">
        <is>
          <t>XS0123656836</t>
        </is>
      </c>
      <c r="B886" s="92">
        <f>PROPER(_xll.BDP($A886&amp;" Corp","NAME"))</f>
        <v/>
      </c>
      <c r="C886" s="23" t="inlineStr">
        <is>
          <t>Provides railway network management services</t>
        </is>
      </c>
    </row>
    <row r="887">
      <c r="A887" s="23" t="inlineStr">
        <is>
          <t xml:space="preserve"> XS0143739182</t>
        </is>
      </c>
      <c r="B887" s="92">
        <f>PROPER(_xll.BDP($A887&amp;" Corp","NAME"))</f>
        <v/>
      </c>
      <c r="C887" s="23" t="inlineStr">
        <is>
          <t>Provides railway network management services</t>
        </is>
      </c>
    </row>
    <row r="888">
      <c r="A888" s="92" t="inlineStr">
        <is>
          <t>US83368TBS69</t>
        </is>
      </c>
      <c r="B888" s="92">
        <f>PROPER(_xll.BDP($A888&amp;" Corp","NAME"))</f>
        <v/>
      </c>
      <c r="C888" s="92" t="inlineStr">
        <is>
          <t>One of the largest banks in Europe</t>
        </is>
      </c>
    </row>
    <row r="889">
      <c r="A889" s="92" t="inlineStr">
        <is>
          <t>FR001400IDW0</t>
        </is>
      </c>
      <c r="B889" s="92">
        <f>PROPER(_xll.BDP($A889&amp;" Corp","NAME"))</f>
        <v/>
      </c>
      <c r="C889" s="92" t="inlineStr">
        <is>
          <t>one of the largest banks in Europe</t>
        </is>
      </c>
    </row>
    <row r="890">
      <c r="A890" s="92" t="inlineStr">
        <is>
          <t>FR0013518057</t>
        </is>
      </c>
      <c r="B890" s="92">
        <f>PROPER(_xll.BDP($A890&amp;" Corp","NAME"))</f>
        <v/>
      </c>
      <c r="C890" s="92" t="inlineStr">
        <is>
          <t>One of the largest banks in Europe</t>
        </is>
      </c>
    </row>
    <row r="891">
      <c r="A891" s="92" t="inlineStr">
        <is>
          <t xml:space="preserve">CH1248666948 </t>
        </is>
      </c>
      <c r="B891" s="92">
        <f>PROPER(_xll.BDP($A891&amp;" Corp","NAME"))</f>
        <v/>
      </c>
      <c r="C891" s="92" t="inlineStr">
        <is>
          <t xml:space="preserve">One of the largest banks in Europe </t>
        </is>
      </c>
    </row>
    <row r="892">
      <c r="A892" s="92" t="inlineStr">
        <is>
          <t>CH1248666948</t>
        </is>
      </c>
      <c r="B892" s="92">
        <f>PROPER(_xll.BDP($A892&amp;" Corp","NAME"))</f>
        <v/>
      </c>
      <c r="C892" s="92" t="inlineStr">
        <is>
          <t xml:space="preserve">One of the largest banks in Europe </t>
        </is>
      </c>
    </row>
    <row r="893">
      <c r="A893" s="23" t="inlineStr">
        <is>
          <t>US83368TBR86</t>
        </is>
      </c>
      <c r="B893" s="92">
        <f>PROPER(_xll.BDP($A893&amp;" Corp","NAME"))</f>
        <v/>
      </c>
      <c r="C893" s="23" t="inlineStr">
        <is>
          <t>One of the largest banks in Europe</t>
        </is>
      </c>
    </row>
    <row r="894">
      <c r="A894" s="23" t="inlineStr">
        <is>
          <t>FR001400ISF3</t>
        </is>
      </c>
      <c r="B894" s="92">
        <f>PROPER(_xll.BDP($A894&amp;" Corp","NAME"))</f>
        <v/>
      </c>
      <c r="C894" s="23" t="inlineStr">
        <is>
          <t xml:space="preserve">one of the largest banks in Europe </t>
        </is>
      </c>
    </row>
    <row r="895">
      <c r="A895" s="23" t="inlineStr">
        <is>
          <t>FR001400EHG3</t>
        </is>
      </c>
      <c r="B895" s="92">
        <f>PROPER(_xll.BDP($A895&amp;" Corp","NAME"))</f>
        <v/>
      </c>
      <c r="C895" s="23" t="inlineStr">
        <is>
          <t>One of the largest banks in Europe</t>
        </is>
      </c>
    </row>
    <row r="896">
      <c r="A896" s="23" t="inlineStr">
        <is>
          <t>CH1159841340</t>
        </is>
      </c>
      <c r="B896" s="92">
        <f>PROPER(_xll.BDP($A896&amp;" Corp","NAME"))</f>
        <v/>
      </c>
      <c r="C896" s="23" t="inlineStr">
        <is>
          <t xml:space="preserve">One of the largest banks in Europe </t>
        </is>
      </c>
    </row>
    <row r="897">
      <c r="A897" s="23" t="inlineStr">
        <is>
          <t>CH1248666955</t>
        </is>
      </c>
      <c r="B897" s="92">
        <f>PROPER(_xll.BDP($A897&amp;" Corp","NAME"))</f>
        <v/>
      </c>
      <c r="C897" s="23" t="inlineStr">
        <is>
          <t xml:space="preserve">One of the largest banks in Europe </t>
        </is>
      </c>
    </row>
    <row r="898">
      <c r="A898" s="23" t="inlineStr">
        <is>
          <t>CH1159841332</t>
        </is>
      </c>
      <c r="B898" s="92">
        <f>PROPER(_xll.BDP($A898&amp;" Corp","NAME"))</f>
        <v/>
      </c>
      <c r="C898" s="23" t="inlineStr">
        <is>
          <t xml:space="preserve">One of the largest banks in Europe </t>
        </is>
      </c>
    </row>
    <row r="899">
      <c r="A899" s="23" t="inlineStr">
        <is>
          <t>USC86068AA80</t>
        </is>
      </c>
      <c r="B899" s="92">
        <f>PROPER(_xll.BDP($A899&amp;" Corp","NAME"))</f>
        <v/>
      </c>
      <c r="C899" s="23" t="inlineStr">
        <is>
          <t xml:space="preserve">Produces and supplies construction matierials </t>
        </is>
      </c>
    </row>
    <row r="900">
      <c r="A900" s="23" t="inlineStr">
        <is>
          <t>USG84228FH65</t>
        </is>
      </c>
      <c r="B900" s="92">
        <f>PROPER(_xll.BDP($A900&amp;" Corp","NAME"))</f>
        <v/>
      </c>
      <c r="C900" s="23" t="inlineStr">
        <is>
          <t>International banking group</t>
        </is>
      </c>
    </row>
    <row r="901">
      <c r="A901" s="23" t="inlineStr">
        <is>
          <t>USG84228EW42</t>
        </is>
      </c>
      <c r="B901" s="92">
        <f>PROPER(_xll.BDP($A901&amp;" Corp","NAME"))</f>
        <v/>
      </c>
      <c r="C901" s="23" t="inlineStr">
        <is>
          <t>International banking group</t>
        </is>
      </c>
    </row>
    <row r="902">
      <c r="A902" s="23" t="inlineStr">
        <is>
          <t>USG84228FL77</t>
        </is>
      </c>
      <c r="B902" s="92">
        <f>PROPER(_xll.BDP($A902&amp;" Corp","NAME"))</f>
        <v/>
      </c>
      <c r="C902" s="23" t="inlineStr">
        <is>
          <t>International banking group</t>
        </is>
      </c>
    </row>
    <row r="903">
      <c r="A903" s="92" t="inlineStr">
        <is>
          <t>US855244BF54</t>
        </is>
      </c>
      <c r="B903" s="92">
        <f>PROPER(_xll.BDP($A903&amp;" Corp","NAME"))</f>
        <v/>
      </c>
      <c r="C903" s="92" t="inlineStr">
        <is>
          <t xml:space="preserve">US leading coffee chain </t>
        </is>
      </c>
    </row>
    <row r="904">
      <c r="A904" s="23" t="inlineStr">
        <is>
          <t>US855244AQ29</t>
        </is>
      </c>
      <c r="B904" s="92">
        <f>PROPER(_xll.BDP($A904&amp;" Corp","NAME"))</f>
        <v/>
      </c>
      <c r="C904" s="23" t="inlineStr">
        <is>
          <t>US leading coffee chain</t>
        </is>
      </c>
    </row>
    <row r="905">
      <c r="A905" s="23" t="inlineStr">
        <is>
          <t>US855244BE89</t>
        </is>
      </c>
      <c r="B905" s="92">
        <f>PROPER(_xll.BDP($A905&amp;" Corp","NAME"))</f>
        <v/>
      </c>
      <c r="C905" s="23" t="inlineStr">
        <is>
          <t>US leading coffee chain</t>
        </is>
      </c>
    </row>
    <row r="906">
      <c r="A906" s="23" t="inlineStr">
        <is>
          <t>US46514BRA79</t>
        </is>
      </c>
      <c r="B906" s="92">
        <f>PROPER(_xll.BDP($A906&amp;" Corp","NAME"))</f>
        <v/>
      </c>
      <c r="C906" s="23" t="inlineStr">
        <is>
          <t>State of Israel</t>
        </is>
      </c>
    </row>
    <row r="907">
      <c r="A907" s="23" t="inlineStr">
        <is>
          <t>US4651387N91</t>
        </is>
      </c>
      <c r="B907" s="92">
        <f>PROPER(_xll.BDP($A907&amp;" Corp","NAME"))</f>
        <v/>
      </c>
      <c r="C907" s="23" t="inlineStr">
        <is>
          <t>State of Israel</t>
        </is>
      </c>
    </row>
    <row r="908">
      <c r="A908" s="23" t="inlineStr">
        <is>
          <t>XS1405782159</t>
        </is>
      </c>
      <c r="B908" s="92">
        <f>PROPER(_xll.BDP($A908&amp;" Corp","NAME"))</f>
        <v/>
      </c>
      <c r="C908" s="23" t="inlineStr">
        <is>
          <t>State of Qatar sovereign bond</t>
        </is>
      </c>
    </row>
    <row r="909">
      <c r="A909" s="92" t="inlineStr">
        <is>
          <t>USU85861AE97</t>
        </is>
      </c>
      <c r="B909" s="92">
        <f>PROPER(_xll.BDP($A909&amp;" Corp","NAME"))</f>
        <v/>
      </c>
      <c r="C909" s="92" t="inlineStr">
        <is>
          <t>Developer and Manufacturer of automotive products</t>
        </is>
      </c>
    </row>
    <row r="910">
      <c r="A910" s="23" t="inlineStr">
        <is>
          <t>USU85861AA75</t>
        </is>
      </c>
      <c r="B910" s="92">
        <f>PROPER(_xll.BDP($A910&amp;" Corp","NAME"))</f>
        <v/>
      </c>
      <c r="C910" s="23" t="inlineStr">
        <is>
          <t>Developer and Manufacturer of automotive products</t>
        </is>
      </c>
    </row>
    <row r="911">
      <c r="A911" s="23" t="inlineStr">
        <is>
          <t>USU85861AB58</t>
        </is>
      </c>
      <c r="B911" s="92">
        <f>PROPER(_xll.BDP($A911&amp;" Corp","NAME"))</f>
        <v/>
      </c>
      <c r="C911" s="23" t="inlineStr">
        <is>
          <t>Developer and Manufacturer of automotive products</t>
        </is>
      </c>
    </row>
    <row r="912">
      <c r="A912" s="92" t="inlineStr">
        <is>
          <t>XS2597110027</t>
        </is>
      </c>
      <c r="B912" s="92">
        <f>PROPER(_xll.BDP($A912&amp;" Corp","NAME"))</f>
        <v/>
      </c>
      <c r="C912" s="92" t="inlineStr">
        <is>
          <t>One of largest auto maker in the world</t>
        </is>
      </c>
    </row>
    <row r="913">
      <c r="A913" s="23" t="inlineStr">
        <is>
          <t>FR0013447166</t>
        </is>
      </c>
      <c r="B913" s="92">
        <f>PROPER(_xll.BDP($A913&amp;" Corp","NAME"))</f>
        <v/>
      </c>
      <c r="C913" s="23" t="inlineStr">
        <is>
          <t>One of the world's largest auto maker</t>
        </is>
      </c>
    </row>
    <row r="914">
      <c r="A914" s="23" t="inlineStr">
        <is>
          <t>XS2787827190</t>
        </is>
      </c>
      <c r="B914" s="92">
        <f>PROPER(_xll.BDP($A914&amp;" Corp","NAME"))</f>
        <v/>
      </c>
      <c r="C914" s="23" t="inlineStr">
        <is>
          <t>One of largest auto maker in the world</t>
        </is>
      </c>
    </row>
    <row r="915">
      <c r="A915" s="23" t="inlineStr">
        <is>
          <t>XS1426022536</t>
        </is>
      </c>
      <c r="B915" s="92">
        <f>PROPER(_xll.BDP($A915&amp;" Corp","NAME"))</f>
        <v/>
      </c>
      <c r="C915" s="23" t="inlineStr">
        <is>
          <t>One of the Japan's largest commercial banks</t>
        </is>
      </c>
    </row>
    <row r="916">
      <c r="A916" s="23" t="inlineStr">
        <is>
          <t>USA9890AAA81</t>
        </is>
      </c>
      <c r="B916" s="92">
        <f>PROPER(_xll.BDP($A916&amp;" Corp","NAME"))</f>
        <v/>
      </c>
      <c r="C916" s="23" t="inlineStr">
        <is>
          <t>Manufactures paper products</t>
        </is>
      </c>
    </row>
    <row r="917">
      <c r="A917" s="23" t="inlineStr">
        <is>
          <t>USA8372TAC20</t>
        </is>
      </c>
      <c r="B917" s="92">
        <f>PROPER(_xll.BDP($A917&amp;" Corp","NAME"))</f>
        <v/>
      </c>
      <c r="C917" s="23" t="inlineStr">
        <is>
          <t>Manufactures paper products</t>
        </is>
      </c>
    </row>
    <row r="918">
      <c r="A918" s="92" t="inlineStr">
        <is>
          <t>XS2465622459</t>
        </is>
      </c>
      <c r="B918" s="92">
        <f>PROPER(_xll.BDP($A918&amp;" Corp","NAME"))</f>
        <v/>
      </c>
      <c r="C918" s="92" t="inlineStr">
        <is>
          <t xml:space="preserve">Sweden's first savings bank. </t>
        </is>
      </c>
    </row>
    <row r="919">
      <c r="A919" s="23" t="inlineStr">
        <is>
          <t xml:space="preserve">XS2831017467 </t>
        </is>
      </c>
      <c r="B919" s="92">
        <f>PROPER(_xll.BDP($A919&amp;" Corp","NAME"))</f>
        <v/>
      </c>
      <c r="C919" s="23" t="inlineStr">
        <is>
          <t xml:space="preserve">Sweden's first savings bank. </t>
        </is>
      </c>
    </row>
    <row r="920">
      <c r="A920" s="23" t="inlineStr">
        <is>
          <t>XS2573709925</t>
        </is>
      </c>
      <c r="B920" s="92">
        <f>PROPER(_xll.BDP($A920&amp;" Corp","NAME"))</f>
        <v/>
      </c>
      <c r="C920" s="23" t="inlineStr">
        <is>
          <t>provides financing to facilitate the export of capital goods and infrastructure projects.</t>
        </is>
      </c>
    </row>
    <row r="921">
      <c r="A921" s="23" t="inlineStr">
        <is>
          <t>US87031CAE30</t>
        </is>
      </c>
      <c r="B921" s="92">
        <f>PROPER(_xll.BDP($A921&amp;" Corp","NAME"))</f>
        <v/>
      </c>
      <c r="C921" s="23" t="inlineStr">
        <is>
          <t>Provides financing to facilitate the export of goods and infrastructure projects</t>
        </is>
      </c>
    </row>
    <row r="922">
      <c r="A922" s="23" t="inlineStr">
        <is>
          <t>US87031CAL72</t>
        </is>
      </c>
      <c r="B922" s="92">
        <f>PROPER(_xll.BDP($A922&amp;" Corp","NAME"))</f>
        <v/>
      </c>
      <c r="C922" s="23" t="inlineStr">
        <is>
          <t>Provides financing to facilitate the export of goods and infrastructure projects</t>
        </is>
      </c>
    </row>
    <row r="923">
      <c r="A923" s="23" t="inlineStr">
        <is>
          <t>XS2573709925</t>
        </is>
      </c>
      <c r="B923" s="92">
        <f>PROPER(_xll.BDP($A923&amp;" Corp","NAME"))</f>
        <v/>
      </c>
      <c r="C923" s="23" t="inlineStr">
        <is>
          <t>provides financing to facilitate the export of goods and infrastructure projects</t>
        </is>
      </c>
    </row>
    <row r="924">
      <c r="A924" s="23" t="inlineStr">
        <is>
          <t>CH1239494979</t>
        </is>
      </c>
      <c r="B924" s="92">
        <f>PROPER(_xll.BDP($A924&amp;" Corp","NAME"))</f>
        <v/>
      </c>
      <c r="C924" s="23" t="inlineStr">
        <is>
          <t>Provides financial solutions to the export industry</t>
        </is>
      </c>
    </row>
    <row r="925">
      <c r="A925" s="92" t="inlineStr">
        <is>
          <t>CH1236363433</t>
        </is>
      </c>
      <c r="B925" s="92">
        <f>PROPER(_xll.BDP($A925&amp;" Corp","NAME"))</f>
        <v/>
      </c>
      <c r="C925" s="92" t="inlineStr">
        <is>
          <t>Provides life and property insurance</t>
        </is>
      </c>
    </row>
    <row r="926">
      <c r="A926" s="23" t="inlineStr">
        <is>
          <t>CH1242301286</t>
        </is>
      </c>
      <c r="B926" s="92">
        <f>PROPER(_xll.BDP($A926&amp;" Corp","NAME"))</f>
        <v/>
      </c>
      <c r="C926" s="23" t="inlineStr">
        <is>
          <t>Provides life and property insurance</t>
        </is>
      </c>
    </row>
    <row r="927">
      <c r="A927" s="23" t="inlineStr">
        <is>
          <t>CH1242301278</t>
        </is>
      </c>
      <c r="B927" s="92">
        <f>PROPER(_xll.BDP($A927&amp;" Corp","NAME"))</f>
        <v/>
      </c>
      <c r="C927" s="23" t="inlineStr">
        <is>
          <t>Provides life and property insurance</t>
        </is>
      </c>
    </row>
    <row r="928">
      <c r="A928" s="23" t="inlineStr">
        <is>
          <t>CH1248666930</t>
        </is>
      </c>
      <c r="B928" s="92">
        <f>PROPER(_xll.BDP($A928&amp;" Corp","NAME"))</f>
        <v/>
      </c>
      <c r="C928" s="23" t="inlineStr">
        <is>
          <t>Swiss largest telco company</t>
        </is>
      </c>
    </row>
    <row r="929">
      <c r="A929" s="23" t="inlineStr">
        <is>
          <t>CH0184249990</t>
        </is>
      </c>
      <c r="B929" s="92">
        <f>PROPER(_xll.BDP($A929&amp;" Corp","NAME"))</f>
        <v/>
      </c>
      <c r="C929" s="23" t="inlineStr">
        <is>
          <t>Swiss government bond</t>
        </is>
      </c>
    </row>
    <row r="930">
      <c r="A930" s="23" t="inlineStr">
        <is>
          <t>CH0224396983</t>
        </is>
      </c>
      <c r="B930" s="92">
        <f>PROPER(_xll.BDP($A930&amp;" Corp","NAME"))</f>
        <v/>
      </c>
      <c r="C930" s="23" t="inlineStr">
        <is>
          <t>Swiss government bond</t>
        </is>
      </c>
    </row>
    <row r="931">
      <c r="A931" s="23" t="inlineStr">
        <is>
          <t>CH0224397346</t>
        </is>
      </c>
      <c r="B931" s="92">
        <f>PROPER(_xll.BDP($A931&amp;" Corp","NAME"))</f>
        <v/>
      </c>
      <c r="C931" s="23" t="inlineStr">
        <is>
          <t>Swiss government bond</t>
        </is>
      </c>
    </row>
    <row r="932">
      <c r="A932" s="23" t="inlineStr">
        <is>
          <t>CH0015803239</t>
        </is>
      </c>
      <c r="B932" s="92">
        <f>PROPER(_xll.BDP($A932&amp;" Corp","NAME"))</f>
        <v/>
      </c>
      <c r="C932" s="23" t="inlineStr">
        <is>
          <t>Swiss government bond</t>
        </is>
      </c>
    </row>
    <row r="933">
      <c r="A933" s="23" t="inlineStr">
        <is>
          <t>CH0440081393</t>
        </is>
      </c>
      <c r="B933" s="92">
        <f>PROPER(_xll.BDP($A933&amp;" Corp","NAME"))</f>
        <v/>
      </c>
      <c r="C933" s="23" t="inlineStr">
        <is>
          <t>Swiss government bond</t>
        </is>
      </c>
    </row>
    <row r="934">
      <c r="A934" s="23" t="inlineStr">
        <is>
          <t>CH0557778815</t>
        </is>
      </c>
      <c r="B934" s="92">
        <f>PROPER(_xll.BDP($A934&amp;" Corp","NAME"))</f>
        <v/>
      </c>
      <c r="C934" s="23" t="inlineStr">
        <is>
          <t>Swiss government bond</t>
        </is>
      </c>
    </row>
    <row r="935">
      <c r="A935" s="23" t="inlineStr">
        <is>
          <t>XS1199954691</t>
        </is>
      </c>
      <c r="B935" s="92">
        <f>PROPER(_xll.BDP($A935&amp;" Corp","NAME"))</f>
        <v/>
      </c>
      <c r="C935" s="23" t="inlineStr">
        <is>
          <t>Swiss producer of crop protection products and seeds</t>
        </is>
      </c>
    </row>
    <row r="936">
      <c r="A936" s="23" t="inlineStr">
        <is>
          <t>US189754AA23</t>
        </is>
      </c>
      <c r="B936" s="92">
        <f>PROPER(_xll.BDP($A936&amp;" Corp","NAME"))</f>
        <v/>
      </c>
      <c r="C936" s="23" t="inlineStr">
        <is>
          <t>US designer house of modern luxury accessories</t>
        </is>
      </c>
    </row>
    <row r="937">
      <c r="A937" s="23" t="inlineStr">
        <is>
          <t>US87901JAJ43</t>
        </is>
      </c>
      <c r="B937" s="92">
        <f>PROPER(_xll.BDP($A937&amp;" Corp","NAME"))</f>
        <v/>
      </c>
      <c r="C937" s="23" t="inlineStr">
        <is>
          <t>a broadcasting, digital media and marketing services company</t>
        </is>
      </c>
    </row>
    <row r="938">
      <c r="A938" s="23" t="inlineStr">
        <is>
          <t>XS2288109676</t>
        </is>
      </c>
      <c r="B938" s="92">
        <f>PROPER(_xll.BDP($A938&amp;" Corp","NAME"))</f>
        <v/>
      </c>
      <c r="C938" s="23" t="inlineStr">
        <is>
          <t>Italy's largest telecom company</t>
        </is>
      </c>
    </row>
    <row r="939">
      <c r="A939" s="23" t="inlineStr">
        <is>
          <t>XS1681521081</t>
        </is>
      </c>
      <c r="B939" s="92">
        <f>PROPER(_xll.BDP($A939&amp;" Corp","NAME"))</f>
        <v/>
      </c>
      <c r="C939" s="23" t="inlineStr">
        <is>
          <t>Leading Spanish telecom company with operations in Latin America</t>
        </is>
      </c>
    </row>
    <row r="940">
      <c r="A940" s="23" t="inlineStr">
        <is>
          <t>USP90475AB31</t>
        </is>
      </c>
      <c r="B940" s="92">
        <f>PROPER(_xll.BDP($A940&amp;" Corp","NAME"))</f>
        <v/>
      </c>
      <c r="C940" s="23" t="inlineStr">
        <is>
          <t>Telecom company</t>
        </is>
      </c>
    </row>
    <row r="941">
      <c r="A941" s="23" t="inlineStr">
        <is>
          <t>CH1290222426</t>
        </is>
      </c>
      <c r="B941" s="92">
        <f>PROPER(_xll.BDP($A941&amp;" Corp","NAME"))</f>
        <v/>
      </c>
      <c r="C941" s="23" t="inlineStr">
        <is>
          <t>Software company for financial sector</t>
        </is>
      </c>
    </row>
    <row r="942">
      <c r="A942" s="23" t="inlineStr">
        <is>
          <t>US88032XAG97</t>
        </is>
      </c>
      <c r="B942" s="92">
        <f>PROPER(_xll.BDP($A942&amp;" Corp","NAME"))</f>
        <v/>
      </c>
      <c r="C942" s="23" t="inlineStr">
        <is>
          <t>Provider of Internet and mobile value-added services</t>
        </is>
      </c>
    </row>
    <row r="943">
      <c r="A943" s="23" t="inlineStr">
        <is>
          <t>US88032XAN49</t>
        </is>
      </c>
      <c r="B943" s="92">
        <f>PROPER(_xll.BDP($A943&amp;" Corp","NAME"))</f>
        <v/>
      </c>
      <c r="C943" s="23" t="inlineStr">
        <is>
          <t>Provider of Internet and mobile value-added services</t>
        </is>
      </c>
    </row>
    <row r="944">
      <c r="A944" s="23" t="inlineStr">
        <is>
          <t>XS2532478430</t>
        </is>
      </c>
      <c r="B944" s="92">
        <f>PROPER(_xll.BDP($A944&amp;" Corp","NAME"))</f>
        <v/>
      </c>
      <c r="C944" s="23" t="inlineStr">
        <is>
          <t xml:space="preserve">French producer of sugar, ethanol, alcohol, starches and sweeteners. </t>
        </is>
      </c>
    </row>
    <row r="945">
      <c r="A945" s="23" t="inlineStr">
        <is>
          <t>XS2592302330</t>
        </is>
      </c>
      <c r="B945" s="92">
        <f>PROPER(_xll.BDP($A945&amp;" Corp","NAME"))</f>
        <v/>
      </c>
      <c r="C945" s="23" t="inlineStr">
        <is>
          <t>Largest player in the UK grocery industry</t>
        </is>
      </c>
    </row>
    <row r="946">
      <c r="A946" s="23" t="inlineStr">
        <is>
          <t>XS2592301365</t>
        </is>
      </c>
      <c r="B946" s="92">
        <f>PROPER(_xll.BDP($A946&amp;" Corp","NAME"))</f>
        <v/>
      </c>
      <c r="C946" s="23" t="inlineStr">
        <is>
          <t>Largest player in the UK grocery industry</t>
        </is>
      </c>
    </row>
    <row r="947">
      <c r="A947" s="23" t="inlineStr">
        <is>
          <t>CH0333827506</t>
        </is>
      </c>
      <c r="B947" s="92">
        <f>PROPER(_xll.BDP($A947&amp;" Corp","NAME"))</f>
        <v/>
      </c>
      <c r="C947" s="23" t="inlineStr">
        <is>
          <t>Largest manufacturer of pharmaceutical generics</t>
        </is>
      </c>
    </row>
    <row r="948">
      <c r="A948" s="23" t="inlineStr">
        <is>
          <t>XS2406607098</t>
        </is>
      </c>
      <c r="B948" s="92">
        <f>PROPER(_xll.BDP($A948&amp;" Corp","NAME"))</f>
        <v/>
      </c>
      <c r="C948" s="23" t="inlineStr">
        <is>
          <t>Largest manufacturer of pharmaceutical generics</t>
        </is>
      </c>
    </row>
    <row r="949">
      <c r="A949" s="23" t="inlineStr">
        <is>
          <t>XS1813724603</t>
        </is>
      </c>
      <c r="B949" s="92">
        <f>PROPER(_xll.BDP($A949&amp;" Corp","NAME"))</f>
        <v/>
      </c>
      <c r="C949" s="23" t="inlineStr">
        <is>
          <t>Largest manufacturer of pharmaceutical generics</t>
        </is>
      </c>
    </row>
    <row r="950">
      <c r="A950" s="23" t="inlineStr">
        <is>
          <t>XS2592804434</t>
        </is>
      </c>
      <c r="B950" s="92">
        <f>PROPER(_xll.BDP($A950&amp;" Corp","NAME"))</f>
        <v/>
      </c>
      <c r="C950" s="23" t="inlineStr">
        <is>
          <t>Largest manufacturer of pharmaceutical generics</t>
        </is>
      </c>
    </row>
    <row r="951">
      <c r="A951" s="23" t="inlineStr">
        <is>
          <t>XS2406607171</t>
        </is>
      </c>
      <c r="B951" s="92">
        <f>PROPER(_xll.BDP($A951&amp;" Corp","NAME"))</f>
        <v/>
      </c>
      <c r="C951" s="23" t="inlineStr">
        <is>
          <t>Largest manufacturer of pharmaceutical generics</t>
        </is>
      </c>
    </row>
    <row r="952">
      <c r="A952" s="23" t="inlineStr">
        <is>
          <t>XS2592804194</t>
        </is>
      </c>
      <c r="B952" s="92">
        <f>PROPER(_xll.BDP($A952&amp;" Corp","NAME"))</f>
        <v/>
      </c>
      <c r="C952" s="23" t="inlineStr">
        <is>
          <t>Largest manufacturer of pharmaceutical generics</t>
        </is>
      </c>
    </row>
    <row r="953">
      <c r="A953" s="23" t="inlineStr">
        <is>
          <t>US88167AAP66</t>
        </is>
      </c>
      <c r="B953" s="92">
        <f>PROPER(_xll.BDP($A953&amp;" Corp","NAME"))</f>
        <v/>
      </c>
      <c r="C953" s="23" t="inlineStr">
        <is>
          <t>Largest manufacturer of pharmaceutical generics</t>
        </is>
      </c>
    </row>
    <row r="954">
      <c r="A954" s="23" t="inlineStr">
        <is>
          <t>US88167AAE10</t>
        </is>
      </c>
      <c r="B954" s="92">
        <f>PROPER(_xll.BDP($A954&amp;" Corp","NAME"))</f>
        <v/>
      </c>
      <c r="C954" s="23" t="inlineStr">
        <is>
          <t>Largest manufacturer of pharmaceutical generics</t>
        </is>
      </c>
    </row>
    <row r="955">
      <c r="A955" s="23" t="inlineStr">
        <is>
          <t>US88167AAQ40</t>
        </is>
      </c>
      <c r="B955" s="92">
        <f>PROPER(_xll.BDP($A955&amp;" Corp","NAME"))</f>
        <v/>
      </c>
      <c r="C955" s="23" t="inlineStr">
        <is>
          <t>Largest manufacturer of pharmaceutical generics</t>
        </is>
      </c>
    </row>
    <row r="956">
      <c r="A956" s="23" t="inlineStr">
        <is>
          <t>US88167AAS06</t>
        </is>
      </c>
      <c r="B956" s="92">
        <f>PROPER(_xll.BDP($A956&amp;" Corp","NAME"))</f>
        <v/>
      </c>
      <c r="C956" s="23" t="inlineStr">
        <is>
          <t>Largest manufacturer of pharmaceutical generics</t>
        </is>
      </c>
    </row>
    <row r="957">
      <c r="A957" s="23" t="inlineStr">
        <is>
          <t>US88167AAR23</t>
        </is>
      </c>
      <c r="B957" s="92">
        <f>PROPER(_xll.BDP($A957&amp;" Corp","NAME"))</f>
        <v/>
      </c>
      <c r="C957" s="23" t="inlineStr">
        <is>
          <t>Largest manufacturer of pharmaceutical generics</t>
        </is>
      </c>
    </row>
    <row r="958">
      <c r="A958" s="23" t="inlineStr">
        <is>
          <t>US882508BR48</t>
        </is>
      </c>
      <c r="B958" s="92">
        <f>PROPER(_xll.BDP($A958&amp;" Corp","NAME"))</f>
        <v/>
      </c>
      <c r="C958" s="23" t="inlineStr">
        <is>
          <t>Worldwide semiconductor design and manufacturing company</t>
        </is>
      </c>
    </row>
    <row r="959">
      <c r="A959" s="23" t="inlineStr">
        <is>
          <t>US882508BK94</t>
        </is>
      </c>
      <c r="B959" s="92">
        <f>PROPER(_xll.BDP($A959&amp;" Corp","NAME"))</f>
        <v/>
      </c>
      <c r="C959" s="23" t="inlineStr">
        <is>
          <t>Worldwide semiconductor design and manufacturing company</t>
        </is>
      </c>
    </row>
    <row r="960">
      <c r="A960" s="23" t="inlineStr">
        <is>
          <t>US882508BL77</t>
        </is>
      </c>
      <c r="B960" s="92">
        <f>PROPER(_xll.BDP($A960&amp;" Corp","NAME"))</f>
        <v/>
      </c>
      <c r="C960" s="23" t="inlineStr">
        <is>
          <t>Worldwide semiconductor design and manufacturing company</t>
        </is>
      </c>
    </row>
    <row r="961">
      <c r="A961" s="23" t="inlineStr">
        <is>
          <t>US882508BM50</t>
        </is>
      </c>
      <c r="B961" s="92">
        <f>PROPER(_xll.BDP($A961&amp;" Corp","NAME"))</f>
        <v/>
      </c>
      <c r="C961" s="23" t="inlineStr">
        <is>
          <t>Worldwide semiconductor design and manufacturing company</t>
        </is>
      </c>
    </row>
    <row r="962">
      <c r="A962" s="23" t="inlineStr">
        <is>
          <t>FR001400KKX9</t>
        </is>
      </c>
      <c r="B962" s="92">
        <f>PROPER(_xll.BDP($A962&amp;" Corp","NAME"))</f>
        <v/>
      </c>
      <c r="C962" s="23" t="inlineStr">
        <is>
          <t>Operates as an asset management and investment company</t>
        </is>
      </c>
    </row>
    <row r="963">
      <c r="A963" s="23" t="inlineStr">
        <is>
          <t>XS0630584166</t>
        </is>
      </c>
      <c r="B963" s="92">
        <f>PROPER(_xll.BDP($A963&amp;" Corp","NAME"))</f>
        <v/>
      </c>
      <c r="C963" s="23" t="inlineStr">
        <is>
          <t>provides cable television services.</t>
        </is>
      </c>
    </row>
    <row r="964">
      <c r="A964" s="23" t="inlineStr">
        <is>
          <t>US87264ACZ66</t>
        </is>
      </c>
      <c r="B964" s="92">
        <f>PROPER(_xll.BDP($A964&amp;" Corp","NAME"))</f>
        <v/>
      </c>
      <c r="C964" s="23" t="inlineStr">
        <is>
          <t>Provides telecommunications services</t>
        </is>
      </c>
    </row>
    <row r="965">
      <c r="A965" s="23" t="inlineStr">
        <is>
          <t>US87264ACY91</t>
        </is>
      </c>
      <c r="B965" s="92">
        <f>PROPER(_xll.BDP($A965&amp;" Corp","NAME"))</f>
        <v/>
      </c>
      <c r="C965" s="23" t="inlineStr">
        <is>
          <t>Provides telecommunications services</t>
        </is>
      </c>
    </row>
    <row r="966">
      <c r="A966" s="92" t="inlineStr">
        <is>
          <t>XS2574220971</t>
        </is>
      </c>
      <c r="B966" s="92">
        <f>PROPER(_xll.BDP($A966&amp;" Corp","NAME"))</f>
        <v/>
      </c>
      <c r="C966" s="92" t="inlineStr">
        <is>
          <t>largest bank in Canada</t>
        </is>
      </c>
    </row>
    <row r="967">
      <c r="A967" s="23" t="inlineStr">
        <is>
          <t>US89114TZE53</t>
        </is>
      </c>
      <c r="B967" s="92">
        <f>PROPER(_xll.BDP($A967&amp;" Corp","NAME"))</f>
        <v/>
      </c>
      <c r="C967" s="23" t="inlineStr">
        <is>
          <t>Largest bank in Canada</t>
        </is>
      </c>
    </row>
    <row r="968">
      <c r="A968" s="23" t="inlineStr">
        <is>
          <t>US89114TZG02</t>
        </is>
      </c>
      <c r="B968" s="92">
        <f>PROPER(_xll.BDP($A968&amp;" Corp","NAME"))</f>
        <v/>
      </c>
      <c r="C968" s="23" t="inlineStr">
        <is>
          <t>Largest bank in Canada</t>
        </is>
      </c>
    </row>
    <row r="969">
      <c r="A969" s="23" t="inlineStr">
        <is>
          <t>US89114TZJ41</t>
        </is>
      </c>
      <c r="B969" s="92">
        <f>PROPER(_xll.BDP($A969&amp;" Corp","NAME"))</f>
        <v/>
      </c>
      <c r="C969" s="23" t="inlineStr">
        <is>
          <t>Largest bank in Canada</t>
        </is>
      </c>
    </row>
    <row r="970">
      <c r="A970" s="23" t="inlineStr">
        <is>
          <t>XS2432502008</t>
        </is>
      </c>
      <c r="B970" s="92">
        <f>PROPER(_xll.BDP($A970&amp;" Corp","NAME"))</f>
        <v/>
      </c>
      <c r="C970" s="23" t="inlineStr">
        <is>
          <t>Largest bank in Canada</t>
        </is>
      </c>
    </row>
    <row r="971">
      <c r="A971" s="23" t="inlineStr">
        <is>
          <t>CH1243933558</t>
        </is>
      </c>
      <c r="B971" s="92">
        <f>PROPER(_xll.BDP($A971&amp;" Corp","NAME"))</f>
        <v/>
      </c>
      <c r="C971" s="23" t="inlineStr">
        <is>
          <t>Largest bank in Canada</t>
        </is>
      </c>
    </row>
    <row r="972">
      <c r="A972" s="23" t="inlineStr">
        <is>
          <t>US89153VAT61</t>
        </is>
      </c>
      <c r="B972" s="92">
        <f>PROPER(_xll.BDP($A972&amp;" Corp","NAME"))</f>
        <v/>
      </c>
      <c r="C972" s="23" t="inlineStr">
        <is>
          <t>Operates as an oil and gas company</t>
        </is>
      </c>
    </row>
    <row r="973">
      <c r="A973" s="23" t="inlineStr">
        <is>
          <t>CH0425766539</t>
        </is>
      </c>
      <c r="B973" s="92">
        <f>PROPER(_xll.BDP($A973&amp;" Corp","NAME"))</f>
        <v/>
      </c>
      <c r="C973" s="23" t="inlineStr">
        <is>
          <t>One of the largest oil companies of the world</t>
        </is>
      </c>
    </row>
    <row r="974">
      <c r="A974" s="92" t="inlineStr">
        <is>
          <t>US89236TKG93</t>
        </is>
      </c>
      <c r="B974" s="92">
        <f>PROPER(_xll.BDP($A974&amp;" Corp","NAME"))</f>
        <v/>
      </c>
      <c r="C974" s="92" t="inlineStr">
        <is>
          <t>Japan's largest auto maker</t>
        </is>
      </c>
    </row>
    <row r="975">
      <c r="A975" s="23" t="inlineStr">
        <is>
          <t>US89236TKQ75</t>
        </is>
      </c>
      <c r="B975" s="92">
        <f>PROPER(_xll.BDP($A975&amp;" Corp","NAME"))</f>
        <v/>
      </c>
      <c r="C975" s="23" t="inlineStr">
        <is>
          <t>Japan's largest auto maker</t>
        </is>
      </c>
    </row>
    <row r="976">
      <c r="A976" s="23" t="inlineStr">
        <is>
          <t>US89236TKR58</t>
        </is>
      </c>
      <c r="B976" s="92">
        <f>PROPER(_xll.BDP($A976&amp;" Corp","NAME"))</f>
        <v/>
      </c>
      <c r="C976" s="23" t="inlineStr">
        <is>
          <t>Japan's largest auto maker</t>
        </is>
      </c>
    </row>
    <row r="977">
      <c r="A977" s="23" t="inlineStr">
        <is>
          <t>XS2597093009</t>
        </is>
      </c>
      <c r="B977" s="92">
        <f>PROPER(_xll.BDP($A977&amp;" Corp","NAME"))</f>
        <v/>
      </c>
      <c r="C977" s="23" t="inlineStr">
        <is>
          <t>One of the largest car maker in the world</t>
        </is>
      </c>
    </row>
    <row r="978">
      <c r="A978" s="92" t="inlineStr">
        <is>
          <t>XS2823302026</t>
        </is>
      </c>
      <c r="B978" s="92">
        <f>PROPER(_xll.BDP($A978&amp;" Corp","NAME"))</f>
        <v/>
      </c>
      <c r="C978" s="92" t="inlineStr">
        <is>
          <t>Japan's largest auto maker</t>
        </is>
      </c>
    </row>
    <row r="979">
      <c r="A979" s="92" t="inlineStr">
        <is>
          <t>XS2696749626</t>
        </is>
      </c>
      <c r="B979" s="92">
        <f>PROPER(_xll.BDP($A979&amp;" Corp","NAME"))</f>
        <v/>
      </c>
      <c r="C979" s="92" t="inlineStr">
        <is>
          <t>One of the largest car maker in the world</t>
        </is>
      </c>
    </row>
    <row r="980">
      <c r="A980" s="92" t="inlineStr">
        <is>
          <t>CH1264414348</t>
        </is>
      </c>
      <c r="B980" s="92">
        <f>PROPER(_xll.BDP($A980&amp;" Corp","NAME"))</f>
        <v/>
      </c>
      <c r="C980" s="92" t="inlineStr">
        <is>
          <t>Japan's largest auto maker</t>
        </is>
      </c>
    </row>
    <row r="981">
      <c r="A981" s="23" t="inlineStr">
        <is>
          <t>XS2562996665</t>
        </is>
      </c>
      <c r="B981" s="92">
        <f>PROPER(_xll.BDP($A981&amp;" Corp","NAME"))</f>
        <v/>
      </c>
      <c r="C981" s="23" t="inlineStr">
        <is>
          <t>Japan's largest auto maker</t>
        </is>
      </c>
    </row>
    <row r="982">
      <c r="A982" s="23" t="inlineStr">
        <is>
          <t>XS2572989650</t>
        </is>
      </c>
      <c r="B982" s="92">
        <f>PROPER(_xll.BDP($A982&amp;" Corp","NAME"))</f>
        <v/>
      </c>
      <c r="C982" s="23" t="inlineStr">
        <is>
          <t>One of the largest car maker in the world</t>
        </is>
      </c>
    </row>
    <row r="983">
      <c r="A983" s="23" t="inlineStr">
        <is>
          <t>XS2572989817</t>
        </is>
      </c>
      <c r="B983" s="92">
        <f>PROPER(_xll.BDP($A983&amp;" Corp","NAME"))</f>
        <v/>
      </c>
      <c r="C983" s="23" t="inlineStr">
        <is>
          <t>One of the largest car maker in the world</t>
        </is>
      </c>
    </row>
    <row r="984">
      <c r="A984" s="23" t="inlineStr">
        <is>
          <t>XS2051061625</t>
        </is>
      </c>
      <c r="B984" s="92">
        <f>PROPER(_xll.BDP($A984&amp;" Corp","NAME"))</f>
        <v/>
      </c>
      <c r="C984" s="23" t="inlineStr">
        <is>
          <t>Japan's largest auto maker</t>
        </is>
      </c>
    </row>
    <row r="985">
      <c r="A985" s="92" t="inlineStr">
        <is>
          <t>XS2004431107</t>
        </is>
      </c>
      <c r="B985" s="92">
        <f>PROPER(_xll.BDP($A985&amp;" Corp","NAME"))</f>
        <v/>
      </c>
      <c r="C985" s="92" t="inlineStr">
        <is>
          <t>Provides brokerage services</t>
        </is>
      </c>
    </row>
    <row r="986">
      <c r="A986" s="23" t="inlineStr">
        <is>
          <t>XS1222743061</t>
        </is>
      </c>
      <c r="B986" s="92">
        <f>PROPER(_xll.BDP($A986&amp;" Corp","NAME"))</f>
        <v/>
      </c>
      <c r="C986" s="23" t="inlineStr">
        <is>
          <t>Manage and provide transportation facilities in London</t>
        </is>
      </c>
    </row>
    <row r="987">
      <c r="A987" s="23" t="inlineStr">
        <is>
          <t>XS1222743061</t>
        </is>
      </c>
      <c r="B987" s="92">
        <f>PROPER(_xll.BDP($A987&amp;" Corp","NAME"))</f>
        <v/>
      </c>
      <c r="C987" s="23" t="inlineStr">
        <is>
          <t>Manage and provide transportation facilities in London</t>
        </is>
      </c>
    </row>
    <row r="988">
      <c r="A988" s="23" t="inlineStr">
        <is>
          <t>XS0928618569</t>
        </is>
      </c>
      <c r="B988" s="92">
        <f>PROPER(_xll.BDP($A988&amp;" Corp","NAME"))</f>
        <v/>
      </c>
      <c r="C988" s="23" t="inlineStr">
        <is>
          <t>Manage and provide transportation facilities in London</t>
        </is>
      </c>
    </row>
    <row r="989">
      <c r="A989" s="23" t="inlineStr">
        <is>
          <t xml:space="preserve"> USP93077AC28</t>
        </is>
      </c>
      <c r="B989" s="92">
        <f>PROPER(_xll.BDP($A989&amp;" Corp","NAME"))</f>
        <v/>
      </c>
      <c r="C989" s="23" t="inlineStr">
        <is>
          <t xml:space="preserve">Gas midstream company </t>
        </is>
      </c>
    </row>
    <row r="990">
      <c r="A990" s="23" t="inlineStr">
        <is>
          <t>US912797FS14</t>
        </is>
      </c>
      <c r="B990" s="92">
        <f>PROPER(_xll.BDP($A990&amp;" Corp","NAME"))</f>
        <v/>
      </c>
      <c r="C990" s="23" t="inlineStr">
        <is>
          <t>U.S. Government bond</t>
        </is>
      </c>
    </row>
    <row r="991">
      <c r="A991" s="23" t="inlineStr">
        <is>
          <t>US912797GB79</t>
        </is>
      </c>
      <c r="B991" s="92">
        <f>PROPER(_xll.BDP($A991&amp;" Corp","NAME"))</f>
        <v/>
      </c>
      <c r="C991" s="23" t="inlineStr">
        <is>
          <t>U.S. Government bond</t>
        </is>
      </c>
    </row>
    <row r="992">
      <c r="A992" s="23" t="inlineStr">
        <is>
          <t>USP9406GAC26</t>
        </is>
      </c>
      <c r="B992" s="92">
        <f>PROPER(_xll.BDP($A992&amp;" Corp","NAME"))</f>
        <v/>
      </c>
      <c r="C992" s="23" t="inlineStr">
        <is>
          <t> </t>
        </is>
      </c>
    </row>
    <row r="993">
      <c r="A993" s="23" t="inlineStr">
        <is>
          <t>US872898AA96</t>
        </is>
      </c>
      <c r="B993" s="92">
        <f>PROPER(_xll.BDP($A993&amp;" Corp","NAME"))</f>
        <v/>
      </c>
      <c r="C993" s="23" t="inlineStr">
        <is>
          <t>Manufactures semiconductor devices</t>
        </is>
      </c>
    </row>
    <row r="994">
      <c r="A994" s="23" t="inlineStr">
        <is>
          <t>US872898AC52</t>
        </is>
      </c>
      <c r="B994" s="92">
        <f>PROPER(_xll.BDP($A994&amp;" Corp","NAME"))</f>
        <v/>
      </c>
      <c r="C994" s="23" t="inlineStr">
        <is>
          <t>Manufactures semiconductor devices</t>
        </is>
      </c>
    </row>
    <row r="995">
      <c r="A995" s="23" t="inlineStr">
        <is>
          <t>US872898AD36</t>
        </is>
      </c>
      <c r="B995" s="92">
        <f>PROPER(_xll.BDP($A995&amp;" Corp","NAME"))</f>
        <v/>
      </c>
      <c r="C995" s="23" t="inlineStr">
        <is>
          <t>Manufactures semiconductor devices</t>
        </is>
      </c>
    </row>
    <row r="996">
      <c r="A996" s="23" t="inlineStr">
        <is>
          <t>US872898AE19</t>
        </is>
      </c>
      <c r="B996" s="92">
        <f>PROPER(_xll.BDP($A996&amp;" Corp","NAME"))</f>
        <v/>
      </c>
      <c r="C996" s="23" t="inlineStr">
        <is>
          <t>Manufactures semiconductor devices</t>
        </is>
      </c>
    </row>
    <row r="997">
      <c r="A997" s="23" t="inlineStr">
        <is>
          <t>USG91139Af57</t>
        </is>
      </c>
      <c r="B997" s="92">
        <f>PROPER(_xll.BDP($A997&amp;" Corp","NAME"))</f>
        <v/>
      </c>
      <c r="C997" s="23" t="inlineStr">
        <is>
          <t>Manufactures semiconductor devices</t>
        </is>
      </c>
    </row>
    <row r="998">
      <c r="A998" s="23" t="inlineStr">
        <is>
          <t>USG91139AD00</t>
        </is>
      </c>
      <c r="B998" s="92">
        <f>PROPER(_xll.BDP($A998&amp;" Corp","NAME"))</f>
        <v/>
      </c>
      <c r="C998" s="23" t="inlineStr">
        <is>
          <t>Manufactures semiconductor devices</t>
        </is>
      </c>
    </row>
    <row r="999">
      <c r="A999" s="23" t="inlineStr">
        <is>
          <t>US912828Z377</t>
        </is>
      </c>
      <c r="B999" s="92">
        <f>PROPER(_xll.BDP($A999&amp;" Corp","NAME"))</f>
        <v/>
      </c>
      <c r="C999" s="23" t="inlineStr">
        <is>
          <t>U.S. Government bond</t>
        </is>
      </c>
    </row>
    <row r="1000">
      <c r="A1000" s="23" t="inlineStr">
        <is>
          <t>US91282CBF77</t>
        </is>
      </c>
      <c r="B1000" s="92">
        <f>PROPER(_xll.BDP($A1000&amp;" Corp","NAME"))</f>
        <v/>
      </c>
      <c r="C1000" s="23" t="inlineStr">
        <is>
          <t>U.S. Government bond</t>
        </is>
      </c>
    </row>
    <row r="1001">
      <c r="A1001" s="23" t="inlineStr">
        <is>
          <t>US912828N712</t>
        </is>
      </c>
      <c r="B1001" s="92">
        <f>PROPER(_xll.BDP($A1001&amp;" Corp","NAME"))</f>
        <v/>
      </c>
      <c r="C1001" s="23" t="inlineStr">
        <is>
          <t>U.S. Government bond</t>
        </is>
      </c>
    </row>
    <row r="1002">
      <c r="A1002" s="23" t="inlineStr">
        <is>
          <t>US9128283R96</t>
        </is>
      </c>
      <c r="B1002" s="92">
        <f>PROPER(_xll.BDP($A1002&amp;" Corp","NAME"))</f>
        <v/>
      </c>
      <c r="C1002" s="23" t="inlineStr">
        <is>
          <t>U.S. Government bond</t>
        </is>
      </c>
    </row>
    <row r="1003">
      <c r="A1003" s="23" t="inlineStr">
        <is>
          <t>US91282CGK18</t>
        </is>
      </c>
      <c r="B1003" s="92">
        <f>PROPER(_xll.BDP($A1003&amp;" Corp","NAME"))</f>
        <v/>
      </c>
      <c r="C1003" s="23" t="inlineStr">
        <is>
          <t>U.S. Government bond</t>
        </is>
      </c>
    </row>
    <row r="1004">
      <c r="A1004" s="23" t="inlineStr">
        <is>
          <t>US912810QF84</t>
        </is>
      </c>
      <c r="B1004" s="92">
        <f>PROPER(_xll.BDP($A1004&amp;" Corp","NAME"))</f>
        <v/>
      </c>
      <c r="C1004" s="23" t="inlineStr">
        <is>
          <t>U.S. Government bond</t>
        </is>
      </c>
    </row>
    <row r="1005">
      <c r="A1005" s="23" t="inlineStr">
        <is>
          <t>US912810QV35</t>
        </is>
      </c>
      <c r="B1005" s="92">
        <f>PROPER(_xll.BDP($A1005&amp;" Corp","NAME"))</f>
        <v/>
      </c>
      <c r="C1005" s="23" t="inlineStr">
        <is>
          <t>U.S. Government bond</t>
        </is>
      </c>
    </row>
    <row r="1006">
      <c r="A1006" s="23" t="inlineStr">
        <is>
          <t>XS1298711729</t>
        </is>
      </c>
      <c r="B1006" s="92">
        <f>PROPER(_xll.BDP($A1006&amp;" Corp","NAME"))</f>
        <v/>
      </c>
      <c r="C1006" s="23" t="inlineStr">
        <is>
          <t>Turkish telecom company</t>
        </is>
      </c>
    </row>
    <row r="1007">
      <c r="A1007" s="92" t="inlineStr">
        <is>
          <t>XS2575155671</t>
        </is>
      </c>
      <c r="B1007" s="92">
        <f>PROPER(_xll.BDP($A1007&amp;" Corp","NAME"))</f>
        <v/>
      </c>
      <c r="C1007" s="92" t="inlineStr">
        <is>
          <t>Second largest swiss banking group</t>
        </is>
      </c>
    </row>
    <row r="1008">
      <c r="A1008" s="92" t="inlineStr">
        <is>
          <t>CH1228837865</t>
        </is>
      </c>
      <c r="B1008" s="92">
        <f>PROPER(_xll.BDP($A1008&amp;" Corp","NAME"))</f>
        <v/>
      </c>
      <c r="C1008" s="92" t="inlineStr">
        <is>
          <t>One of the world’s largest wealth managers.</t>
        </is>
      </c>
    </row>
    <row r="1009">
      <c r="A1009" s="23" t="inlineStr">
        <is>
          <t>US22550L2L41</t>
        </is>
      </c>
      <c r="B1009" s="92">
        <f>PROPER(_xll.BDP($A1009&amp;" Corp","NAME"))</f>
        <v/>
      </c>
      <c r="C1009" s="23" t="inlineStr">
        <is>
          <t>Second largest swiss banking group</t>
        </is>
      </c>
    </row>
    <row r="1010">
      <c r="A1010" s="23" t="inlineStr">
        <is>
          <t>US22550L2M24</t>
        </is>
      </c>
      <c r="B1010" s="92">
        <f>PROPER(_xll.BDP($A1010&amp;" Corp","NAME"))</f>
        <v/>
      </c>
      <c r="C1010" s="23" t="inlineStr">
        <is>
          <t>Second largest swiss banking group</t>
        </is>
      </c>
    </row>
    <row r="1011">
      <c r="A1011" s="92" t="inlineStr">
        <is>
          <t>USH42097CZ86</t>
        </is>
      </c>
      <c r="B1011" s="92">
        <f>PROPER(_xll.BDP($A1011&amp;" Corp","NAME"))</f>
        <v/>
      </c>
      <c r="C1011" s="92" t="inlineStr">
        <is>
          <t>Largest wealth management bank in the world</t>
        </is>
      </c>
    </row>
    <row r="1012">
      <c r="A1012" s="92" t="inlineStr">
        <is>
          <t>USH42097DT18</t>
        </is>
      </c>
      <c r="B1012" s="92">
        <f>PROPER(_xll.BDP($A1012&amp;" Corp","NAME"))</f>
        <v/>
      </c>
      <c r="C1012" s="92" t="inlineStr">
        <is>
          <t>Largest bank of Switzerland</t>
        </is>
      </c>
    </row>
    <row r="1013">
      <c r="A1013" s="92" t="inlineStr">
        <is>
          <t>CH1214797172</t>
        </is>
      </c>
      <c r="B1013" s="92">
        <f>PROPER(_xll.BDP($A1013&amp;" Corp","NAME"))</f>
        <v/>
      </c>
      <c r="C1013" s="92" t="inlineStr">
        <is>
          <t>Largest wealth management bank in the world</t>
        </is>
      </c>
    </row>
    <row r="1014">
      <c r="A1014" s="23" t="inlineStr">
        <is>
          <t>USH42097DS35</t>
        </is>
      </c>
      <c r="B1014" s="92">
        <f>PROPER(_xll.BDP($A1014&amp;" Corp","NAME"))</f>
        <v/>
      </c>
      <c r="C1014" s="23" t="inlineStr">
        <is>
          <t>Largest bank of Switzerland</t>
        </is>
      </c>
    </row>
    <row r="1015">
      <c r="A1015" s="23" t="inlineStr">
        <is>
          <t>CH0330938876</t>
        </is>
      </c>
      <c r="B1015" s="92">
        <f>PROPER(_xll.BDP($A1015&amp;" Corp","NAME"))</f>
        <v/>
      </c>
      <c r="C1015" s="23" t="inlineStr">
        <is>
          <t>Largest bank in Switzerland</t>
        </is>
      </c>
    </row>
    <row r="1016">
      <c r="A1016" s="23" t="inlineStr">
        <is>
          <t>CH1142754311</t>
        </is>
      </c>
      <c r="B1016" s="92">
        <f>PROPER(_xll.BDP($A1016&amp;" Corp","NAME"))</f>
        <v/>
      </c>
      <c r="C1016" s="23" t="inlineStr">
        <is>
          <t>Largest bank in Switzerland</t>
        </is>
      </c>
    </row>
    <row r="1017">
      <c r="A1017" s="23" t="inlineStr">
        <is>
          <t>CH1236363391</t>
        </is>
      </c>
      <c r="B1017" s="92">
        <f>PROPER(_xll.BDP($A1017&amp;" Corp","NAME"))</f>
        <v/>
      </c>
      <c r="C1017" s="23" t="inlineStr">
        <is>
          <t>Largest wealth management bank in the world</t>
        </is>
      </c>
    </row>
    <row r="1018">
      <c r="A1018" s="23" t="inlineStr">
        <is>
          <t>USL9412AAA53</t>
        </is>
      </c>
      <c r="B1018" s="92">
        <f>PROPER(_xll.BDP($A1018&amp;" Corp","NAME"))</f>
        <v/>
      </c>
      <c r="C1018" s="23" t="inlineStr">
        <is>
          <t>Provides petroleum products</t>
        </is>
      </c>
    </row>
    <row r="1019">
      <c r="A1019" s="92" t="inlineStr">
        <is>
          <t>FR001400MLN4</t>
        </is>
      </c>
      <c r="B1019" s="92">
        <f>PROPER(_xll.BDP($A1019&amp;" Corp","NAME"))</f>
        <v/>
      </c>
      <c r="C1019" s="92" t="inlineStr">
        <is>
          <t>Operates as a commercial real estate owners and development company</t>
        </is>
      </c>
    </row>
    <row r="1020">
      <c r="A1020" s="92" t="inlineStr">
        <is>
          <t>XS2577053825</t>
        </is>
      </c>
      <c r="B1020" s="92">
        <f>PROPER(_xll.BDP($A1020&amp;" Corp","NAME"))</f>
        <v/>
      </c>
      <c r="C1020" s="92" t="inlineStr">
        <is>
          <t>One of the largest bank in italy</t>
        </is>
      </c>
    </row>
    <row r="1021">
      <c r="A1021" s="92" t="inlineStr">
        <is>
          <t>XS2104968404</t>
        </is>
      </c>
      <c r="B1021" s="92">
        <f>PROPER(_xll.BDP($A1021&amp;" Corp","NAME"))</f>
        <v/>
      </c>
      <c r="C1021" s="92" t="inlineStr">
        <is>
          <t>One of the largest bank in italy</t>
        </is>
      </c>
    </row>
    <row r="1022">
      <c r="A1022" s="23" t="inlineStr">
        <is>
          <t>XS2588885025</t>
        </is>
      </c>
      <c r="B1022" s="92">
        <f>PROPER(_xll.BDP($A1022&amp;" Corp","NAME"))</f>
        <v/>
      </c>
      <c r="C1022" s="23" t="inlineStr">
        <is>
          <t>One of the largest bank in italy</t>
        </is>
      </c>
    </row>
    <row r="1023">
      <c r="A1023" s="23" t="inlineStr">
        <is>
          <t>XS2591848275</t>
        </is>
      </c>
      <c r="B1023" s="92">
        <f>PROPER(_xll.BDP($A1023&amp;" Corp","NAME"))</f>
        <v/>
      </c>
      <c r="C1023" s="23" t="inlineStr">
        <is>
          <t xml:space="preserve">Offers a part-food and part-consumer products </t>
        </is>
      </c>
    </row>
    <row r="1024">
      <c r="A1024" s="23" t="inlineStr">
        <is>
          <t>US910047AK50</t>
        </is>
      </c>
      <c r="B1024" s="92">
        <f>PROPER(_xll.BDP($A1024&amp;" Corp","NAME"))</f>
        <v/>
      </c>
      <c r="C1024" s="23" t="inlineStr">
        <is>
          <t>Provides air transportation services</t>
        </is>
      </c>
    </row>
    <row r="1025">
      <c r="A1025" s="23" t="inlineStr">
        <is>
          <t>GB00BPSNB460</t>
        </is>
      </c>
      <c r="B1025" s="92">
        <f>PROPER(_xll.BDP($A1025&amp;" Corp","NAME"))</f>
        <v/>
      </c>
      <c r="C1025" s="23" t="inlineStr">
        <is>
          <t>UK Treasury bonds</t>
        </is>
      </c>
    </row>
    <row r="1026">
      <c r="A1026" s="23" t="inlineStr">
        <is>
          <t>GB00BPCJD880</t>
        </is>
      </c>
      <c r="B1026" s="92">
        <f>PROPER(_xll.BDP($A1026&amp;" Corp","NAME"))</f>
        <v/>
      </c>
      <c r="C1026" s="23" t="inlineStr">
        <is>
          <t>UK government bond</t>
        </is>
      </c>
    </row>
    <row r="1027">
      <c r="A1027" s="23" t="inlineStr">
        <is>
          <t>GB00BYZW3G56</t>
        </is>
      </c>
      <c r="B1027" s="92">
        <f>PROPER(_xll.BDP($A1027&amp;" Corp","NAME"))</f>
        <v/>
      </c>
      <c r="C1027" s="23" t="inlineStr">
        <is>
          <t>UK government bond</t>
        </is>
      </c>
    </row>
    <row r="1028">
      <c r="A1028" s="23" t="inlineStr">
        <is>
          <t>GB00BMF9LG83</t>
        </is>
      </c>
      <c r="B1028" s="92">
        <f>PROPER(_xll.BDP($A1028&amp;" Corp","NAME"))</f>
        <v/>
      </c>
      <c r="C1028" s="23" t="inlineStr">
        <is>
          <t>UK government bond</t>
        </is>
      </c>
    </row>
    <row r="1029">
      <c r="A1029" s="23" t="inlineStr">
        <is>
          <t>GB00BJMHB534</t>
        </is>
      </c>
      <c r="B1029" s="92">
        <f>PROPER(_xll.BDP($A1029&amp;" Corp","NAME"))</f>
        <v/>
      </c>
      <c r="C1029" s="23" t="inlineStr">
        <is>
          <t>UK government bond</t>
        </is>
      </c>
    </row>
    <row r="1030">
      <c r="A1030" s="23" t="inlineStr">
        <is>
          <t>GB00BL68HH02</t>
        </is>
      </c>
      <c r="B1030" s="92">
        <f>PROPER(_xll.BDP($A1030&amp;" Corp","NAME"))</f>
        <v/>
      </c>
      <c r="C1030" s="23" t="inlineStr">
        <is>
          <t>UK government bond</t>
        </is>
      </c>
    </row>
    <row r="1031">
      <c r="A1031" s="23" t="inlineStr">
        <is>
          <t>GB00BMV7TC88</t>
        </is>
      </c>
      <c r="B1031" s="92">
        <f>PROPER(_xll.BDP($A1031&amp;" Corp","NAME"))</f>
        <v/>
      </c>
      <c r="C1031" s="23" t="inlineStr">
        <is>
          <t>UK government bond</t>
        </is>
      </c>
    </row>
    <row r="1032">
      <c r="A1032" s="23" t="inlineStr">
        <is>
          <t>GB0032452392</t>
        </is>
      </c>
      <c r="B1032" s="92">
        <f>PROPER(_xll.BDP($A1032&amp;" Corp","NAME"))</f>
        <v/>
      </c>
      <c r="C1032" s="23" t="inlineStr">
        <is>
          <t>UK government bond</t>
        </is>
      </c>
    </row>
    <row r="1033">
      <c r="A1033" s="23" t="inlineStr">
        <is>
          <t>GB00B3KJDS62</t>
        </is>
      </c>
      <c r="B1033" s="92">
        <f>PROPER(_xll.BDP($A1033&amp;" Corp","NAME"))</f>
        <v/>
      </c>
      <c r="C1033" s="23" t="inlineStr">
        <is>
          <t>UK government bond</t>
        </is>
      </c>
    </row>
    <row r="1034">
      <c r="A1034" s="23" t="inlineStr">
        <is>
          <t>GB00BMBL1D50</t>
        </is>
      </c>
      <c r="B1034" s="92">
        <f>PROPER(_xll.BDP($A1034&amp;" Corp","NAME"))</f>
        <v/>
      </c>
      <c r="C1034" s="23" t="inlineStr">
        <is>
          <t>UK government bond</t>
        </is>
      </c>
    </row>
    <row r="1035">
      <c r="A1035" s="23" t="inlineStr">
        <is>
          <t>US91087BAV27</t>
        </is>
      </c>
      <c r="B1035" s="92">
        <f>PROPER(_xll.BDP($A1035&amp;" Corp","NAME"))</f>
        <v/>
      </c>
      <c r="C1035" s="23" t="inlineStr">
        <is>
          <t>Mexican Government</t>
        </is>
      </c>
    </row>
    <row r="1036">
      <c r="A1036" s="23" t="inlineStr">
        <is>
          <t>US91087BAU44</t>
        </is>
      </c>
      <c r="B1036" s="92">
        <f>PROPER(_xll.BDP($A1036&amp;" Corp","NAME"))</f>
        <v/>
      </c>
      <c r="C1036" s="23" t="inlineStr">
        <is>
          <t>Mexican Government</t>
        </is>
      </c>
    </row>
    <row r="1037">
      <c r="A1037" s="23" t="inlineStr">
        <is>
          <t>US91087BAM28</t>
        </is>
      </c>
      <c r="B1037" s="92">
        <f>PROPER(_xll.BDP($A1037&amp;" Corp","NAME"))</f>
        <v/>
      </c>
      <c r="C1037" s="23" t="inlineStr">
        <is>
          <t>Mexican Government</t>
        </is>
      </c>
    </row>
    <row r="1038">
      <c r="A1038" s="23" t="inlineStr">
        <is>
          <t>XS2135361686</t>
        </is>
      </c>
      <c r="B1038" s="92">
        <f>PROPER(_xll.BDP($A1038&amp;" Corp","NAME"))</f>
        <v/>
      </c>
      <c r="C1038" s="23" t="inlineStr">
        <is>
          <t>Mexican Government</t>
        </is>
      </c>
    </row>
    <row r="1039">
      <c r="A1039" s="23" t="inlineStr">
        <is>
          <t>US911312BZ82</t>
        </is>
      </c>
      <c r="B1039" s="92">
        <f>PROPER(_xll.BDP($A1039&amp;" Corp","NAME"))</f>
        <v/>
      </c>
      <c r="C1039" s="23" t="inlineStr">
        <is>
          <t>Delivers packages and documents</t>
        </is>
      </c>
    </row>
    <row r="1040">
      <c r="A1040" s="23" t="inlineStr">
        <is>
          <t>US911312CA23</t>
        </is>
      </c>
      <c r="B1040" s="92">
        <f>PROPER(_xll.BDP($A1040&amp;" Corp","NAME"))</f>
        <v/>
      </c>
      <c r="C1040" s="23" t="inlineStr">
        <is>
          <t>Delivers packages and documents</t>
        </is>
      </c>
    </row>
    <row r="1041">
      <c r="A1041" s="23" t="inlineStr">
        <is>
          <t>US91159HJA95</t>
        </is>
      </c>
      <c r="B1041" s="92">
        <f>PROPER(_xll.BDP($A1041&amp;" Corp","NAME"))</f>
        <v/>
      </c>
      <c r="C1041" s="23" t="inlineStr">
        <is>
          <t xml:space="preserve">U.S Bancorp is a diversified financial services company </t>
        </is>
      </c>
    </row>
    <row r="1042">
      <c r="A1042" s="23" t="inlineStr">
        <is>
          <t>US91282CGJ45</t>
        </is>
      </c>
      <c r="B1042" s="92">
        <f>PROPER(_xll.BDP($A1042&amp;" Corp","NAME"))</f>
        <v/>
      </c>
      <c r="C1042" s="23" t="inlineStr">
        <is>
          <t>U.S. Government bond</t>
        </is>
      </c>
    </row>
    <row r="1043">
      <c r="A1043" s="23" t="inlineStr">
        <is>
          <t>US91282CGM73</t>
        </is>
      </c>
      <c r="B1043" s="92">
        <f>PROPER(_xll.BDP($A1043&amp;" Corp","NAME"))</f>
        <v/>
      </c>
      <c r="C1043" s="23" t="inlineStr">
        <is>
          <t>U.S. Government bond</t>
        </is>
      </c>
    </row>
    <row r="1044">
      <c r="A1044" s="23" t="inlineStr">
        <is>
          <t>US912810RK60</t>
        </is>
      </c>
      <c r="B1044" s="92">
        <f>PROPER(_xll.BDP($A1044&amp;" Corp","NAME"))</f>
        <v/>
      </c>
      <c r="C1044" s="23" t="inlineStr">
        <is>
          <t>U.S. Government bond</t>
        </is>
      </c>
    </row>
    <row r="1045">
      <c r="A1045" s="23" t="inlineStr">
        <is>
          <t>US912828K742</t>
        </is>
      </c>
      <c r="B1045" s="92">
        <f>PROPER(_xll.BDP($A1045&amp;" Corp","NAME"))</f>
        <v/>
      </c>
      <c r="C1045" s="23" t="inlineStr">
        <is>
          <t>U.S. Government bond</t>
        </is>
      </c>
    </row>
    <row r="1046">
      <c r="A1046" s="23" t="inlineStr">
        <is>
          <t>US912828YG91</t>
        </is>
      </c>
      <c r="B1046" s="92">
        <f>PROPER(_xll.BDP($A1046&amp;" Corp","NAME"))</f>
        <v/>
      </c>
      <c r="C1046" s="23" t="inlineStr">
        <is>
          <t>U.S. Government bond</t>
        </is>
      </c>
    </row>
    <row r="1047">
      <c r="A1047" s="23" t="inlineStr">
        <is>
          <t>US91282CGC91</t>
        </is>
      </c>
      <c r="B1047" s="92">
        <f>PROPER(_xll.BDP($A1047&amp;" Corp","NAME"))</f>
        <v/>
      </c>
      <c r="C1047" s="23" t="inlineStr">
        <is>
          <t>U.S. Government bond</t>
        </is>
      </c>
    </row>
    <row r="1048">
      <c r="A1048" s="23" t="inlineStr">
        <is>
          <t>US91282CCH25</t>
        </is>
      </c>
      <c r="B1048" s="92">
        <f>PROPER(_xll.BDP($A1048&amp;" Corp","NAME"))</f>
        <v/>
      </c>
      <c r="C1048" s="23" t="inlineStr">
        <is>
          <t>U.S. Government bond</t>
        </is>
      </c>
    </row>
    <row r="1049">
      <c r="A1049" s="23" t="inlineStr">
        <is>
          <t>US91282CFV81</t>
        </is>
      </c>
      <c r="B1049" s="92">
        <f>PROPER(_xll.BDP($A1049&amp;" Corp","NAME"))</f>
        <v/>
      </c>
      <c r="C1049" s="23" t="inlineStr">
        <is>
          <t>U.S. Government bond</t>
        </is>
      </c>
    </row>
    <row r="1050">
      <c r="A1050" s="23" t="inlineStr">
        <is>
          <t>US912810PU60</t>
        </is>
      </c>
      <c r="B1050" s="92">
        <f>PROPER(_xll.BDP($A1050&amp;" Corp","NAME"))</f>
        <v/>
      </c>
      <c r="C1050" s="23" t="inlineStr">
        <is>
          <t>U.S. Government bond</t>
        </is>
      </c>
    </row>
    <row r="1051">
      <c r="A1051" s="23" t="inlineStr">
        <is>
          <t>US912810QD37</t>
        </is>
      </c>
      <c r="B1051" s="92">
        <f>PROPER(_xll.BDP($A1051&amp;" Corp","NAME"))</f>
        <v/>
      </c>
      <c r="C1051" s="23" t="inlineStr">
        <is>
          <t>U.S. Government bond</t>
        </is>
      </c>
    </row>
    <row r="1052">
      <c r="A1052" s="23" t="inlineStr">
        <is>
          <t>US912810RH32</t>
        </is>
      </c>
      <c r="B1052" s="92">
        <f>PROPER(_xll.BDP($A1052&amp;" Corp","NAME"))</f>
        <v/>
      </c>
      <c r="C1052" s="23" t="inlineStr">
        <is>
          <t>U.S. Government bond</t>
        </is>
      </c>
    </row>
    <row r="1053">
      <c r="A1053" s="23" t="inlineStr">
        <is>
          <t>US912810SE91</t>
        </is>
      </c>
      <c r="B1053" s="92">
        <f>PROPER(_xll.BDP($A1053&amp;" Corp","NAME"))</f>
        <v/>
      </c>
      <c r="C1053" s="23" t="inlineStr">
        <is>
          <t>U.S. Government bond</t>
        </is>
      </c>
    </row>
    <row r="1054">
      <c r="A1054" s="23" t="inlineStr">
        <is>
          <t>US912810TN81</t>
        </is>
      </c>
      <c r="B1054" s="92">
        <f>PROPER(_xll.BDP($A1054&amp;" Corp","NAME"))</f>
        <v/>
      </c>
      <c r="C1054" s="23" t="inlineStr">
        <is>
          <t>U.S. Government bond</t>
        </is>
      </c>
    </row>
    <row r="1055">
      <c r="A1055" s="23" t="inlineStr">
        <is>
          <t>US91911TAP84</t>
        </is>
      </c>
      <c r="B1055" s="92">
        <f>PROPER(_xll.BDP($A1055&amp;" Corp","NAME"))</f>
        <v/>
      </c>
      <c r="C1055" s="23" t="inlineStr">
        <is>
          <t>One of the largest miners in the world, largest global producer of nickel</t>
        </is>
      </c>
    </row>
    <row r="1056">
      <c r="A1056" s="23" t="inlineStr">
        <is>
          <t>US91911TAE38</t>
        </is>
      </c>
      <c r="B1056" s="92">
        <f>PROPER(_xll.BDP($A1056&amp;" Corp","NAME"))</f>
        <v/>
      </c>
      <c r="C1056" s="23" t="inlineStr">
        <is>
          <t>One of the largest miners in the world, largest global producer of nickel</t>
        </is>
      </c>
    </row>
    <row r="1057">
      <c r="A1057" s="23" t="inlineStr">
        <is>
          <t>US91911TAH68</t>
        </is>
      </c>
      <c r="B1057" s="92">
        <f>PROPER(_xll.BDP($A1057&amp;" Corp","NAME"))</f>
        <v/>
      </c>
      <c r="C1057" s="23" t="inlineStr">
        <is>
          <t>One of the largest miners in the world, largest global producer of nickel</t>
        </is>
      </c>
    </row>
    <row r="1058">
      <c r="A1058" s="23" t="inlineStr">
        <is>
          <t>US91911TAK97</t>
        </is>
      </c>
      <c r="B1058" s="92">
        <f>PROPER(_xll.BDP($A1058&amp;" Corp","NAME"))</f>
        <v/>
      </c>
      <c r="C1058" s="23" t="inlineStr">
        <is>
          <t>One of the largest miners in the world, largest global producer of nickel</t>
        </is>
      </c>
    </row>
    <row r="1059">
      <c r="A1059" s="23" t="inlineStr">
        <is>
          <t>CH0553695815</t>
        </is>
      </c>
      <c r="B1059" s="92">
        <f>PROPER(_xll.BDP($A1059&amp;" Corp","NAME"))</f>
        <v/>
      </c>
      <c r="C1059" s="23" t="inlineStr">
        <is>
          <t>Swiss residential real estate company</t>
        </is>
      </c>
    </row>
    <row r="1060">
      <c r="A1060" s="23" t="inlineStr">
        <is>
          <t>USG9328DAP53</t>
        </is>
      </c>
      <c r="B1060" s="92">
        <f>PROPER(_xll.BDP($A1060&amp;" Corp","NAME"))</f>
        <v/>
      </c>
      <c r="C1060" s="23" t="inlineStr">
        <is>
          <t>Diversified resources company with interests mainly in India</t>
        </is>
      </c>
    </row>
    <row r="1061">
      <c r="A1061" s="92" t="inlineStr">
        <is>
          <t>USU9226NAA38</t>
        </is>
      </c>
      <c r="B1061" s="92">
        <f>PROPER(_xll.BDP($A1061&amp;" Corp","NAME"))</f>
        <v/>
      </c>
      <c r="C1061" s="92" t="inlineStr">
        <is>
          <t xml:space="preserve">Spinoff from Danaher, emerging as an independent company within the water treatment industry. </t>
        </is>
      </c>
    </row>
    <row r="1062">
      <c r="A1062" s="92" t="inlineStr">
        <is>
          <t>USU9226NAC93</t>
        </is>
      </c>
      <c r="B1062" s="92">
        <f>PROPER(_xll.BDP($A1062&amp;" Corp","NAME"))</f>
        <v/>
      </c>
      <c r="C1062" s="92" t="inlineStr">
        <is>
          <t xml:space="preserve">Spinoff from Danaher, emerging as an independent company within the water treatment industry. </t>
        </is>
      </c>
    </row>
    <row r="1063">
      <c r="A1063" s="92" t="inlineStr">
        <is>
          <t>XS2689127467</t>
        </is>
      </c>
      <c r="B1063" s="92">
        <f>PROPER(_xll.BDP($A1063&amp;" Corp","NAME"))</f>
        <v/>
      </c>
      <c r="C1063" s="92" t="inlineStr">
        <is>
          <t xml:space="preserve">Spinoff from Danaher, acting within the water treatment industry. </t>
        </is>
      </c>
    </row>
    <row r="1064">
      <c r="A1064" s="23" t="inlineStr">
        <is>
          <t>XS2541437583</t>
        </is>
      </c>
      <c r="B1064" s="92">
        <f>PROPER(_xll.BDP($A1064&amp;" Corp","NAME"))</f>
        <v/>
      </c>
      <c r="C1064" s="23" t="inlineStr">
        <is>
          <t>Designs, sells and installs burglar alarms, water and smoke detectors maong others</t>
        </is>
      </c>
    </row>
    <row r="1065">
      <c r="A1065" s="23" t="inlineStr">
        <is>
          <t>XS1405766897</t>
        </is>
      </c>
      <c r="B1065" s="92">
        <f>PROPER(_xll.BDP($A1065&amp;" Corp","NAME"))</f>
        <v/>
      </c>
      <c r="C1065" s="23" t="inlineStr">
        <is>
          <t>Second largest telecommunications provider in the United States</t>
        </is>
      </c>
    </row>
    <row r="1066">
      <c r="A1066" s="23" t="inlineStr">
        <is>
          <t>XS1555173019</t>
        </is>
      </c>
      <c r="B1066" s="92">
        <f>PROPER(_xll.BDP($A1066&amp;" Corp","NAME"))</f>
        <v/>
      </c>
      <c r="C1066" s="23" t="inlineStr">
        <is>
          <t>UK wireless company</t>
        </is>
      </c>
    </row>
    <row r="1067">
      <c r="A1067" s="23" t="inlineStr">
        <is>
          <t>XS1596735701</t>
        </is>
      </c>
      <c r="B1067" s="92">
        <f>PROPER(_xll.BDP($A1067&amp;" Corp","NAME"))</f>
        <v/>
      </c>
      <c r="C1067" s="23" t="inlineStr">
        <is>
          <t>Financial arm of multinational auto manufacturing company</t>
        </is>
      </c>
    </row>
    <row r="1068">
      <c r="A1068" s="23" t="inlineStr">
        <is>
          <t>XS2562941927</t>
        </is>
      </c>
      <c r="B1068" s="92">
        <f>PROPER(_xll.BDP($A1068&amp;" Corp","NAME"))</f>
        <v/>
      </c>
      <c r="C1068" s="23" t="inlineStr">
        <is>
          <t>Financial arm of multinational auto manufacturing company</t>
        </is>
      </c>
    </row>
    <row r="1069">
      <c r="A1069" s="23" t="inlineStr">
        <is>
          <t>XS2433140113</t>
        </is>
      </c>
      <c r="B1069" s="92">
        <f>PROPER(_xll.BDP($A1069&amp;" Corp","NAME"))</f>
        <v/>
      </c>
      <c r="C1069" s="23" t="inlineStr">
        <is>
          <t>Financial arm of multinational auto manufacturing company</t>
        </is>
      </c>
    </row>
    <row r="1070">
      <c r="A1070" s="23" t="inlineStr">
        <is>
          <t>XS2386886803</t>
        </is>
      </c>
      <c r="B1070" s="92">
        <f>PROPER(_xll.BDP($A1070&amp;" Corp","NAME"))</f>
        <v/>
      </c>
      <c r="C1070" s="23" t="inlineStr">
        <is>
          <t>Financial arm of multinational auto manufacturing company</t>
        </is>
      </c>
    </row>
    <row r="1071">
      <c r="A1071" s="92" t="inlineStr">
        <is>
          <t>USU9273ADK89</t>
        </is>
      </c>
      <c r="B1071" s="92">
        <f>PROPER(_xll.BDP($A1071&amp;" Corp","NAME"))</f>
        <v/>
      </c>
      <c r="C1071" s="92" t="inlineStr">
        <is>
          <t>Western Europe's largest car manufacturer</t>
        </is>
      </c>
    </row>
    <row r="1072">
      <c r="A1072" s="92" t="inlineStr">
        <is>
          <t>XS2491738352</t>
        </is>
      </c>
      <c r="B1072" s="92">
        <f>PROPER(_xll.BDP($A1072&amp;" Corp","NAME"))</f>
        <v/>
      </c>
      <c r="C1072" s="92" t="inlineStr">
        <is>
          <t>Financial arm of multinational auto manufacturing company</t>
        </is>
      </c>
    </row>
    <row r="1073">
      <c r="A1073" s="92" t="inlineStr">
        <is>
          <t>XS1910948329</t>
        </is>
      </c>
      <c r="B1073" s="92">
        <f>PROPER(_xll.BDP($A1073&amp;" Corp","NAME"))</f>
        <v/>
      </c>
      <c r="C1073" s="92" t="inlineStr">
        <is>
          <t>Financial arm of multinational auto manufacturing company</t>
        </is>
      </c>
    </row>
    <row r="1074">
      <c r="A1074" s="23" t="inlineStr">
        <is>
          <t>XS1586555945</t>
        </is>
      </c>
      <c r="B1074" s="92">
        <f>PROPER(_xll.BDP($A1074&amp;" Corp","NAME"))</f>
        <v/>
      </c>
      <c r="C1074" s="23" t="inlineStr">
        <is>
          <t>Financial arm of multinational auto manufacturing company</t>
        </is>
      </c>
    </row>
    <row r="1075">
      <c r="A1075" s="23" t="inlineStr">
        <is>
          <t>XS2554488978</t>
        </is>
      </c>
      <c r="B1075" s="92">
        <f>PROPER(_xll.BDP($A1075&amp;" Corp","NAME"))</f>
        <v/>
      </c>
      <c r="C1075" s="23" t="inlineStr">
        <is>
          <t>Financial arm of multinational auto manufacturing company</t>
        </is>
      </c>
    </row>
    <row r="1076">
      <c r="A1076" s="23" t="inlineStr">
        <is>
          <t>USP98088AA83</t>
        </is>
      </c>
      <c r="B1076" s="92">
        <f>PROPER(_xll.BDP($A1076&amp;" Corp","NAME"))</f>
        <v/>
      </c>
      <c r="C1076" s="23" t="inlineStr">
        <is>
          <t>Brazil's largest industrial group</t>
        </is>
      </c>
    </row>
    <row r="1077">
      <c r="A1077" s="23" t="inlineStr">
        <is>
          <t>XS1138359663</t>
        </is>
      </c>
      <c r="B1077" s="92">
        <f>PROPER(_xll.BDP($A1077&amp;" Corp","NAME"))</f>
        <v/>
      </c>
      <c r="C1077" s="23" t="inlineStr">
        <is>
          <t xml:space="preserve">US's large retail pharmacy network </t>
        </is>
      </c>
    </row>
    <row r="1078">
      <c r="A1078" s="92" t="inlineStr">
        <is>
          <t>US931142EW94</t>
        </is>
      </c>
      <c r="B1078" s="92">
        <f>PROPER(_xll.BDP($A1078&amp;" Corp","NAME"))</f>
        <v/>
      </c>
      <c r="C1078" s="92" t="inlineStr">
        <is>
          <t>World's largest retailer operating in the US and internationally</t>
        </is>
      </c>
    </row>
    <row r="1079">
      <c r="A1079" s="23" t="inlineStr">
        <is>
          <t>US931142EQ27</t>
        </is>
      </c>
      <c r="B1079" s="92">
        <f>PROPER(_xll.BDP($A1079&amp;" Corp","NAME"))</f>
        <v/>
      </c>
      <c r="C1079" s="23" t="inlineStr">
        <is>
          <t>World's largest retailer operating in the US and internationally</t>
        </is>
      </c>
    </row>
    <row r="1080">
      <c r="A1080" s="23" t="inlineStr">
        <is>
          <t>US254687FL52</t>
        </is>
      </c>
      <c r="B1080" s="92">
        <f>PROPER(_xll.BDP($A1080&amp;" Corp","NAME"))</f>
        <v/>
      </c>
      <c r="C1080" s="23" t="inlineStr">
        <is>
          <t>One of the largest entertainment company</t>
        </is>
      </c>
    </row>
    <row r="1081">
      <c r="A1081" s="23" t="inlineStr">
        <is>
          <t>US55903VBG77</t>
        </is>
      </c>
      <c r="B1081" s="92">
        <f>PROPER(_xll.BDP($A1081&amp;" Corp","NAME"))</f>
        <v/>
      </c>
      <c r="C1081" s="23" t="inlineStr">
        <is>
          <t>creates and distributes films and television content.</t>
        </is>
      </c>
    </row>
    <row r="1082">
      <c r="A1082" s="23" t="inlineStr">
        <is>
          <t>XS1457522727</t>
        </is>
      </c>
      <c r="B1082" s="92">
        <f>PROPER(_xll.BDP($A1082&amp;" Corp","NAME"))</f>
        <v/>
      </c>
      <c r="C1082" s="23" t="inlineStr">
        <is>
          <t>Fourth largest US bank by assets</t>
        </is>
      </c>
    </row>
    <row r="1083">
      <c r="A1083" s="23" t="inlineStr">
        <is>
          <t>XS1617830721</t>
        </is>
      </c>
      <c r="B1083" s="92">
        <f>PROPER(_xll.BDP($A1083&amp;" Corp","NAME"))</f>
        <v/>
      </c>
      <c r="C1083" s="23" t="inlineStr">
        <is>
          <t>Fourth largest US bank by assets</t>
        </is>
      </c>
    </row>
    <row r="1084">
      <c r="A1084" s="23" t="inlineStr">
        <is>
          <t>FR0013417128</t>
        </is>
      </c>
      <c r="B1084" s="92">
        <f>PROPER(_xll.BDP($A1084&amp;" Corp","NAME"))</f>
        <v/>
      </c>
      <c r="C1084" s="23" t="inlineStr">
        <is>
          <t>French investment firm that invest in industrial and services companies</t>
        </is>
      </c>
    </row>
    <row r="1085">
      <c r="A1085" s="23" t="inlineStr">
        <is>
          <t>USY77108AA93</t>
        </is>
      </c>
      <c r="B1085" s="92">
        <f>PROPER(_xll.BDP($A1085&amp;" Corp","NAME"))</f>
        <v/>
      </c>
      <c r="C1085" s="23" t="inlineStr">
        <is>
          <t>Xiaomi Best time International Limited is a special purpose vehicle</t>
        </is>
      </c>
    </row>
    <row r="1086">
      <c r="A1086" s="23" t="inlineStr">
        <is>
          <t>USG98239AA72</t>
        </is>
      </c>
      <c r="B1086" s="92">
        <f>PROPER(_xll.BDP($A1086&amp;" Corp","NAME"))</f>
        <v/>
      </c>
      <c r="C1086" s="23" t="inlineStr">
        <is>
          <t>XP Inc operates as an investment management company in Brazil.</t>
        </is>
      </c>
    </row>
    <row r="1087">
      <c r="A1087" s="23" t="inlineStr">
        <is>
          <t>XS2338564870</t>
        </is>
      </c>
      <c r="B1087" s="92">
        <f>PROPER(_xll.BDP($A1087&amp;" Corp","NAME"))</f>
        <v/>
      </c>
      <c r="C1087" s="23" t="inlineStr">
        <is>
          <t xml:space="preserve">Germany's leading auto supplier </t>
        </is>
      </c>
    </row>
  </sheetData>
  <autoFilter ref="E7:E33">
    <sortState ref="E8:E33">
      <sortCondition descending="1" ref="E7:E33"/>
    </sortState>
  </autoFilter>
  <mergeCells count="1">
    <mergeCell ref="B1:B2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V753"/>
  <sheetViews>
    <sheetView topLeftCell="C1" zoomScale="70" zoomScaleNormal="70" workbookViewId="0">
      <selection activeCell="C7" sqref="C7"/>
    </sheetView>
  </sheetViews>
  <sheetFormatPr baseColWidth="8" defaultRowHeight="14.4"/>
  <cols>
    <col width="10.77734375" customWidth="1" min="2" max="2"/>
    <col width="11.44140625" customWidth="1" min="3" max="3"/>
    <col width="10" customWidth="1" min="4" max="4"/>
    <col width="11.21875" customWidth="1" min="5" max="5"/>
    <col width="10.77734375" customWidth="1" min="6" max="6"/>
    <col width="10.21875" customWidth="1" min="7" max="7"/>
    <col width="10.21875" customWidth="1" min="9" max="9"/>
    <col width="21.77734375" customWidth="1" min="12" max="12"/>
    <col width="22.77734375" customWidth="1" min="13" max="13"/>
    <col width="9.21875" customWidth="1" min="14" max="14"/>
    <col width="22" customWidth="1" min="17" max="17"/>
    <col width="17.44140625" customWidth="1" min="19" max="19"/>
    <col width="12.21875" customWidth="1" min="21" max="21"/>
    <col width="11" customWidth="1" min="22" max="22"/>
  </cols>
  <sheetData>
    <row r="1">
      <c r="A1" t="inlineStr">
        <is>
          <t>ISIN</t>
        </is>
      </c>
      <c r="B1" t="inlineStr">
        <is>
          <t>Syz view</t>
        </is>
      </c>
      <c r="C1" t="inlineStr">
        <is>
          <t>Company</t>
        </is>
      </c>
      <c r="D1" t="inlineStr">
        <is>
          <t>Coupon</t>
        </is>
      </c>
      <c r="E1" t="inlineStr">
        <is>
          <t>Structure</t>
        </is>
      </c>
      <c r="F1" t="inlineStr">
        <is>
          <t>Maturity</t>
        </is>
      </c>
      <c r="G1" t="inlineStr">
        <is>
          <t>Country</t>
        </is>
      </c>
      <c r="H1" t="inlineStr">
        <is>
          <t>Sector</t>
        </is>
      </c>
      <c r="I1" t="inlineStr">
        <is>
          <t>Den. (k)</t>
        </is>
      </c>
      <c r="J1" t="inlineStr">
        <is>
          <t>Price</t>
        </is>
      </c>
      <c r="K1" t="inlineStr">
        <is>
          <t>YTW</t>
        </is>
      </c>
      <c r="L1" t="inlineStr">
        <is>
          <t>YTW - 1 week change</t>
        </is>
      </c>
      <c r="M1" t="inlineStr">
        <is>
          <t>YTW - 1 month change</t>
        </is>
      </c>
      <c r="N1" t="inlineStr">
        <is>
          <t>Spread</t>
        </is>
      </c>
      <c r="O1" t="inlineStr">
        <is>
          <t>Dur.</t>
        </is>
      </c>
      <c r="P1" t="inlineStr">
        <is>
          <t>Ind LV.</t>
        </is>
      </c>
      <c r="Q1" t="inlineStr">
        <is>
          <t>Company Description</t>
        </is>
      </c>
      <c r="R1" t="inlineStr">
        <is>
          <t>CRNCY</t>
        </is>
      </c>
      <c r="S1" t="inlineStr">
        <is>
          <t>CLASSIFICATION</t>
        </is>
      </c>
      <c r="T1" t="inlineStr">
        <is>
          <t>rating</t>
        </is>
      </c>
      <c r="U1" t="inlineStr">
        <is>
          <t>Tax Group</t>
        </is>
      </c>
      <c r="V1" t="inlineStr">
        <is>
          <t>Column1</t>
        </is>
      </c>
    </row>
    <row r="2">
      <c r="A2" t="inlineStr">
        <is>
          <t>USN15516AB83</t>
        </is>
      </c>
      <c r="B2" t="inlineStr">
        <is>
          <t xml:space="preserve">Hold </t>
        </is>
      </c>
      <c r="C2" t="inlineStr">
        <is>
          <t>Braskem Netherlands</t>
        </is>
      </c>
      <c r="D2" t="n">
        <v>4.5</v>
      </c>
      <c r="E2" t="inlineStr">
        <is>
          <t>Sr Unsecured</t>
        </is>
      </c>
      <c r="F2" t="inlineStr">
        <is>
          <t>10.01.2028</t>
        </is>
      </c>
      <c r="G2" t="inlineStr">
        <is>
          <t>Brazil</t>
        </is>
      </c>
      <c r="H2" t="inlineStr">
        <is>
          <t>Basic Materials</t>
        </is>
      </c>
      <c r="I2" t="n">
        <v>200</v>
      </c>
      <c r="J2" t="n">
        <v>83.00700000000001</v>
      </c>
      <c r="K2" t="n">
        <v>12.620055</v>
      </c>
      <c r="L2" t="n">
        <v>1.763736</v>
      </c>
      <c r="M2" t="n">
        <v>2.963971</v>
      </c>
      <c r="N2" t="n">
        <v>876.8775321000001</v>
      </c>
      <c r="O2" t="n">
        <v>2.628152406</v>
      </c>
      <c r="P2" t="n">
        <v>25</v>
      </c>
      <c r="Q2" t="inlineStr">
        <is>
          <t>Largest producer of thermoplastic resins in South America</t>
        </is>
      </c>
      <c r="R2" t="inlineStr">
        <is>
          <t>USD</t>
        </is>
      </c>
      <c r="S2" t="inlineStr">
        <is>
          <t>Latin America</t>
        </is>
      </c>
      <c r="T2" t="inlineStr">
        <is>
          <t>BB</t>
        </is>
      </c>
      <c r="U2" t="inlineStr">
        <is>
          <t>NR</t>
        </is>
      </c>
    </row>
    <row r="3">
      <c r="A3" t="inlineStr">
        <is>
          <t>USN15516AG70</t>
        </is>
      </c>
      <c r="B3" t="inlineStr">
        <is>
          <t xml:space="preserve">Hold </t>
        </is>
      </c>
      <c r="C3" t="inlineStr">
        <is>
          <t>Braskem Netherlands</t>
        </is>
      </c>
      <c r="D3" t="n">
        <v>7.25</v>
      </c>
      <c r="E3" t="inlineStr">
        <is>
          <t>Sr Unsecured</t>
        </is>
      </c>
      <c r="F3" t="inlineStr">
        <is>
          <t>13.02.2033</t>
        </is>
      </c>
      <c r="G3" t="inlineStr">
        <is>
          <t>Brazil</t>
        </is>
      </c>
      <c r="H3" t="inlineStr">
        <is>
          <t>Basic Materials</t>
        </is>
      </c>
      <c r="I3" t="n">
        <v>200</v>
      </c>
      <c r="J3" t="n">
        <v>75.66200000000001</v>
      </c>
      <c r="K3" t="n">
        <v>12.261012</v>
      </c>
      <c r="L3" t="n">
        <v>0.84246</v>
      </c>
      <c r="M3" t="n">
        <v>1.748375</v>
      </c>
      <c r="N3" t="n">
        <v>810.00866</v>
      </c>
      <c r="O3" t="n">
        <v>5.889384852</v>
      </c>
      <c r="P3" t="n">
        <v>25</v>
      </c>
      <c r="Q3" t="inlineStr">
        <is>
          <t>Largest producer of thermoplastic resins in South America</t>
        </is>
      </c>
      <c r="R3" t="inlineStr">
        <is>
          <t>USD</t>
        </is>
      </c>
      <c r="S3" t="inlineStr">
        <is>
          <t>Latin America</t>
        </is>
      </c>
      <c r="T3" t="inlineStr">
        <is>
          <t>BB</t>
        </is>
      </c>
      <c r="U3" t="inlineStr">
        <is>
          <t>BB+</t>
        </is>
      </c>
    </row>
    <row r="4">
      <c r="A4" t="inlineStr">
        <is>
          <t>USU60050AA61</t>
        </is>
      </c>
      <c r="B4" t="inlineStr">
        <is>
          <t xml:space="preserve">Hold </t>
        </is>
      </c>
      <c r="C4" t="inlineStr">
        <is>
          <t>Mileage Plus Hldings Llc</t>
        </is>
      </c>
      <c r="D4" t="n">
        <v>6.5</v>
      </c>
      <c r="E4" t="inlineStr">
        <is>
          <t>1St Lien</t>
        </is>
      </c>
      <c r="F4" t="inlineStr">
        <is>
          <t>20.06.2027</t>
        </is>
      </c>
      <c r="G4" t="inlineStr">
        <is>
          <t>United states</t>
        </is>
      </c>
      <c r="H4" t="inlineStr">
        <is>
          <t>Consumer, Cyclical</t>
        </is>
      </c>
      <c r="I4" t="n">
        <v>0.001</v>
      </c>
      <c r="J4" t="n">
        <v>100</v>
      </c>
      <c r="K4" t="n">
        <v>6.483611</v>
      </c>
      <c r="L4" t="n">
        <v>2.455632</v>
      </c>
      <c r="M4" t="n">
        <v>3.827457</v>
      </c>
      <c r="N4" t="n">
        <v>668.5704138999999</v>
      </c>
      <c r="O4" t="n">
        <v>1.124939032</v>
      </c>
      <c r="P4" t="n">
        <v>0</v>
      </c>
      <c r="Q4" t="inlineStr">
        <is>
          <t xml:space="preserve">Frequent flyer program of United Airlines </t>
        </is>
      </c>
      <c r="R4" t="inlineStr">
        <is>
          <t>USD</t>
        </is>
      </c>
      <c r="S4" t="inlineStr">
        <is>
          <t>Investment Grade</t>
        </is>
      </c>
      <c r="T4" t="inlineStr">
        <is>
          <t>BBB-</t>
        </is>
      </c>
      <c r="U4" t="inlineStr">
        <is>
          <t>BBB-</t>
        </is>
      </c>
    </row>
    <row r="5">
      <c r="A5" t="inlineStr">
        <is>
          <t>USU1065PAA94</t>
        </is>
      </c>
      <c r="B5" t="inlineStr">
        <is>
          <t xml:space="preserve">Hold </t>
        </is>
      </c>
      <c r="C5" t="inlineStr">
        <is>
          <t>Braskem America Finance</t>
        </is>
      </c>
      <c r="D5" t="n">
        <v>7.125</v>
      </c>
      <c r="E5" t="inlineStr">
        <is>
          <t>Sr Unsecured</t>
        </is>
      </c>
      <c r="F5" t="inlineStr">
        <is>
          <t>22.07.2041</t>
        </is>
      </c>
      <c r="G5" t="inlineStr">
        <is>
          <t>Brazil</t>
        </is>
      </c>
      <c r="H5" t="inlineStr">
        <is>
          <t>Basic Materials</t>
        </is>
      </c>
      <c r="I5" t="n">
        <v>200</v>
      </c>
      <c r="J5" t="n">
        <v>70.68300000000001</v>
      </c>
      <c r="K5" t="n">
        <v>11.070353</v>
      </c>
      <c r="L5" t="n">
        <v>0.37326</v>
      </c>
      <c r="M5" t="n">
        <v>0.495851</v>
      </c>
      <c r="N5" t="n">
        <v>644.4954527</v>
      </c>
      <c r="O5" t="n">
        <v>9.000700816</v>
      </c>
      <c r="P5" t="n">
        <v>25</v>
      </c>
      <c r="Q5" t="inlineStr">
        <is>
          <t>Largest producer of thermoplastic resins in South America</t>
        </is>
      </c>
      <c r="R5" t="inlineStr">
        <is>
          <t>USD</t>
        </is>
      </c>
      <c r="S5" t="inlineStr">
        <is>
          <t>Latin America</t>
        </is>
      </c>
      <c r="T5" t="inlineStr">
        <is>
          <t>BB</t>
        </is>
      </c>
      <c r="U5" t="inlineStr">
        <is>
          <t>NR</t>
        </is>
      </c>
    </row>
    <row r="6">
      <c r="A6" t="inlineStr">
        <is>
          <t>US80386WAD74</t>
        </is>
      </c>
      <c r="B6" t="inlineStr">
        <is>
          <t>Top pick</t>
        </is>
      </c>
      <c r="C6" t="inlineStr">
        <is>
          <t>Sasol Financing Usa Llc</t>
        </is>
      </c>
      <c r="D6" t="n">
        <v>5.5</v>
      </c>
      <c r="E6" t="inlineStr">
        <is>
          <t>Sr Unsecured</t>
        </is>
      </c>
      <c r="F6" t="inlineStr">
        <is>
          <t>18.03.2031</t>
        </is>
      </c>
      <c r="G6" t="inlineStr">
        <is>
          <t>South africa</t>
        </is>
      </c>
      <c r="H6" t="inlineStr">
        <is>
          <t>Basic Materials</t>
        </is>
      </c>
      <c r="I6" t="n">
        <v>200</v>
      </c>
      <c r="J6" t="n">
        <v>82.178</v>
      </c>
      <c r="K6" t="n">
        <v>9.635929000000001</v>
      </c>
      <c r="L6" t="n">
        <v>-0.000375</v>
      </c>
      <c r="M6" t="n">
        <v>0.222237</v>
      </c>
      <c r="N6" t="n">
        <v>563.6030605</v>
      </c>
      <c r="O6" t="n">
        <v>4.812110913</v>
      </c>
      <c r="P6" t="n">
        <v>25</v>
      </c>
      <c r="Q6" t="inlineStr">
        <is>
          <t xml:space="preserve">Integrated energy and chemical company </t>
        </is>
      </c>
      <c r="R6" t="inlineStr">
        <is>
          <t>USD</t>
        </is>
      </c>
      <c r="S6" t="inlineStr">
        <is>
          <t>High Yield</t>
        </is>
      </c>
      <c r="T6" t="inlineStr">
        <is>
          <t>BB+</t>
        </is>
      </c>
      <c r="U6" t="inlineStr">
        <is>
          <t>BB+</t>
        </is>
      </c>
    </row>
    <row r="7">
      <c r="A7" t="inlineStr">
        <is>
          <t>USG2583XAB76</t>
        </is>
      </c>
      <c r="B7" t="inlineStr">
        <is>
          <t>Not accumulate</t>
        </is>
      </c>
      <c r="C7" t="inlineStr">
        <is>
          <t>Csn Islands Xi Corp</t>
        </is>
      </c>
      <c r="D7" t="n">
        <v>6.75</v>
      </c>
      <c r="E7" t="inlineStr">
        <is>
          <t>Sr Unsecured</t>
        </is>
      </c>
      <c r="F7" t="inlineStr">
        <is>
          <t>28.01.2028</t>
        </is>
      </c>
      <c r="G7" t="inlineStr">
        <is>
          <t>Brazil</t>
        </is>
      </c>
      <c r="H7" t="inlineStr">
        <is>
          <t>Basic Materials</t>
        </is>
      </c>
      <c r="I7" t="n">
        <v>200</v>
      </c>
      <c r="J7" t="n">
        <v>94.78100000000001</v>
      </c>
      <c r="K7" t="n">
        <v>9.080596999999999</v>
      </c>
      <c r="L7" t="n">
        <v>-0.001952</v>
      </c>
      <c r="M7" t="n">
        <v>-0.42103</v>
      </c>
      <c r="N7" t="n">
        <v>523.5006329</v>
      </c>
      <c r="O7" t="n">
        <v>2.586937597</v>
      </c>
      <c r="P7" t="n">
        <v>25</v>
      </c>
      <c r="Q7" t="inlineStr">
        <is>
          <t xml:space="preserve">Steel maker </t>
        </is>
      </c>
      <c r="R7" t="inlineStr">
        <is>
          <t>USD</t>
        </is>
      </c>
      <c r="S7" t="inlineStr">
        <is>
          <t>Latin America</t>
        </is>
      </c>
      <c r="T7" t="inlineStr">
        <is>
          <t>BB-</t>
        </is>
      </c>
      <c r="U7" t="inlineStr">
        <is>
          <t>BB-</t>
        </is>
      </c>
    </row>
    <row r="8">
      <c r="A8" t="inlineStr">
        <is>
          <t>USE0R75RAB28</t>
        </is>
      </c>
      <c r="B8" t="inlineStr">
        <is>
          <t xml:space="preserve">Hold </t>
        </is>
      </c>
      <c r="C8" t="inlineStr">
        <is>
          <t>Ai Candelaria -Spain- Sa</t>
        </is>
      </c>
      <c r="D8" t="n">
        <v>5.75</v>
      </c>
      <c r="E8" t="inlineStr">
        <is>
          <t>Secured</t>
        </is>
      </c>
      <c r="F8" t="inlineStr">
        <is>
          <t>15.06.2033</t>
        </is>
      </c>
      <c r="G8" t="inlineStr">
        <is>
          <t>Colombia</t>
        </is>
      </c>
      <c r="H8" t="inlineStr">
        <is>
          <t>Energy</t>
        </is>
      </c>
      <c r="I8" t="n">
        <v>250</v>
      </c>
      <c r="J8" t="n">
        <v>84.735</v>
      </c>
      <c r="K8" t="n">
        <v>8.425234</v>
      </c>
      <c r="L8" t="n">
        <v>-0.175475</v>
      </c>
      <c r="M8" t="n">
        <v>-0.106448</v>
      </c>
      <c r="N8" t="n">
        <v>518.1661446000001</v>
      </c>
      <c r="O8" t="n">
        <v>4.852879713</v>
      </c>
      <c r="P8" t="n">
        <v>0</v>
      </c>
      <c r="Q8" t="inlineStr">
        <is>
          <t>Holding company of oil pipeline</t>
        </is>
      </c>
      <c r="R8" t="inlineStr">
        <is>
          <t>USD</t>
        </is>
      </c>
      <c r="S8" t="inlineStr">
        <is>
          <t>Latin America</t>
        </is>
      </c>
      <c r="T8" t="inlineStr">
        <is>
          <t>B+</t>
        </is>
      </c>
      <c r="U8" t="inlineStr">
        <is>
          <t>BB-</t>
        </is>
      </c>
    </row>
    <row r="9">
      <c r="A9" t="inlineStr">
        <is>
          <t>USU8035UAC63</t>
        </is>
      </c>
      <c r="B9" t="inlineStr">
        <is>
          <t xml:space="preserve">Hold </t>
        </is>
      </c>
      <c r="C9" t="inlineStr">
        <is>
          <t>Sasol Financing Usa Llc</t>
        </is>
      </c>
      <c r="D9" t="n">
        <v>8.75</v>
      </c>
      <c r="E9" t="inlineStr">
        <is>
          <t>Sr Unsecured</t>
        </is>
      </c>
      <c r="F9" t="inlineStr">
        <is>
          <t>03.05.2029</t>
        </is>
      </c>
      <c r="G9" t="inlineStr">
        <is>
          <t>South africa</t>
        </is>
      </c>
      <c r="H9" t="inlineStr">
        <is>
          <t>Basic Materials</t>
        </is>
      </c>
      <c r="I9" t="n">
        <v>200</v>
      </c>
      <c r="J9" t="n">
        <v>99.134</v>
      </c>
      <c r="K9" t="n">
        <v>9.016033</v>
      </c>
      <c r="L9" t="n">
        <v>-0.032661</v>
      </c>
      <c r="M9" t="n">
        <v>0.010598</v>
      </c>
      <c r="N9" t="n">
        <v>511.5366163</v>
      </c>
      <c r="O9" t="n">
        <v>3.272575776</v>
      </c>
      <c r="P9" t="n">
        <v>25</v>
      </c>
      <c r="Q9" t="inlineStr">
        <is>
          <t xml:space="preserve">Integrated energy and chemical company </t>
        </is>
      </c>
      <c r="R9" t="inlineStr">
        <is>
          <t>USD</t>
        </is>
      </c>
      <c r="S9" t="inlineStr">
        <is>
          <t>High Yield</t>
        </is>
      </c>
      <c r="T9" t="inlineStr">
        <is>
          <t>BB+</t>
        </is>
      </c>
      <c r="U9" t="inlineStr">
        <is>
          <t>BB+</t>
        </is>
      </c>
    </row>
    <row r="10">
      <c r="A10" t="inlineStr">
        <is>
          <t>CH0333827506</t>
        </is>
      </c>
      <c r="B10" t="inlineStr">
        <is>
          <t>Hold</t>
        </is>
      </c>
      <c r="C10" t="inlineStr">
        <is>
          <t>Teva Pharm Fin Iv</t>
        </is>
      </c>
      <c r="D10" t="n">
        <v>1</v>
      </c>
      <c r="E10" t="inlineStr">
        <is>
          <t>Sr Unsecured</t>
        </is>
      </c>
      <c r="F10" t="inlineStr">
        <is>
          <t>28.07.2025</t>
        </is>
      </c>
      <c r="G10" t="inlineStr">
        <is>
          <t>Israel</t>
        </is>
      </c>
      <c r="H10" t="inlineStr">
        <is>
          <t>Consumer, Non-cyclical</t>
        </is>
      </c>
      <c r="I10" t="n">
        <v>5</v>
      </c>
      <c r="J10" t="n">
        <v>99.795</v>
      </c>
      <c r="K10" t="n">
        <v>4.857654</v>
      </c>
      <c r="L10" t="n">
        <v>-0.046412</v>
      </c>
      <c r="M10" t="n">
        <v>1.919441</v>
      </c>
      <c r="N10" t="n">
        <v>506.3319542</v>
      </c>
      <c r="O10" t="n">
        <v>0.426245496</v>
      </c>
      <c r="P10" t="n">
        <v>20</v>
      </c>
      <c r="Q10" t="inlineStr">
        <is>
          <t>Largest manufacturer of pharmaceutical generics</t>
        </is>
      </c>
      <c r="R10" t="inlineStr">
        <is>
          <t>CHF</t>
        </is>
      </c>
      <c r="S10" t="inlineStr">
        <is>
          <t>High Yield</t>
        </is>
      </c>
      <c r="T10" t="inlineStr">
        <is>
          <t>BB</t>
        </is>
      </c>
      <c r="U10" t="inlineStr">
        <is>
          <t>BB</t>
        </is>
      </c>
    </row>
    <row r="11">
      <c r="A11" t="inlineStr">
        <is>
          <t>USU8215LAA27</t>
        </is>
      </c>
      <c r="B11" t="inlineStr">
        <is>
          <t>Hold</t>
        </is>
      </c>
      <c r="C11" t="inlineStr">
        <is>
          <t>Sierracol Enrgy Andina</t>
        </is>
      </c>
      <c r="D11" t="n">
        <v>6</v>
      </c>
      <c r="E11" t="inlineStr">
        <is>
          <t>Sr Unsecured</t>
        </is>
      </c>
      <c r="F11" t="inlineStr">
        <is>
          <t>15.06.2028</t>
        </is>
      </c>
      <c r="G11" t="inlineStr">
        <is>
          <t>Colombia</t>
        </is>
      </c>
      <c r="H11" t="inlineStr">
        <is>
          <t>Energy</t>
        </is>
      </c>
      <c r="I11" t="n">
        <v>200</v>
      </c>
      <c r="J11" t="n">
        <v>92.788</v>
      </c>
      <c r="K11" t="n">
        <v>8.839394</v>
      </c>
      <c r="L11" t="n">
        <v>-0.014173</v>
      </c>
      <c r="M11" t="n">
        <v>-0.33487</v>
      </c>
      <c r="N11" t="n">
        <v>500.8933963</v>
      </c>
      <c r="O11" t="n">
        <v>2.889595888</v>
      </c>
      <c r="P11" t="n">
        <v>0</v>
      </c>
      <c r="Q11" t="inlineStr">
        <is>
          <t xml:space="preserve">Oil and gas company </t>
        </is>
      </c>
      <c r="R11" t="inlineStr">
        <is>
          <t>USD</t>
        </is>
      </c>
      <c r="S11" t="inlineStr">
        <is>
          <t>Latin America</t>
        </is>
      </c>
      <c r="T11" t="inlineStr">
        <is>
          <t>B+</t>
        </is>
      </c>
      <c r="U11" t="inlineStr">
        <is>
          <t>B+</t>
        </is>
      </c>
    </row>
    <row r="12">
      <c r="A12" t="inlineStr">
        <is>
          <t>FR001400QC85</t>
        </is>
      </c>
      <c r="B12" t="inlineStr">
        <is>
          <t>Hold</t>
        </is>
      </c>
      <c r="C12" t="inlineStr">
        <is>
          <t>Eramet</t>
        </is>
      </c>
      <c r="D12" t="n">
        <v>6.5</v>
      </c>
      <c r="E12" t="inlineStr">
        <is>
          <t>Sr Unsecured</t>
        </is>
      </c>
      <c r="F12" t="inlineStr">
        <is>
          <t>30.11.2029</t>
        </is>
      </c>
      <c r="G12" t="inlineStr">
        <is>
          <t>France</t>
        </is>
      </c>
      <c r="H12" t="inlineStr">
        <is>
          <t>Basic Materials</t>
        </is>
      </c>
      <c r="I12" t="n">
        <v>100</v>
      </c>
      <c r="J12" t="n">
        <v>99.717</v>
      </c>
      <c r="K12" t="n">
        <v>6.56289</v>
      </c>
      <c r="L12" t="n">
        <v>-0.08319</v>
      </c>
      <c r="M12" t="n">
        <v>-0.201254</v>
      </c>
      <c r="N12" t="n">
        <v>427.2082226</v>
      </c>
      <c r="O12" t="n">
        <v>3.933632703</v>
      </c>
      <c r="P12" t="n">
        <v>25</v>
      </c>
      <c r="Q12" t="inlineStr">
        <is>
          <t>Partially state-owned mining company in manganese, nickel, and special steels.</t>
        </is>
      </c>
      <c r="R12" t="inlineStr">
        <is>
          <t>EUR</t>
        </is>
      </c>
      <c r="S12" t="inlineStr">
        <is>
          <t>High Yield</t>
        </is>
      </c>
      <c r="T12" t="inlineStr">
        <is>
          <t>BB-</t>
        </is>
      </c>
      <c r="U12" t="inlineStr">
        <is>
          <t>BB-</t>
        </is>
      </c>
    </row>
    <row r="13">
      <c r="A13" t="inlineStr">
        <is>
          <t>FR001400HZE3</t>
        </is>
      </c>
      <c r="B13" t="inlineStr">
        <is>
          <t>Hold</t>
        </is>
      </c>
      <c r="C13" t="inlineStr">
        <is>
          <t>Eramet</t>
        </is>
      </c>
      <c r="D13" t="n">
        <v>7</v>
      </c>
      <c r="E13" t="inlineStr">
        <is>
          <t>Sr Unsecured</t>
        </is>
      </c>
      <c r="F13" t="inlineStr">
        <is>
          <t>22.05.2028</t>
        </is>
      </c>
      <c r="G13" t="inlineStr">
        <is>
          <t>France</t>
        </is>
      </c>
      <c r="H13" t="inlineStr">
        <is>
          <t>Basic Materials</t>
        </is>
      </c>
      <c r="I13" t="n">
        <v>100</v>
      </c>
      <c r="J13" t="n">
        <v>101.982</v>
      </c>
      <c r="K13" t="n">
        <v>6.162619</v>
      </c>
      <c r="L13" t="n">
        <v>-0.141099</v>
      </c>
      <c r="M13" t="n">
        <v>-0.252569</v>
      </c>
      <c r="N13" t="n">
        <v>411.023193</v>
      </c>
      <c r="O13" t="n">
        <v>2.51997199</v>
      </c>
      <c r="P13" t="n">
        <v>25</v>
      </c>
      <c r="Q13" t="inlineStr">
        <is>
          <t>Partially state-owned mining company in manganese, nickel, and special steels.</t>
        </is>
      </c>
      <c r="R13" t="inlineStr">
        <is>
          <t>EUR</t>
        </is>
      </c>
      <c r="S13" t="inlineStr">
        <is>
          <t>High Yield</t>
        </is>
      </c>
      <c r="T13" t="inlineStr">
        <is>
          <t>BB-</t>
        </is>
      </c>
      <c r="U13" t="inlineStr">
        <is>
          <t>BB-</t>
        </is>
      </c>
    </row>
    <row r="14">
      <c r="A14" t="inlineStr">
        <is>
          <t>USP8000UAA71</t>
        </is>
      </c>
      <c r="B14" t="inlineStr">
        <is>
          <t xml:space="preserve">Hold </t>
        </is>
      </c>
      <c r="C14" t="inlineStr">
        <is>
          <t>Petroleos Mexicanos</t>
        </is>
      </c>
      <c r="D14" t="n">
        <v>6.7</v>
      </c>
      <c r="E14" t="inlineStr">
        <is>
          <t>Sr Unsecured</t>
        </is>
      </c>
      <c r="F14" t="inlineStr">
        <is>
          <t>16.02.2032</t>
        </is>
      </c>
      <c r="G14" t="inlineStr">
        <is>
          <t>Mexico</t>
        </is>
      </c>
      <c r="H14" t="inlineStr">
        <is>
          <t>Energy</t>
        </is>
      </c>
      <c r="I14" t="n">
        <v>10</v>
      </c>
      <c r="J14" t="n">
        <v>94.11199999999999</v>
      </c>
      <c r="K14" t="n">
        <v>7.85741</v>
      </c>
      <c r="L14" t="n">
        <v>-0.274919</v>
      </c>
      <c r="M14" t="n">
        <v>-0.6863359999999999</v>
      </c>
      <c r="N14" t="n">
        <v>401.958252</v>
      </c>
      <c r="O14" t="n">
        <v>4.700903964</v>
      </c>
      <c r="P14" t="n">
        <v>60</v>
      </c>
      <c r="Q14" t="inlineStr">
        <is>
          <t>Mexican state oil and gas company</t>
        </is>
      </c>
      <c r="R14" t="inlineStr">
        <is>
          <t>USD</t>
        </is>
      </c>
      <c r="S14" t="inlineStr">
        <is>
          <t>Latin America</t>
        </is>
      </c>
      <c r="T14" t="inlineStr">
        <is>
          <t>BB-</t>
        </is>
      </c>
      <c r="U14" t="inlineStr">
        <is>
          <t>BB-</t>
        </is>
      </c>
    </row>
    <row r="15">
      <c r="A15" t="inlineStr">
        <is>
          <t xml:space="preserve">US279158AS81 </t>
        </is>
      </c>
      <c r="B15" t="inlineStr">
        <is>
          <t xml:space="preserve">Hold </t>
        </is>
      </c>
      <c r="C15" t="inlineStr">
        <is>
          <t>Ecopetrol Sa</t>
        </is>
      </c>
      <c r="D15" t="n">
        <v>8.875</v>
      </c>
      <c r="E15" t="inlineStr">
        <is>
          <t>Sr Unsecured</t>
        </is>
      </c>
      <c r="F15" t="inlineStr">
        <is>
          <t>13.01.2033</t>
        </is>
      </c>
      <c r="G15" t="inlineStr">
        <is>
          <t>Colombia</t>
        </is>
      </c>
      <c r="H15" t="inlineStr">
        <is>
          <t>Energy</t>
        </is>
      </c>
      <c r="I15" t="n">
        <v>1</v>
      </c>
      <c r="J15" t="n">
        <v>104.035</v>
      </c>
      <c r="K15" t="n">
        <v>8.130466</v>
      </c>
      <c r="L15" t="n">
        <v>-0.16249</v>
      </c>
      <c r="M15" t="n">
        <v>-0.26456</v>
      </c>
      <c r="N15" t="n">
        <v>397.6932501</v>
      </c>
      <c r="O15" t="n">
        <v>5.474664369</v>
      </c>
      <c r="P15" t="n">
        <v>15</v>
      </c>
      <c r="Q15" t="inlineStr">
        <is>
          <t xml:space="preserve">State-owned energy company </t>
        </is>
      </c>
      <c r="R15" t="inlineStr">
        <is>
          <t>USD</t>
        </is>
      </c>
      <c r="S15" t="inlineStr">
        <is>
          <t>Latin America</t>
        </is>
      </c>
      <c r="T15" t="inlineStr">
        <is>
          <t>BB</t>
        </is>
      </c>
      <c r="U15" t="inlineStr">
        <is>
          <t>BB+</t>
        </is>
      </c>
    </row>
    <row r="16">
      <c r="A16" t="inlineStr">
        <is>
          <t>US279158AW93</t>
        </is>
      </c>
      <c r="B16" t="inlineStr">
        <is>
          <t xml:space="preserve">Top pick </t>
        </is>
      </c>
      <c r="C16" t="inlineStr">
        <is>
          <t>Ecopetrol Sa</t>
        </is>
      </c>
      <c r="D16" t="n">
        <v>7.75</v>
      </c>
      <c r="E16" t="inlineStr">
        <is>
          <t>Sr Unsecured</t>
        </is>
      </c>
      <c r="F16" t="inlineStr">
        <is>
          <t>01.02.2032</t>
        </is>
      </c>
      <c r="G16" t="inlineStr">
        <is>
          <t>Colombia</t>
        </is>
      </c>
      <c r="H16" t="inlineStr">
        <is>
          <t>Energy</t>
        </is>
      </c>
      <c r="I16" t="n">
        <v>1</v>
      </c>
      <c r="J16" t="n">
        <v>99.545</v>
      </c>
      <c r="K16" t="n">
        <v>7.838344</v>
      </c>
      <c r="L16" t="n">
        <v>-0.224828</v>
      </c>
      <c r="M16" t="n">
        <v>-0.356586</v>
      </c>
      <c r="N16" t="n">
        <v>375.1907576</v>
      </c>
      <c r="O16" t="n">
        <v>5.252211939</v>
      </c>
      <c r="P16" t="n">
        <v>0</v>
      </c>
      <c r="Q16" t="inlineStr">
        <is>
          <t xml:space="preserve"> State-owned largest energy company in Colombia </t>
        </is>
      </c>
      <c r="R16" t="inlineStr">
        <is>
          <t>USD</t>
        </is>
      </c>
      <c r="S16" t="inlineStr">
        <is>
          <t>Latin America</t>
        </is>
      </c>
      <c r="T16" t="inlineStr">
        <is>
          <t>BB</t>
        </is>
      </c>
      <c r="U16" t="inlineStr">
        <is>
          <t>BB+</t>
        </is>
      </c>
    </row>
    <row r="17">
      <c r="A17" t="inlineStr">
        <is>
          <t>US279158AP43</t>
        </is>
      </c>
      <c r="B17" t="inlineStr">
        <is>
          <t xml:space="preserve">Hold </t>
        </is>
      </c>
      <c r="C17" t="inlineStr">
        <is>
          <t>Ecopetrol Sa</t>
        </is>
      </c>
      <c r="D17" t="n">
        <v>4.625</v>
      </c>
      <c r="E17" t="inlineStr">
        <is>
          <t>Sr Unsecured</t>
        </is>
      </c>
      <c r="F17" t="inlineStr">
        <is>
          <t>02.11.2031</t>
        </is>
      </c>
      <c r="G17" t="inlineStr">
        <is>
          <t>Colombia</t>
        </is>
      </c>
      <c r="H17" t="inlineStr">
        <is>
          <t>Energy</t>
        </is>
      </c>
      <c r="I17" t="n">
        <v>1</v>
      </c>
      <c r="J17" t="n">
        <v>85.09699999999999</v>
      </c>
      <c r="K17" t="n">
        <v>7.641238</v>
      </c>
      <c r="L17" t="n">
        <v>-0.146751</v>
      </c>
      <c r="M17" t="n">
        <v>-0.357178</v>
      </c>
      <c r="N17" t="n">
        <v>357.5619928</v>
      </c>
      <c r="O17" t="n">
        <v>5.440051328</v>
      </c>
      <c r="P17" t="n">
        <v>0</v>
      </c>
      <c r="Q17" t="inlineStr">
        <is>
          <t xml:space="preserve">State-owned energy company </t>
        </is>
      </c>
      <c r="R17" t="inlineStr">
        <is>
          <t>USD</t>
        </is>
      </c>
      <c r="S17" t="inlineStr">
        <is>
          <t>Latin America</t>
        </is>
      </c>
      <c r="T17" t="inlineStr">
        <is>
          <t>BB</t>
        </is>
      </c>
      <c r="U17" t="inlineStr">
        <is>
          <t>BB+</t>
        </is>
      </c>
    </row>
    <row r="18">
      <c r="A18" t="inlineStr">
        <is>
          <t>US279158AP43</t>
        </is>
      </c>
      <c r="B18" t="inlineStr">
        <is>
          <t>Top pick</t>
        </is>
      </c>
      <c r="C18" t="inlineStr">
        <is>
          <t>Ecopetrol Sa</t>
        </is>
      </c>
      <c r="D18" t="n">
        <v>4.625</v>
      </c>
      <c r="E18" t="inlineStr">
        <is>
          <t>Sr Unsecured</t>
        </is>
      </c>
      <c r="F18" t="inlineStr">
        <is>
          <t>02.11.2031</t>
        </is>
      </c>
      <c r="G18" t="inlineStr">
        <is>
          <t>Colombia</t>
        </is>
      </c>
      <c r="H18" t="inlineStr">
        <is>
          <t>Energy</t>
        </is>
      </c>
      <c r="I18" t="n">
        <v>1</v>
      </c>
      <c r="J18" t="n">
        <v>85.09699999999999</v>
      </c>
      <c r="K18" t="n">
        <v>7.641238</v>
      </c>
      <c r="L18" t="n">
        <v>-0.146751</v>
      </c>
      <c r="M18" t="n">
        <v>-0.357178</v>
      </c>
      <c r="N18" t="n">
        <v>357.5619928</v>
      </c>
      <c r="O18" t="n">
        <v>5.440051328</v>
      </c>
      <c r="P18" t="n">
        <v>0</v>
      </c>
      <c r="Q18" t="inlineStr">
        <is>
          <t>State-owned integrated energy company</t>
        </is>
      </c>
      <c r="R18" t="inlineStr">
        <is>
          <t>USD</t>
        </is>
      </c>
      <c r="S18" t="inlineStr">
        <is>
          <t>Latin America</t>
        </is>
      </c>
      <c r="T18" t="inlineStr">
        <is>
          <t>BB</t>
        </is>
      </c>
      <c r="U18" t="inlineStr">
        <is>
          <t>BB+</t>
        </is>
      </c>
    </row>
    <row r="19">
      <c r="A19" t="inlineStr">
        <is>
          <t>USP2000GAA15</t>
        </is>
      </c>
      <c r="B19" t="inlineStr">
        <is>
          <t>Top Pick</t>
        </is>
      </c>
      <c r="C19" t="inlineStr">
        <is>
          <t>Bbva Bancomer Sa Texas</t>
        </is>
      </c>
      <c r="D19" t="n">
        <v>7.625</v>
      </c>
      <c r="E19" t="inlineStr">
        <is>
          <t>Subordinated</t>
        </is>
      </c>
      <c r="F19" t="inlineStr">
        <is>
          <t>11.02.2035</t>
        </is>
      </c>
      <c r="G19" t="inlineStr">
        <is>
          <t>Mexico</t>
        </is>
      </c>
      <c r="H19" t="inlineStr">
        <is>
          <t>Financial</t>
        </is>
      </c>
      <c r="I19" t="n">
        <v>200</v>
      </c>
      <c r="J19" t="n">
        <v>102.687</v>
      </c>
      <c r="K19" t="n">
        <v>6.929273</v>
      </c>
      <c r="L19" t="n">
        <v>0.08045099999999999</v>
      </c>
      <c r="M19" t="n">
        <v>-0.07267999999999999</v>
      </c>
      <c r="N19" t="n">
        <v>335.8716841</v>
      </c>
      <c r="O19" t="n">
        <v>4.078755288</v>
      </c>
      <c r="P19" t="n">
        <v>0</v>
      </c>
      <c r="Q19" t="inlineStr">
        <is>
          <t>Mexico's largest bank</t>
        </is>
      </c>
      <c r="R19" t="inlineStr">
        <is>
          <t>USD</t>
        </is>
      </c>
      <c r="S19" t="inlineStr">
        <is>
          <t>Latin America</t>
        </is>
      </c>
      <c r="T19" t="inlineStr">
        <is>
          <t>BB+</t>
        </is>
      </c>
      <c r="U19" t="inlineStr">
        <is>
          <t>BB+</t>
        </is>
      </c>
    </row>
    <row r="20">
      <c r="A20" t="inlineStr">
        <is>
          <t>XS2355105292</t>
        </is>
      </c>
      <c r="B20" t="inlineStr">
        <is>
          <t>Top pick</t>
        </is>
      </c>
      <c r="C20" t="inlineStr">
        <is>
          <t>Anadolu Efes Bir</t>
        </is>
      </c>
      <c r="D20" t="n">
        <v>3.375</v>
      </c>
      <c r="E20" t="inlineStr">
        <is>
          <t>Sr Unsecured</t>
        </is>
      </c>
      <c r="F20" t="inlineStr">
        <is>
          <t>29.06.2028</t>
        </is>
      </c>
      <c r="G20" t="inlineStr">
        <is>
          <t>Turkey</t>
        </is>
      </c>
      <c r="H20" t="inlineStr">
        <is>
          <t>Consumer, Non-cyclical</t>
        </is>
      </c>
      <c r="I20" t="n">
        <v>200</v>
      </c>
      <c r="J20" t="n">
        <v>90.39</v>
      </c>
      <c r="K20" t="n">
        <v>7.012501</v>
      </c>
      <c r="L20" t="n">
        <v>-0.155102</v>
      </c>
      <c r="M20" t="n">
        <v>-0.199616</v>
      </c>
      <c r="N20" t="n">
        <v>318.4980942</v>
      </c>
      <c r="O20" t="n">
        <v>3.054387523</v>
      </c>
      <c r="P20" t="n">
        <v>10</v>
      </c>
      <c r="Q20" t="inlineStr">
        <is>
          <t>Produces and markets beer and malt and non-alcoholic beverages</t>
        </is>
      </c>
      <c r="R20" t="inlineStr">
        <is>
          <t>USD</t>
        </is>
      </c>
      <c r="S20" t="inlineStr">
        <is>
          <t>High Yield</t>
        </is>
      </c>
      <c r="T20" t="inlineStr">
        <is>
          <t>BB</t>
        </is>
      </c>
      <c r="U20" t="inlineStr">
        <is>
          <t>BB</t>
        </is>
      </c>
    </row>
    <row r="21">
      <c r="A21" t="inlineStr">
        <is>
          <t>USP71340AD81</t>
        </is>
      </c>
      <c r="B21" t="inlineStr">
        <is>
          <t xml:space="preserve">Not Accumulate </t>
        </is>
      </c>
      <c r="C21" t="inlineStr">
        <is>
          <t>Nemak Sab De Cv</t>
        </is>
      </c>
      <c r="D21" t="n">
        <v>3.625</v>
      </c>
      <c r="E21" t="inlineStr">
        <is>
          <t>Sr Unsecured</t>
        </is>
      </c>
      <c r="F21" t="inlineStr">
        <is>
          <t>28.06.2031</t>
        </is>
      </c>
      <c r="G21" t="inlineStr">
        <is>
          <t>Mexico</t>
        </is>
      </c>
      <c r="H21" t="inlineStr">
        <is>
          <t>Consumer, Cyclical</t>
        </is>
      </c>
      <c r="I21" t="n">
        <v>200</v>
      </c>
      <c r="J21" t="n">
        <v>82.90000000000001</v>
      </c>
      <c r="K21" t="n">
        <v>7.197717</v>
      </c>
      <c r="L21" t="n">
        <v>-0.139301</v>
      </c>
      <c r="M21" t="n">
        <v>-0.40864</v>
      </c>
      <c r="N21" t="n">
        <v>316.2544031</v>
      </c>
      <c r="O21" t="n">
        <v>5.382431146</v>
      </c>
      <c r="P21" t="n">
        <v>15</v>
      </c>
      <c r="Q21" t="inlineStr">
        <is>
          <t>Nemak develops and markets aluminum products for the automotive industry</t>
        </is>
      </c>
      <c r="R21" t="inlineStr">
        <is>
          <t>USD</t>
        </is>
      </c>
      <c r="S21" t="inlineStr">
        <is>
          <t>Latin America</t>
        </is>
      </c>
      <c r="T21" t="inlineStr">
        <is>
          <t>BB+</t>
        </is>
      </c>
      <c r="U21" t="inlineStr">
        <is>
          <t>BB+</t>
        </is>
      </c>
    </row>
    <row r="22">
      <c r="A22" t="inlineStr">
        <is>
          <t>US195325EG61</t>
        </is>
      </c>
      <c r="B22" t="inlineStr">
        <is>
          <t xml:space="preserve">Hold </t>
        </is>
      </c>
      <c r="C22" t="inlineStr">
        <is>
          <t>Republic Of Colombia</t>
        </is>
      </c>
      <c r="D22" t="n">
        <v>7.5</v>
      </c>
      <c r="E22" t="inlineStr">
        <is>
          <t>Sr Unsecured</t>
        </is>
      </c>
      <c r="F22" t="inlineStr">
        <is>
          <t>02.02.2034</t>
        </is>
      </c>
      <c r="G22" t="inlineStr">
        <is>
          <t>Colombia</t>
        </is>
      </c>
      <c r="H22" t="inlineStr">
        <is>
          <t>Government</t>
        </is>
      </c>
      <c r="I22" t="n">
        <v>200</v>
      </c>
      <c r="J22" t="n">
        <v>100.592</v>
      </c>
      <c r="K22" t="n">
        <v>7.403626</v>
      </c>
      <c r="L22" t="n">
        <v>-0.190921</v>
      </c>
      <c r="M22" t="n">
        <v>-0.199229</v>
      </c>
      <c r="N22" t="n">
        <v>315.1808049</v>
      </c>
      <c r="O22" t="n">
        <v>6.40716097</v>
      </c>
      <c r="P22" t="n">
        <v>15</v>
      </c>
      <c r="Q22" t="inlineStr">
        <is>
          <t>Colombian Government bond</t>
        </is>
      </c>
      <c r="R22" t="inlineStr">
        <is>
          <t>USD</t>
        </is>
      </c>
      <c r="S22" t="inlineStr">
        <is>
          <t>Latin America</t>
        </is>
      </c>
      <c r="T22" t="inlineStr">
        <is>
          <t>BB+</t>
        </is>
      </c>
      <c r="U22" t="inlineStr">
        <is>
          <t>BB+</t>
        </is>
      </c>
    </row>
    <row r="23">
      <c r="A23" t="inlineStr">
        <is>
          <t>XS2532478430</t>
        </is>
      </c>
      <c r="B23" t="inlineStr">
        <is>
          <t xml:space="preserve">Hold </t>
        </is>
      </c>
      <c r="C23" t="inlineStr">
        <is>
          <t>Tereos Finance Groupe I</t>
        </is>
      </c>
      <c r="D23" t="n">
        <v>7.25</v>
      </c>
      <c r="E23" t="inlineStr">
        <is>
          <t>Sr Unsecured</t>
        </is>
      </c>
      <c r="F23" t="inlineStr">
        <is>
          <t>15.04.2028</t>
        </is>
      </c>
      <c r="G23" t="inlineStr">
        <is>
          <t>France</t>
        </is>
      </c>
      <c r="H23" t="inlineStr">
        <is>
          <t>Consumer, Non-cyclical</t>
        </is>
      </c>
      <c r="I23" t="n">
        <v>100</v>
      </c>
      <c r="J23" t="n">
        <v>103.363</v>
      </c>
      <c r="K23" t="n">
        <v>5.12435</v>
      </c>
      <c r="L23" t="n">
        <v>-0.122427</v>
      </c>
      <c r="M23" t="n">
        <v>1.976093</v>
      </c>
      <c r="N23" t="n">
        <v>314.5367285</v>
      </c>
      <c r="O23" t="n">
        <v>0.141769878</v>
      </c>
      <c r="P23" t="n">
        <v>25</v>
      </c>
      <c r="Q23" t="inlineStr">
        <is>
          <t xml:space="preserve">French producer of sugar, ethanol, alcohol, starches and sweeteners. </t>
        </is>
      </c>
      <c r="R23" t="inlineStr">
        <is>
          <t>EUR</t>
        </is>
      </c>
      <c r="S23" t="inlineStr">
        <is>
          <t>High Yield</t>
        </is>
      </c>
      <c r="T23" t="inlineStr">
        <is>
          <t>BB-</t>
        </is>
      </c>
      <c r="U23" t="inlineStr">
        <is>
          <t>BB-</t>
        </is>
      </c>
    </row>
    <row r="24">
      <c r="A24" t="inlineStr">
        <is>
          <t>XS2782775345</t>
        </is>
      </c>
      <c r="B24" t="inlineStr">
        <is>
          <t>Hold</t>
        </is>
      </c>
      <c r="C24" t="inlineStr">
        <is>
          <t>Ford Otomotiv Sanayi As</t>
        </is>
      </c>
      <c r="D24" t="n">
        <v>7.125</v>
      </c>
      <c r="E24" t="inlineStr">
        <is>
          <t>Sr Unsecured</t>
        </is>
      </c>
      <c r="F24" t="inlineStr">
        <is>
          <t>25.04.2029</t>
        </is>
      </c>
      <c r="G24" t="inlineStr">
        <is>
          <t>Turkey</t>
        </is>
      </c>
      <c r="H24" t="inlineStr">
        <is>
          <t>Consumer, Cyclical</t>
        </is>
      </c>
      <c r="I24" t="n">
        <v>200</v>
      </c>
      <c r="J24" t="n">
        <v>100.591</v>
      </c>
      <c r="K24" t="n">
        <v>6.933182</v>
      </c>
      <c r="L24" t="n">
        <v>-0.09357799999999999</v>
      </c>
      <c r="M24" t="n">
        <v>-0.179669</v>
      </c>
      <c r="N24" t="n">
        <v>301.1631786</v>
      </c>
      <c r="O24" t="n">
        <v>3.473871072</v>
      </c>
      <c r="P24" t="n">
        <v>25</v>
      </c>
      <c r="Q24" t="inlineStr">
        <is>
          <t>Auto supplier JV between Ford and Koc Holding</t>
        </is>
      </c>
      <c r="R24" t="inlineStr">
        <is>
          <t>USD</t>
        </is>
      </c>
      <c r="S24" t="inlineStr">
        <is>
          <t>High Yield</t>
        </is>
      </c>
      <c r="T24" t="inlineStr">
        <is>
          <t>BB</t>
        </is>
      </c>
      <c r="U24" t="inlineStr">
        <is>
          <t>BB</t>
        </is>
      </c>
    </row>
    <row r="25">
      <c r="A25" t="inlineStr">
        <is>
          <t>US900123BG46</t>
        </is>
      </c>
      <c r="B25" t="inlineStr">
        <is>
          <t>Hold</t>
        </is>
      </c>
      <c r="C25" t="inlineStr">
        <is>
          <t>Republic Of Turkiye</t>
        </is>
      </c>
      <c r="D25" t="n">
        <v>6.75</v>
      </c>
      <c r="E25" t="inlineStr">
        <is>
          <t>Sr Unsecured</t>
        </is>
      </c>
      <c r="F25" t="inlineStr">
        <is>
          <t>30.05.2040</t>
        </is>
      </c>
      <c r="G25" t="inlineStr">
        <is>
          <t>Turkey</t>
        </is>
      </c>
      <c r="H25" t="inlineStr">
        <is>
          <t>Government</t>
        </is>
      </c>
      <c r="I25" t="n">
        <v>100</v>
      </c>
      <c r="J25" t="n">
        <v>92.351</v>
      </c>
      <c r="K25" t="n">
        <v>7.61633</v>
      </c>
      <c r="L25" t="n">
        <v>-0.184433</v>
      </c>
      <c r="M25" t="n">
        <v>-0.340095</v>
      </c>
      <c r="N25" t="n">
        <v>297.6363072</v>
      </c>
      <c r="O25" t="n">
        <v>9.04934308</v>
      </c>
      <c r="P25" t="n">
        <v>0</v>
      </c>
      <c r="Q25" t="inlineStr">
        <is>
          <t>Turkey sovereign bond</t>
        </is>
      </c>
      <c r="R25" t="inlineStr">
        <is>
          <t>USD</t>
        </is>
      </c>
      <c r="S25" t="inlineStr">
        <is>
          <t>High Yield</t>
        </is>
      </c>
      <c r="T25" t="inlineStr">
        <is>
          <t>B+</t>
        </is>
      </c>
      <c r="U25" t="inlineStr">
        <is>
          <t>B+</t>
        </is>
      </c>
    </row>
    <row r="26">
      <c r="A26" t="inlineStr">
        <is>
          <t>XS1824425182</t>
        </is>
      </c>
      <c r="B26" t="inlineStr">
        <is>
          <t xml:space="preserve">Hold </t>
        </is>
      </c>
      <c r="C26" t="inlineStr">
        <is>
          <t>Petroleos Mexicanos</t>
        </is>
      </c>
      <c r="D26" t="n">
        <v>3.625</v>
      </c>
      <c r="E26" t="inlineStr">
        <is>
          <t>Sr Unsecured</t>
        </is>
      </c>
      <c r="F26" t="inlineStr">
        <is>
          <t>24.11.2025</t>
        </is>
      </c>
      <c r="G26" t="inlineStr">
        <is>
          <t>Mexico</t>
        </is>
      </c>
      <c r="H26" t="inlineStr">
        <is>
          <t>Energy</t>
        </is>
      </c>
      <c r="I26" t="n">
        <v>100</v>
      </c>
      <c r="J26" t="n">
        <v>99.54600000000001</v>
      </c>
      <c r="K26" t="n">
        <v>4.74177</v>
      </c>
      <c r="L26" t="n">
        <v>-0.114746</v>
      </c>
      <c r="M26" t="n">
        <v>-0.076331</v>
      </c>
      <c r="N26" t="n">
        <v>292.609346</v>
      </c>
      <c r="O26" t="n">
        <v>0.721475337</v>
      </c>
      <c r="P26" t="n">
        <v>25</v>
      </c>
      <c r="Q26" t="inlineStr">
        <is>
          <t>Mexican state oil and gas company</t>
        </is>
      </c>
      <c r="R26" t="inlineStr">
        <is>
          <t>EUR</t>
        </is>
      </c>
      <c r="S26" t="inlineStr">
        <is>
          <t>Latin America</t>
        </is>
      </c>
      <c r="T26" t="inlineStr">
        <is>
          <t>BB-</t>
        </is>
      </c>
      <c r="U26" t="inlineStr">
        <is>
          <t>BB-</t>
        </is>
      </c>
    </row>
    <row r="27">
      <c r="A27" t="inlineStr">
        <is>
          <t>US900123DG28</t>
        </is>
      </c>
      <c r="B27" t="inlineStr">
        <is>
          <t>Hold</t>
        </is>
      </c>
      <c r="C27" t="inlineStr">
        <is>
          <t>Republic Of Turkiye</t>
        </is>
      </c>
      <c r="D27" t="n">
        <v>9.375</v>
      </c>
      <c r="E27" t="inlineStr">
        <is>
          <t>Sr Unsecured</t>
        </is>
      </c>
      <c r="F27" t="inlineStr">
        <is>
          <t>19.01.2033</t>
        </is>
      </c>
      <c r="G27" t="inlineStr">
        <is>
          <t>Turkey</t>
        </is>
      </c>
      <c r="H27" t="inlineStr">
        <is>
          <t>Government</t>
        </is>
      </c>
      <c r="I27" t="n">
        <v>200</v>
      </c>
      <c r="J27" t="n">
        <v>113.438</v>
      </c>
      <c r="K27" t="n">
        <v>7.044239</v>
      </c>
      <c r="L27" t="n">
        <v>-0.187326</v>
      </c>
      <c r="M27" t="n">
        <v>-0.341352</v>
      </c>
      <c r="N27" t="n">
        <v>289.9075238</v>
      </c>
      <c r="O27" t="n">
        <v>5.663597936</v>
      </c>
      <c r="P27" t="n">
        <v>0</v>
      </c>
      <c r="Q27" t="inlineStr">
        <is>
          <t>Turkey sovereign bond</t>
        </is>
      </c>
      <c r="R27" t="inlineStr">
        <is>
          <t>USD</t>
        </is>
      </c>
      <c r="S27" t="inlineStr">
        <is>
          <t>High Yield</t>
        </is>
      </c>
      <c r="T27" t="inlineStr">
        <is>
          <t>B+</t>
        </is>
      </c>
      <c r="U27" t="inlineStr">
        <is>
          <t>B+</t>
        </is>
      </c>
    </row>
    <row r="28">
      <c r="A28" t="inlineStr">
        <is>
          <t>CH0553695815</t>
        </is>
      </c>
      <c r="B28" t="inlineStr">
        <is>
          <t xml:space="preserve">Hold </t>
        </is>
      </c>
      <c r="C28" t="inlineStr">
        <is>
          <t>Varia Us Properties Ag</t>
        </is>
      </c>
      <c r="D28" t="n">
        <v>2.875</v>
      </c>
      <c r="E28" t="inlineStr">
        <is>
          <t>Sr Unsecured</t>
        </is>
      </c>
      <c r="F28" t="inlineStr">
        <is>
          <t>07.10.2025</t>
        </is>
      </c>
      <c r="G28" t="inlineStr">
        <is>
          <t>United states</t>
        </is>
      </c>
      <c r="H28" t="inlineStr">
        <is>
          <t>Financial</t>
        </is>
      </c>
      <c r="I28" t="n">
        <v>5</v>
      </c>
      <c r="J28" t="n">
        <v>100.009</v>
      </c>
      <c r="K28" t="n">
        <v>2.829431</v>
      </c>
      <c r="L28" t="n">
        <v>-0.078191</v>
      </c>
      <c r="M28" t="n">
        <v>-0.002031</v>
      </c>
      <c r="N28" t="n">
        <v>288.6804857</v>
      </c>
      <c r="O28" t="n">
        <v>0.602619745</v>
      </c>
      <c r="P28" t="n">
        <v>0</v>
      </c>
      <c r="Q28" t="inlineStr">
        <is>
          <t>Swiss residential real estate company</t>
        </is>
      </c>
      <c r="R28" t="inlineStr">
        <is>
          <t>CHF</t>
        </is>
      </c>
      <c r="S28" t="inlineStr">
        <is>
          <t>High Yield</t>
        </is>
      </c>
      <c r="T28" t="inlineStr">
        <is>
          <t>#N/A N/A</t>
        </is>
      </c>
      <c r="U28" t="inlineStr">
        <is>
          <t>#N/A N/A</t>
        </is>
      </c>
    </row>
    <row r="29">
      <c r="A29" t="inlineStr">
        <is>
          <t>XS2338564870</t>
        </is>
      </c>
      <c r="B29" t="inlineStr">
        <is>
          <t xml:space="preserve">Hold </t>
        </is>
      </c>
      <c r="C29" t="inlineStr">
        <is>
          <t>Zf Finance Gmbh</t>
        </is>
      </c>
      <c r="D29" t="n">
        <v>2</v>
      </c>
      <c r="E29" t="inlineStr">
        <is>
          <t>Sr Unsecured</t>
        </is>
      </c>
      <c r="F29" t="inlineStr">
        <is>
          <t>06.05.2027</t>
        </is>
      </c>
      <c r="G29" t="inlineStr">
        <is>
          <t>Germany</t>
        </is>
      </c>
      <c r="H29" t="inlineStr">
        <is>
          <t>Consumer, Cyclical</t>
        </is>
      </c>
      <c r="I29" t="n">
        <v>100</v>
      </c>
      <c r="J29" t="n">
        <v>95.26000000000001</v>
      </c>
      <c r="K29" t="n">
        <v>4.769949</v>
      </c>
      <c r="L29" t="n">
        <v>-0.198767</v>
      </c>
      <c r="M29" t="n">
        <v>0.407891</v>
      </c>
      <c r="N29" t="n">
        <v>286.6968247</v>
      </c>
      <c r="O29" t="n">
        <v>2.056016776</v>
      </c>
      <c r="P29" t="n">
        <v>20</v>
      </c>
      <c r="Q29" t="inlineStr">
        <is>
          <t xml:space="preserve">Germany's leading auto supplier </t>
        </is>
      </c>
      <c r="R29" t="inlineStr">
        <is>
          <t>EUR</t>
        </is>
      </c>
      <c r="S29" t="inlineStr">
        <is>
          <t>High Yield</t>
        </is>
      </c>
      <c r="T29" t="inlineStr">
        <is>
          <t>BB-</t>
        </is>
      </c>
      <c r="U29" t="inlineStr">
        <is>
          <t>BB</t>
        </is>
      </c>
    </row>
    <row r="30">
      <c r="A30" t="inlineStr">
        <is>
          <t>US71647NAN93</t>
        </is>
      </c>
      <c r="B30" t="inlineStr">
        <is>
          <t xml:space="preserve">Hold </t>
        </is>
      </c>
      <c r="C30" t="inlineStr">
        <is>
          <t>Petrobras Global Finance</t>
        </is>
      </c>
      <c r="D30" t="n">
        <v>6.85</v>
      </c>
      <c r="E30" t="inlineStr">
        <is>
          <t>Sr Unsecured</t>
        </is>
      </c>
      <c r="F30" t="inlineStr">
        <is>
          <t>05.06.2115</t>
        </is>
      </c>
      <c r="G30" t="inlineStr">
        <is>
          <t>Brazil</t>
        </is>
      </c>
      <c r="H30" t="inlineStr">
        <is>
          <t>Energy</t>
        </is>
      </c>
      <c r="I30" t="n">
        <v>2</v>
      </c>
      <c r="J30" t="n">
        <v>89.875</v>
      </c>
      <c r="K30" t="n">
        <v>7.621833</v>
      </c>
      <c r="L30" t="n">
        <v>-0.046996</v>
      </c>
      <c r="M30" t="n">
        <v>-0.174171</v>
      </c>
      <c r="N30" t="n">
        <v>281.7351779</v>
      </c>
      <c r="O30" t="n">
        <v>12.93524365</v>
      </c>
      <c r="P30" t="n">
        <v>0</v>
      </c>
      <c r="Q30" t="inlineStr">
        <is>
          <t>Largest oil company in Latin America</t>
        </is>
      </c>
      <c r="R30" t="inlineStr">
        <is>
          <t>USD</t>
        </is>
      </c>
      <c r="S30" t="inlineStr">
        <is>
          <t>Latin America</t>
        </is>
      </c>
      <c r="T30" t="inlineStr">
        <is>
          <t>BB</t>
        </is>
      </c>
      <c r="U30" t="inlineStr">
        <is>
          <t>BB</t>
        </is>
      </c>
    </row>
    <row r="31">
      <c r="A31" t="inlineStr">
        <is>
          <t xml:space="preserve"> XS2854423386</t>
        </is>
      </c>
      <c r="B31" t="inlineStr">
        <is>
          <t xml:space="preserve">Hold </t>
        </is>
      </c>
      <c r="C31" t="inlineStr">
        <is>
          <t>Softbank Group Corp</t>
        </is>
      </c>
      <c r="D31" t="n">
        <v>5.375</v>
      </c>
      <c r="E31" t="inlineStr">
        <is>
          <t>Sr Unsecured</t>
        </is>
      </c>
      <c r="F31" t="inlineStr">
        <is>
          <t>08.01.2029</t>
        </is>
      </c>
      <c r="G31" t="inlineStr">
        <is>
          <t>Japan</t>
        </is>
      </c>
      <c r="H31" t="inlineStr">
        <is>
          <t>Communications</t>
        </is>
      </c>
      <c r="I31" t="n">
        <v>100</v>
      </c>
      <c r="J31" t="n">
        <v>101.527</v>
      </c>
      <c r="K31" t="n">
        <v>4.922525</v>
      </c>
      <c r="L31" t="n">
        <v>0.157614</v>
      </c>
      <c r="M31" t="n">
        <v>0.04149</v>
      </c>
      <c r="N31" t="n">
        <v>280.3327199</v>
      </c>
      <c r="O31" t="n">
        <v>3.254611976</v>
      </c>
      <c r="P31" t="n">
        <v>0</v>
      </c>
      <c r="Q31" t="inlineStr">
        <is>
          <t xml:space="preserve">Japanese investment firm </t>
        </is>
      </c>
      <c r="R31" t="inlineStr">
        <is>
          <t>EUR</t>
        </is>
      </c>
      <c r="S31" t="inlineStr">
        <is>
          <t>High Yield</t>
        </is>
      </c>
      <c r="T31" t="inlineStr">
        <is>
          <t>NR</t>
        </is>
      </c>
      <c r="U31" t="inlineStr">
        <is>
          <t>NR</t>
        </is>
      </c>
    </row>
    <row r="32">
      <c r="A32" t="inlineStr">
        <is>
          <t>XS2320779213</t>
        </is>
      </c>
      <c r="B32" t="inlineStr">
        <is>
          <t>Hold</t>
        </is>
      </c>
      <c r="C32" t="inlineStr">
        <is>
          <t>China Water Affairs Grp</t>
        </is>
      </c>
      <c r="D32" t="n">
        <v>4.85</v>
      </c>
      <c r="E32" t="inlineStr">
        <is>
          <t>Sr Unsecured</t>
        </is>
      </c>
      <c r="F32" t="inlineStr">
        <is>
          <t>18.05.2026</t>
        </is>
      </c>
      <c r="G32" t="inlineStr">
        <is>
          <t>China</t>
        </is>
      </c>
      <c r="H32" t="inlineStr">
        <is>
          <t>Utilities</t>
        </is>
      </c>
      <c r="I32" t="n">
        <v>200</v>
      </c>
      <c r="J32" t="n">
        <v>98.398</v>
      </c>
      <c r="K32" t="n">
        <v>6.792241</v>
      </c>
      <c r="L32" t="n">
        <v>0.438676</v>
      </c>
      <c r="M32" t="n">
        <v>-0.374333</v>
      </c>
      <c r="N32" t="n">
        <v>273.8537754</v>
      </c>
      <c r="O32" t="n">
        <v>1.157579771</v>
      </c>
      <c r="P32" t="n">
        <v>20</v>
      </c>
      <c r="Q32" t="inlineStr">
        <is>
          <t>Supplies city water and sewage treatment.</t>
        </is>
      </c>
      <c r="R32" t="inlineStr">
        <is>
          <t>USD</t>
        </is>
      </c>
      <c r="S32" t="inlineStr">
        <is>
          <t>High Yield</t>
        </is>
      </c>
      <c r="T32" t="inlineStr">
        <is>
          <t>BB+</t>
        </is>
      </c>
      <c r="U32" t="inlineStr">
        <is>
          <t>BB+</t>
        </is>
      </c>
    </row>
    <row r="33">
      <c r="A33" t="inlineStr">
        <is>
          <t>US279158AT64</t>
        </is>
      </c>
      <c r="B33" t="inlineStr">
        <is>
          <t xml:space="preserve">Hold </t>
        </is>
      </c>
      <c r="C33" t="inlineStr">
        <is>
          <t>Ecopetrol Sa</t>
        </is>
      </c>
      <c r="D33" t="n">
        <v>8.625</v>
      </c>
      <c r="E33" t="inlineStr">
        <is>
          <t>Sr Unsecured</t>
        </is>
      </c>
      <c r="F33" t="inlineStr">
        <is>
          <t>19.01.2029</t>
        </is>
      </c>
      <c r="G33" t="inlineStr">
        <is>
          <t>Colombia</t>
        </is>
      </c>
      <c r="H33" t="inlineStr">
        <is>
          <t>Energy</t>
        </is>
      </c>
      <c r="I33" t="n">
        <v>1</v>
      </c>
      <c r="J33" t="n">
        <v>106.177</v>
      </c>
      <c r="K33" t="n">
        <v>6.593592</v>
      </c>
      <c r="L33" t="n">
        <v>-0.104475</v>
      </c>
      <c r="M33" t="n">
        <v>-0.26224</v>
      </c>
      <c r="N33" t="n">
        <v>271.9536182</v>
      </c>
      <c r="O33" t="n">
        <v>3.228249234</v>
      </c>
      <c r="P33" t="n">
        <v>25</v>
      </c>
      <c r="Q33" t="inlineStr">
        <is>
          <t xml:space="preserve">State-owned energy company </t>
        </is>
      </c>
      <c r="R33" t="inlineStr">
        <is>
          <t>USD</t>
        </is>
      </c>
      <c r="S33" t="inlineStr">
        <is>
          <t>Latin America</t>
        </is>
      </c>
      <c r="T33" t="inlineStr">
        <is>
          <t>BB</t>
        </is>
      </c>
      <c r="U33" t="inlineStr">
        <is>
          <t>BB+</t>
        </is>
      </c>
    </row>
    <row r="34">
      <c r="A34" t="inlineStr">
        <is>
          <t>USV3855MAA54</t>
        </is>
      </c>
      <c r="B34" t="inlineStr">
        <is>
          <t>Hold</t>
        </is>
      </c>
      <c r="C34" t="inlineStr">
        <is>
          <t>Greenko Power Ii Ltd</t>
        </is>
      </c>
      <c r="D34" t="n">
        <v>4.3</v>
      </c>
      <c r="E34" t="inlineStr">
        <is>
          <t>1St Lien</t>
        </is>
      </c>
      <c r="F34" t="inlineStr">
        <is>
          <t>13.12.2028</t>
        </is>
      </c>
      <c r="G34" t="inlineStr">
        <is>
          <t>India</t>
        </is>
      </c>
      <c r="H34" t="inlineStr">
        <is>
          <t>Energy</t>
        </is>
      </c>
      <c r="I34" t="n">
        <v>200</v>
      </c>
      <c r="J34" t="n">
        <v>94.202</v>
      </c>
      <c r="K34" t="n">
        <v>6.200756</v>
      </c>
      <c r="L34" t="n">
        <v>-0.102885</v>
      </c>
      <c r="M34" t="n">
        <v>-0.101638</v>
      </c>
      <c r="N34" t="n">
        <v>269.0470669</v>
      </c>
      <c r="O34" t="n">
        <v>2.792363366</v>
      </c>
      <c r="P34" t="n">
        <v>25</v>
      </c>
      <c r="Q34" t="inlineStr">
        <is>
          <t xml:space="preserve">renewable energy company </t>
        </is>
      </c>
      <c r="R34" t="inlineStr">
        <is>
          <t>USD</t>
        </is>
      </c>
      <c r="S34" t="inlineStr">
        <is>
          <t>High Yield</t>
        </is>
      </c>
      <c r="T34" t="inlineStr">
        <is>
          <t>BB</t>
        </is>
      </c>
      <c r="U34" t="inlineStr">
        <is>
          <t>BB</t>
        </is>
      </c>
    </row>
    <row r="35">
      <c r="A35" t="inlineStr">
        <is>
          <t>XS1138359663</t>
        </is>
      </c>
      <c r="B35" t="inlineStr">
        <is>
          <t xml:space="preserve">Not accumulate </t>
        </is>
      </c>
      <c r="C35" t="inlineStr">
        <is>
          <t>Walgreens Boots Alliance</t>
        </is>
      </c>
      <c r="D35" t="n">
        <v>3.6</v>
      </c>
      <c r="E35" t="inlineStr">
        <is>
          <t>Sr Unsecured</t>
        </is>
      </c>
      <c r="F35" t="inlineStr">
        <is>
          <t>20.11.2025</t>
        </is>
      </c>
      <c r="G35" t="inlineStr">
        <is>
          <t>United states</t>
        </is>
      </c>
      <c r="H35" t="inlineStr">
        <is>
          <t>Consumer, Cyclical</t>
        </is>
      </c>
      <c r="I35" t="n">
        <v>100</v>
      </c>
      <c r="J35" t="n">
        <v>98.911</v>
      </c>
      <c r="K35" t="n">
        <v>6.518353</v>
      </c>
      <c r="L35" t="n">
        <v>0.16593</v>
      </c>
      <c r="M35" t="n">
        <v>0.136043</v>
      </c>
      <c r="N35" t="n">
        <v>268.5224053</v>
      </c>
      <c r="O35" t="n">
        <v>0.708985445</v>
      </c>
      <c r="P35" t="n">
        <v>80</v>
      </c>
      <c r="Q35" t="inlineStr">
        <is>
          <t xml:space="preserve">US's large retail pharmacy network </t>
        </is>
      </c>
      <c r="R35" t="inlineStr">
        <is>
          <t>GBP</t>
        </is>
      </c>
      <c r="S35" t="inlineStr">
        <is>
          <t>High Yield</t>
        </is>
      </c>
      <c r="T35" t="inlineStr">
        <is>
          <t>B+</t>
        </is>
      </c>
      <c r="U35" t="inlineStr">
        <is>
          <t>B+</t>
        </is>
      </c>
    </row>
    <row r="36">
      <c r="A36" t="inlineStr">
        <is>
          <t>USP47777AC43</t>
        </is>
      </c>
      <c r="B36" t="inlineStr">
        <is>
          <t xml:space="preserve">Top pick </t>
        </is>
      </c>
      <c r="C36" t="inlineStr">
        <is>
          <t>Globo Communicacoes Part</t>
        </is>
      </c>
      <c r="D36" t="n">
        <v>5.5</v>
      </c>
      <c r="E36" t="inlineStr">
        <is>
          <t>Sr Unsecured</t>
        </is>
      </c>
      <c r="F36" t="inlineStr">
        <is>
          <t>14.01.2032</t>
        </is>
      </c>
      <c r="G36" t="inlineStr">
        <is>
          <t>Brazil</t>
        </is>
      </c>
      <c r="H36" t="inlineStr">
        <is>
          <t>Communications</t>
        </is>
      </c>
      <c r="I36" t="n">
        <v>200</v>
      </c>
      <c r="J36" t="n">
        <v>93.56399999999999</v>
      </c>
      <c r="K36" t="n">
        <v>6.736099</v>
      </c>
      <c r="L36" t="n">
        <v>0.06954299999999999</v>
      </c>
      <c r="M36" t="n">
        <v>0.020768</v>
      </c>
      <c r="N36" t="n">
        <v>265.8832526</v>
      </c>
      <c r="O36" t="n">
        <v>5.555436796</v>
      </c>
      <c r="P36" t="n">
        <v>15</v>
      </c>
      <c r="Q36" t="inlineStr">
        <is>
          <t>Operates as an investment company</t>
        </is>
      </c>
      <c r="R36" t="inlineStr">
        <is>
          <t>USD</t>
        </is>
      </c>
      <c r="S36" t="inlineStr">
        <is>
          <t>Latin America</t>
        </is>
      </c>
      <c r="T36" t="inlineStr">
        <is>
          <t>BB+</t>
        </is>
      </c>
      <c r="U36" t="inlineStr">
        <is>
          <t>BB+</t>
        </is>
      </c>
    </row>
    <row r="37">
      <c r="A37" t="inlineStr">
        <is>
          <t>USP3713CAB48</t>
        </is>
      </c>
      <c r="B37" t="inlineStr">
        <is>
          <t xml:space="preserve">Hold </t>
        </is>
      </c>
      <c r="C37" t="inlineStr">
        <is>
          <t>Empresa Electrica Cochra</t>
        </is>
      </c>
      <c r="D37" t="n">
        <v>5.5</v>
      </c>
      <c r="E37" t="inlineStr">
        <is>
          <t>1St Lien</t>
        </is>
      </c>
      <c r="F37" t="inlineStr">
        <is>
          <t>14.05.2027</t>
        </is>
      </c>
      <c r="G37" t="inlineStr">
        <is>
          <t>Chile</t>
        </is>
      </c>
      <c r="H37" t="inlineStr">
        <is>
          <t>Utilities</t>
        </is>
      </c>
      <c r="I37" t="n">
        <v>200</v>
      </c>
      <c r="J37" t="n">
        <v>98.92400000000001</v>
      </c>
      <c r="K37" t="n">
        <v>6.117219</v>
      </c>
      <c r="L37" t="n">
        <v>-0.059252</v>
      </c>
      <c r="M37" t="n">
        <v>-0.158591</v>
      </c>
      <c r="N37" t="n">
        <v>255.284995</v>
      </c>
      <c r="O37" t="n">
        <v>1.130275227</v>
      </c>
      <c r="P37" t="n">
        <v>0</v>
      </c>
      <c r="Q37" t="inlineStr">
        <is>
          <t xml:space="preserve">Utility company </t>
        </is>
      </c>
      <c r="R37" t="inlineStr">
        <is>
          <t>USD</t>
        </is>
      </c>
      <c r="S37" t="inlineStr">
        <is>
          <t>Latin America</t>
        </is>
      </c>
      <c r="T37" t="inlineStr">
        <is>
          <t>BB+</t>
        </is>
      </c>
      <c r="U37" t="inlineStr">
        <is>
          <t>BB+</t>
        </is>
      </c>
    </row>
    <row r="38">
      <c r="A38" t="inlineStr">
        <is>
          <t>XS2109438205</t>
        </is>
      </c>
      <c r="B38" t="inlineStr">
        <is>
          <t xml:space="preserve">Hold </t>
        </is>
      </c>
      <c r="C38" t="inlineStr">
        <is>
          <t>Adani Electricity Mumbai</t>
        </is>
      </c>
      <c r="D38" t="n">
        <v>3.949</v>
      </c>
      <c r="E38" t="inlineStr">
        <is>
          <t>1St Lien</t>
        </is>
      </c>
      <c r="F38" t="inlineStr">
        <is>
          <t>12.02.2030</t>
        </is>
      </c>
      <c r="G38" t="inlineStr">
        <is>
          <t>India</t>
        </is>
      </c>
      <c r="H38" t="inlineStr">
        <is>
          <t>Utilities</t>
        </is>
      </c>
      <c r="I38" t="n">
        <v>200</v>
      </c>
      <c r="J38" t="n">
        <v>90.136</v>
      </c>
      <c r="K38" t="n">
        <v>6.465061</v>
      </c>
      <c r="L38" t="n">
        <v>-0.138757</v>
      </c>
      <c r="M38" t="n">
        <v>-0.448153</v>
      </c>
      <c r="N38" t="n">
        <v>254.5748866</v>
      </c>
      <c r="O38" t="n">
        <v>4.361231048</v>
      </c>
      <c r="P38" t="n">
        <v>60</v>
      </c>
      <c r="Q38" t="inlineStr">
        <is>
          <t>Provides rail transportation, catering and tourism services, majority state-owned</t>
        </is>
      </c>
      <c r="R38" t="inlineStr">
        <is>
          <t>USD</t>
        </is>
      </c>
      <c r="S38" t="inlineStr">
        <is>
          <t>Investment Grade</t>
        </is>
      </c>
      <c r="T38" t="inlineStr">
        <is>
          <t>BBB-</t>
        </is>
      </c>
      <c r="U38" t="inlineStr">
        <is>
          <t>BBB-</t>
        </is>
      </c>
    </row>
    <row r="39">
      <c r="A39" t="inlineStr">
        <is>
          <t>USL95806AB88</t>
        </is>
      </c>
      <c r="B39" t="inlineStr">
        <is>
          <t xml:space="preserve">Hold </t>
        </is>
      </c>
      <c r="C39" t="inlineStr">
        <is>
          <t>Usiminas International</t>
        </is>
      </c>
      <c r="D39" t="n">
        <v>7.5</v>
      </c>
      <c r="E39" t="inlineStr">
        <is>
          <t>Sr Unsecured</t>
        </is>
      </c>
      <c r="F39" t="inlineStr">
        <is>
          <t>27.01.2032</t>
        </is>
      </c>
      <c r="G39" t="inlineStr">
        <is>
          <t>Brazil</t>
        </is>
      </c>
      <c r="H39" t="inlineStr">
        <is>
          <t>Basic Materials</t>
        </is>
      </c>
      <c r="I39" t="n">
        <v>200</v>
      </c>
      <c r="J39" t="n">
        <v>102.581</v>
      </c>
      <c r="K39" t="n">
        <v>6.826468</v>
      </c>
      <c r="L39" t="n">
        <v>-0.009112</v>
      </c>
      <c r="M39" t="n">
        <v>-0.09905899999999999</v>
      </c>
      <c r="N39" t="n">
        <v>254.3794499</v>
      </c>
      <c r="O39" t="n">
        <v>4.025739011</v>
      </c>
      <c r="P39" t="n">
        <v>0</v>
      </c>
      <c r="Q39" t="inlineStr">
        <is>
          <t xml:space="preserve">Steel maker </t>
        </is>
      </c>
      <c r="R39" t="inlineStr">
        <is>
          <t>USD</t>
        </is>
      </c>
      <c r="S39" t="inlineStr">
        <is>
          <t>Latin America</t>
        </is>
      </c>
      <c r="T39" t="inlineStr">
        <is>
          <t>BB</t>
        </is>
      </c>
      <c r="U39" t="inlineStr">
        <is>
          <t>BB</t>
        </is>
      </c>
    </row>
    <row r="40">
      <c r="A40" t="inlineStr">
        <is>
          <t>USY00130YU53</t>
        </is>
      </c>
      <c r="B40" t="inlineStr">
        <is>
          <t xml:space="preserve">Hold </t>
        </is>
      </c>
      <c r="C40" t="inlineStr">
        <is>
          <t>Adani Ports And Special</t>
        </is>
      </c>
      <c r="D40" t="n">
        <v>5</v>
      </c>
      <c r="E40" t="inlineStr">
        <is>
          <t>Sr Unsecured</t>
        </is>
      </c>
      <c r="F40" t="inlineStr">
        <is>
          <t>02.08.2041</t>
        </is>
      </c>
      <c r="G40" t="inlineStr">
        <is>
          <t>India</t>
        </is>
      </c>
      <c r="H40" t="inlineStr">
        <is>
          <t>Consumer, Non-cyclical</t>
        </is>
      </c>
      <c r="I40" t="n">
        <v>200</v>
      </c>
      <c r="J40" t="n">
        <v>79.04600000000001</v>
      </c>
      <c r="K40" t="n">
        <v>7.224844</v>
      </c>
      <c r="L40" t="n">
        <v>-0.010509</v>
      </c>
      <c r="M40" t="n">
        <v>-0.083288</v>
      </c>
      <c r="N40" t="n">
        <v>249.1486586</v>
      </c>
      <c r="O40" t="n">
        <v>10.44278761</v>
      </c>
      <c r="P40" t="n">
        <v>75</v>
      </c>
      <c r="Q40" t="inlineStr">
        <is>
          <t>Indian operator of shipping port and special economic zones</t>
        </is>
      </c>
      <c r="R40" t="inlineStr">
        <is>
          <t>USD</t>
        </is>
      </c>
      <c r="S40" t="inlineStr">
        <is>
          <t>Investment Grade</t>
        </is>
      </c>
      <c r="T40" t="inlineStr">
        <is>
          <t>BBB-</t>
        </is>
      </c>
      <c r="U40" t="inlineStr">
        <is>
          <t>BBB-</t>
        </is>
      </c>
    </row>
    <row r="41">
      <c r="A41" t="inlineStr">
        <is>
          <t>XS2926264529</t>
        </is>
      </c>
      <c r="B41" t="inlineStr">
        <is>
          <t xml:space="preserve">Hold </t>
        </is>
      </c>
      <c r="C41" t="inlineStr">
        <is>
          <t>Accorinvest Group Sa</t>
        </is>
      </c>
      <c r="D41" t="n">
        <v>5.5</v>
      </c>
      <c r="E41" t="inlineStr">
        <is>
          <t>Secured</t>
        </is>
      </c>
      <c r="F41" t="inlineStr">
        <is>
          <t>15.11.2031</t>
        </is>
      </c>
      <c r="G41" t="inlineStr">
        <is>
          <t>Luxembourg</t>
        </is>
      </c>
      <c r="H41" t="inlineStr">
        <is>
          <t>Consumer, Cyclical</t>
        </is>
      </c>
      <c r="I41" t="n">
        <v>100</v>
      </c>
      <c r="J41" t="n">
        <v>101.938</v>
      </c>
      <c r="K41" t="n">
        <v>5.059372</v>
      </c>
      <c r="L41" t="n">
        <v>0.008395</v>
      </c>
      <c r="M41" t="n">
        <v>-0.118186</v>
      </c>
      <c r="N41" t="n">
        <v>248.2813603</v>
      </c>
      <c r="O41" t="n">
        <v>4.081766527</v>
      </c>
      <c r="P41" t="n">
        <v>0</v>
      </c>
      <c r="Q41" t="inlineStr">
        <is>
          <t xml:space="preserve">Hotel owner of 300 hotels in Europe, a spin-off from Accor SA </t>
        </is>
      </c>
      <c r="R41" t="inlineStr">
        <is>
          <t>EUR</t>
        </is>
      </c>
      <c r="S41" t="inlineStr">
        <is>
          <t>High Yield</t>
        </is>
      </c>
      <c r="T41" t="inlineStr">
        <is>
          <t>B+</t>
        </is>
      </c>
      <c r="U41" t="inlineStr">
        <is>
          <t>B+</t>
        </is>
      </c>
    </row>
    <row r="42">
      <c r="A42" t="inlineStr">
        <is>
          <t xml:space="preserve"> XS0149581935</t>
        </is>
      </c>
      <c r="B42" t="inlineStr">
        <is>
          <t>Hold</t>
        </is>
      </c>
      <c r="C42" t="inlineStr">
        <is>
          <t>Sappi Papier Holdng Gmbh</t>
        </is>
      </c>
      <c r="D42" t="n">
        <v>7.5</v>
      </c>
      <c r="E42" t="inlineStr">
        <is>
          <t>Sr Unsecured</t>
        </is>
      </c>
      <c r="F42" t="inlineStr">
        <is>
          <t>15.06.2032</t>
        </is>
      </c>
      <c r="G42" t="inlineStr">
        <is>
          <t>South africa</t>
        </is>
      </c>
      <c r="H42" t="inlineStr">
        <is>
          <t>Basic Materials</t>
        </is>
      </c>
      <c r="I42" t="n">
        <v>1</v>
      </c>
      <c r="J42" t="n">
        <v>105.197</v>
      </c>
      <c r="K42" t="n">
        <v>6.553821</v>
      </c>
      <c r="L42" t="n">
        <v>0.078011</v>
      </c>
      <c r="M42" t="n">
        <v>0.04011</v>
      </c>
      <c r="N42" t="n">
        <v>245.6405844</v>
      </c>
      <c r="O42" t="n">
        <v>5.54786781</v>
      </c>
      <c r="P42" t="n">
        <v>0</v>
      </c>
      <c r="Q42" t="inlineStr">
        <is>
          <t xml:space="preserve">Pulp producer and leading in dissolving pulp </t>
        </is>
      </c>
      <c r="R42" t="inlineStr">
        <is>
          <t>USD</t>
        </is>
      </c>
      <c r="S42" t="inlineStr">
        <is>
          <t>High Yield</t>
        </is>
      </c>
      <c r="T42" t="inlineStr">
        <is>
          <t>BB-</t>
        </is>
      </c>
      <c r="U42" t="inlineStr">
        <is>
          <t>BB-</t>
        </is>
      </c>
    </row>
    <row r="43">
      <c r="A43" t="inlineStr">
        <is>
          <t>USP0608AAB28</t>
        </is>
      </c>
      <c r="B43" t="inlineStr">
        <is>
          <t xml:space="preserve">Hold </t>
        </is>
      </c>
      <c r="C43" t="inlineStr">
        <is>
          <t>Aes Panama Generation Hl</t>
        </is>
      </c>
      <c r="D43" t="n">
        <v>4.375</v>
      </c>
      <c r="E43" t="inlineStr">
        <is>
          <t>Secured</t>
        </is>
      </c>
      <c r="F43" t="inlineStr">
        <is>
          <t>31.05.2030</t>
        </is>
      </c>
      <c r="G43" t="inlineStr">
        <is>
          <t>Panama</t>
        </is>
      </c>
      <c r="H43" t="inlineStr">
        <is>
          <t>Utilities</t>
        </is>
      </c>
      <c r="I43" t="n">
        <v>200</v>
      </c>
      <c r="J43" t="n">
        <v>92.011</v>
      </c>
      <c r="K43" t="n">
        <v>6.295512</v>
      </c>
      <c r="L43" t="n">
        <v>-0.146057</v>
      </c>
      <c r="M43" t="n">
        <v>-0.697512</v>
      </c>
      <c r="N43" t="n">
        <v>245.2169263</v>
      </c>
      <c r="O43" t="n">
        <v>4.309286685</v>
      </c>
      <c r="P43" t="n">
        <v>0</v>
      </c>
      <c r="Q43" t="inlineStr">
        <is>
          <t xml:space="preserve">Utility company </t>
        </is>
      </c>
      <c r="R43" t="inlineStr">
        <is>
          <t>USD</t>
        </is>
      </c>
      <c r="S43" t="inlineStr">
        <is>
          <t>Latin America</t>
        </is>
      </c>
      <c r="T43" t="inlineStr">
        <is>
          <t>BB+</t>
        </is>
      </c>
      <c r="U43" t="inlineStr">
        <is>
          <t>BB+</t>
        </is>
      </c>
    </row>
    <row r="44">
      <c r="A44" t="inlineStr">
        <is>
          <t>XS2571924070</t>
        </is>
      </c>
      <c r="B44" t="inlineStr">
        <is>
          <t xml:space="preserve">Hold </t>
        </is>
      </c>
      <c r="C44" t="inlineStr">
        <is>
          <t>Romania</t>
        </is>
      </c>
      <c r="D44" t="n">
        <v>7.625</v>
      </c>
      <c r="E44" t="inlineStr">
        <is>
          <t>Sr Unsecured</t>
        </is>
      </c>
      <c r="F44" t="inlineStr">
        <is>
          <t>17.01.2053</t>
        </is>
      </c>
      <c r="G44" t="inlineStr">
        <is>
          <t>Romania</t>
        </is>
      </c>
      <c r="H44" t="inlineStr">
        <is>
          <t>Government</t>
        </is>
      </c>
      <c r="I44" t="n">
        <v>2</v>
      </c>
      <c r="J44" t="n">
        <v>104.991</v>
      </c>
      <c r="K44" t="n">
        <v>7.205361</v>
      </c>
      <c r="L44" t="n">
        <v>-0.273898</v>
      </c>
      <c r="M44" t="n">
        <v>-0.536643</v>
      </c>
      <c r="N44" t="n">
        <v>241.411928</v>
      </c>
      <c r="O44" t="n">
        <v>11.43348987</v>
      </c>
      <c r="P44" t="n">
        <v>60</v>
      </c>
      <c r="Q44" t="inlineStr">
        <is>
          <t>Romanian government bond</t>
        </is>
      </c>
      <c r="R44" t="inlineStr">
        <is>
          <t>USD</t>
        </is>
      </c>
      <c r="S44" t="inlineStr">
        <is>
          <t>Investment Grade</t>
        </is>
      </c>
      <c r="T44" t="inlineStr">
        <is>
          <t>BBB-</t>
        </is>
      </c>
      <c r="U44" t="inlineStr">
        <is>
          <t>BBB-</t>
        </is>
      </c>
    </row>
    <row r="45">
      <c r="A45" t="inlineStr">
        <is>
          <t>XS2854422578</t>
        </is>
      </c>
      <c r="B45" t="inlineStr">
        <is>
          <t xml:space="preserve">Hold </t>
        </is>
      </c>
      <c r="C45" t="inlineStr">
        <is>
          <t>Softbank Group Corp</t>
        </is>
      </c>
      <c r="D45" t="n">
        <v>6.75</v>
      </c>
      <c r="E45" t="inlineStr">
        <is>
          <t>Sr Unsecured</t>
        </is>
      </c>
      <c r="F45" t="inlineStr">
        <is>
          <t>08.07.2029</t>
        </is>
      </c>
      <c r="G45" t="inlineStr">
        <is>
          <t>Japan</t>
        </is>
      </c>
      <c r="H45" t="inlineStr">
        <is>
          <t>Communications</t>
        </is>
      </c>
      <c r="I45" t="n">
        <v>200</v>
      </c>
      <c r="J45" t="n">
        <v>101.386</v>
      </c>
      <c r="K45" t="n">
        <v>6.331641</v>
      </c>
      <c r="L45" t="n">
        <v>0.281672</v>
      </c>
      <c r="M45" t="n">
        <v>0.101515</v>
      </c>
      <c r="N45" t="n">
        <v>241.0427408</v>
      </c>
      <c r="O45" t="n">
        <v>3.53231881</v>
      </c>
      <c r="P45" t="n">
        <v>0</v>
      </c>
      <c r="Q45" t="inlineStr">
        <is>
          <t xml:space="preserve">Japanese investment firm </t>
        </is>
      </c>
      <c r="R45" t="inlineStr">
        <is>
          <t>USD</t>
        </is>
      </c>
      <c r="S45" t="inlineStr">
        <is>
          <t>High Yield</t>
        </is>
      </c>
      <c r="T45" t="inlineStr">
        <is>
          <t>NR</t>
        </is>
      </c>
      <c r="U45" t="inlineStr">
        <is>
          <t>NR</t>
        </is>
      </c>
    </row>
    <row r="46">
      <c r="A46" t="inlineStr">
        <is>
          <t>USU6547TAG59</t>
        </is>
      </c>
      <c r="B46" t="inlineStr">
        <is>
          <t xml:space="preserve">Hold </t>
        </is>
      </c>
      <c r="C46" t="inlineStr">
        <is>
          <t>Nissan Motor Acceptance</t>
        </is>
      </c>
      <c r="D46" t="n">
        <v>5.3</v>
      </c>
      <c r="E46" t="inlineStr">
        <is>
          <t>Sr Unsecured</t>
        </is>
      </c>
      <c r="F46" t="inlineStr">
        <is>
          <t>13.09.2027</t>
        </is>
      </c>
      <c r="G46" t="inlineStr">
        <is>
          <t>United states</t>
        </is>
      </c>
      <c r="H46" t="inlineStr">
        <is>
          <t>Consumer, Cyclical</t>
        </is>
      </c>
      <c r="I46" t="n">
        <v>2</v>
      </c>
      <c r="J46" t="n">
        <v>98.062</v>
      </c>
      <c r="K46" t="n">
        <v>6.259671</v>
      </c>
      <c r="L46" t="n">
        <v>0.161287</v>
      </c>
      <c r="M46" t="n">
        <v>0.160988</v>
      </c>
      <c r="N46" t="n">
        <v>239.990113</v>
      </c>
      <c r="O46" t="n">
        <v>2.299673622</v>
      </c>
      <c r="P46" t="n">
        <v>60</v>
      </c>
      <c r="Q46" t="inlineStr">
        <is>
          <t xml:space="preserve">Japanese auto maker </t>
        </is>
      </c>
      <c r="R46" t="inlineStr">
        <is>
          <t>USD</t>
        </is>
      </c>
      <c r="S46" t="inlineStr">
        <is>
          <t>Investment Grade</t>
        </is>
      </c>
      <c r="T46" t="inlineStr">
        <is>
          <t>BB</t>
        </is>
      </c>
      <c r="U46" t="inlineStr">
        <is>
          <t>BBB-</t>
        </is>
      </c>
    </row>
    <row r="47">
      <c r="A47" t="inlineStr">
        <is>
          <t>USP3R26HAA81</t>
        </is>
      </c>
      <c r="B47" t="inlineStr">
        <is>
          <t xml:space="preserve">Hold </t>
        </is>
      </c>
      <c r="C47" t="inlineStr">
        <is>
          <t>Cydsa Sab De Cv</t>
        </is>
      </c>
      <c r="D47" t="n">
        <v>6.25</v>
      </c>
      <c r="E47" t="inlineStr">
        <is>
          <t>Sr Unsecured</t>
        </is>
      </c>
      <c r="F47" t="inlineStr">
        <is>
          <t>04.10.2027</t>
        </is>
      </c>
      <c r="G47" t="inlineStr">
        <is>
          <t>Mexico</t>
        </is>
      </c>
      <c r="H47" t="inlineStr">
        <is>
          <t>Consumer, Non-cyclical</t>
        </is>
      </c>
      <c r="I47" t="n">
        <v>200</v>
      </c>
      <c r="J47" t="n">
        <v>99.298</v>
      </c>
      <c r="K47" t="n">
        <v>6.587421</v>
      </c>
      <c r="L47" t="n">
        <v>-0.043146</v>
      </c>
      <c r="M47" t="n">
        <v>-0.010036</v>
      </c>
      <c r="N47" t="n">
        <v>238.7696457</v>
      </c>
      <c r="O47" t="n">
        <v>2.319820743</v>
      </c>
      <c r="P47" t="n">
        <v>25</v>
      </c>
      <c r="Q47" t="inlineStr">
        <is>
          <t xml:space="preserve">Salt and chemical company </t>
        </is>
      </c>
      <c r="R47" t="inlineStr">
        <is>
          <t>USD</t>
        </is>
      </c>
      <c r="S47" t="inlineStr">
        <is>
          <t>Latin America</t>
        </is>
      </c>
      <c r="T47" t="inlineStr">
        <is>
          <t>BB</t>
        </is>
      </c>
      <c r="U47" t="inlineStr">
        <is>
          <t>BB</t>
        </is>
      </c>
    </row>
    <row r="48">
      <c r="A48" t="inlineStr">
        <is>
          <t>USP4954BAF33</t>
        </is>
      </c>
      <c r="B48" t="inlineStr">
        <is>
          <t xml:space="preserve">Hold </t>
        </is>
      </c>
      <c r="C48" t="inlineStr">
        <is>
          <t>Kuo Sab De Cv</t>
        </is>
      </c>
      <c r="D48" t="n">
        <v>5.75</v>
      </c>
      <c r="E48" t="inlineStr">
        <is>
          <t>Sr Unsecured</t>
        </is>
      </c>
      <c r="F48" t="inlineStr">
        <is>
          <t>07.07.2027</t>
        </is>
      </c>
      <c r="G48" t="inlineStr">
        <is>
          <t>Mexico</t>
        </is>
      </c>
      <c r="H48" t="inlineStr">
        <is>
          <t>Consumer, Non-cyclical</t>
        </is>
      </c>
      <c r="I48" t="n">
        <v>200</v>
      </c>
      <c r="J48" t="n">
        <v>98.821</v>
      </c>
      <c r="K48" t="n">
        <v>6.387736</v>
      </c>
      <c r="L48" t="n">
        <v>-0.022969</v>
      </c>
      <c r="M48" t="n">
        <v>-0.199584</v>
      </c>
      <c r="N48" t="n">
        <v>237.6025636</v>
      </c>
      <c r="O48" t="n">
        <v>2.177638133</v>
      </c>
      <c r="P48" t="n">
        <v>0</v>
      </c>
      <c r="Q48" t="inlineStr">
        <is>
          <t xml:space="preserve">Mexican industrial conglomerate </t>
        </is>
      </c>
      <c r="R48" t="inlineStr">
        <is>
          <t>USD</t>
        </is>
      </c>
      <c r="S48" t="inlineStr">
        <is>
          <t>Latin America</t>
        </is>
      </c>
      <c r="T48" t="inlineStr">
        <is>
          <t>BB</t>
        </is>
      </c>
      <c r="U48" t="inlineStr">
        <is>
          <t>BB</t>
        </is>
      </c>
    </row>
    <row r="49">
      <c r="A49" t="inlineStr">
        <is>
          <t>US105756BW95</t>
        </is>
      </c>
      <c r="B49" t="inlineStr">
        <is>
          <t xml:space="preserve">Hold </t>
        </is>
      </c>
      <c r="C49" t="inlineStr">
        <is>
          <t>Fed Republic Of Brazil</t>
        </is>
      </c>
      <c r="D49" t="n">
        <v>5</v>
      </c>
      <c r="E49" t="inlineStr">
        <is>
          <t>Sr Unsecured</t>
        </is>
      </c>
      <c r="F49" t="inlineStr">
        <is>
          <t>27.01.2045</t>
        </is>
      </c>
      <c r="G49" t="inlineStr">
        <is>
          <t>Brazil</t>
        </is>
      </c>
      <c r="H49" t="inlineStr">
        <is>
          <t>Government</t>
        </is>
      </c>
      <c r="I49" t="n">
        <v>200</v>
      </c>
      <c r="J49" t="n">
        <v>77.09999999999999</v>
      </c>
      <c r="K49" t="n">
        <v>7.200455</v>
      </c>
      <c r="L49" t="n">
        <v>-0.163685</v>
      </c>
      <c r="M49" t="n">
        <v>-0.211037</v>
      </c>
      <c r="N49" t="n">
        <v>237.124976</v>
      </c>
      <c r="O49" t="n">
        <v>11.27784681</v>
      </c>
      <c r="P49" t="n">
        <v>0</v>
      </c>
      <c r="Q49" t="inlineStr">
        <is>
          <t>Brazilian Governemnt</t>
        </is>
      </c>
      <c r="R49" t="inlineStr">
        <is>
          <t>USD</t>
        </is>
      </c>
      <c r="S49" t="inlineStr">
        <is>
          <t>Latin America</t>
        </is>
      </c>
      <c r="T49" t="inlineStr">
        <is>
          <t>BB</t>
        </is>
      </c>
      <c r="U49" t="inlineStr">
        <is>
          <t>BB</t>
        </is>
      </c>
    </row>
    <row r="50">
      <c r="A50" t="inlineStr">
        <is>
          <t>USY00130XS17</t>
        </is>
      </c>
      <c r="B50" t="inlineStr">
        <is>
          <t xml:space="preserve">Hold </t>
        </is>
      </c>
      <c r="C50" t="inlineStr">
        <is>
          <t>Adani Ports And Special</t>
        </is>
      </c>
      <c r="D50" t="n">
        <v>3.1</v>
      </c>
      <c r="E50" t="inlineStr">
        <is>
          <t>Sr Unsecured</t>
        </is>
      </c>
      <c r="F50" t="inlineStr">
        <is>
          <t>02.02.2031</t>
        </is>
      </c>
      <c r="G50" t="inlineStr">
        <is>
          <t>India</t>
        </is>
      </c>
      <c r="H50" t="inlineStr">
        <is>
          <t>Consumer, Non-cyclical</t>
        </is>
      </c>
      <c r="I50" t="n">
        <v>200</v>
      </c>
      <c r="J50" t="n">
        <v>84.874</v>
      </c>
      <c r="K50" t="n">
        <v>6.36912</v>
      </c>
      <c r="L50" t="n">
        <v>-0.016739</v>
      </c>
      <c r="M50" t="n">
        <v>-0.115692</v>
      </c>
      <c r="N50" t="n">
        <v>236.5835711</v>
      </c>
      <c r="O50" t="n">
        <v>5.222124263</v>
      </c>
      <c r="P50" t="n">
        <v>60</v>
      </c>
      <c r="Q50" t="inlineStr">
        <is>
          <t>Indian operator of shipping port and special economic zones</t>
        </is>
      </c>
      <c r="R50" t="inlineStr">
        <is>
          <t>USD</t>
        </is>
      </c>
      <c r="S50" t="inlineStr">
        <is>
          <t>Investment Grade</t>
        </is>
      </c>
      <c r="T50" t="inlineStr">
        <is>
          <t>BBB-</t>
        </is>
      </c>
      <c r="U50" t="inlineStr">
        <is>
          <t>BBB-</t>
        </is>
      </c>
    </row>
    <row r="51">
      <c r="A51" t="inlineStr">
        <is>
          <t xml:space="preserve"> XS2941359288</t>
        </is>
      </c>
      <c r="B51" t="inlineStr">
        <is>
          <t>Top Pick</t>
        </is>
      </c>
      <c r="C51" t="inlineStr">
        <is>
          <t>Tui Cruises Gmbh</t>
        </is>
      </c>
      <c r="D51" t="n">
        <v>5</v>
      </c>
      <c r="E51" t="inlineStr">
        <is>
          <t>Sr Unsecured</t>
        </is>
      </c>
      <c r="F51" t="inlineStr">
        <is>
          <t>15.05.2030</t>
        </is>
      </c>
      <c r="G51" t="inlineStr">
        <is>
          <t>Germany</t>
        </is>
      </c>
      <c r="H51" t="inlineStr">
        <is>
          <t>Consumer, Cyclical</t>
        </is>
      </c>
      <c r="I51" t="n">
        <v>100</v>
      </c>
      <c r="J51" t="n">
        <v>100.984</v>
      </c>
      <c r="K51" t="n">
        <v>4.731958</v>
      </c>
      <c r="L51" t="n">
        <v>-0.07897</v>
      </c>
      <c r="M51" t="n">
        <v>-0.051574</v>
      </c>
      <c r="N51" t="n">
        <v>236.5185698</v>
      </c>
      <c r="O51" t="n">
        <v>3.342374139</v>
      </c>
      <c r="P51" t="n">
        <v>25</v>
      </c>
      <c r="Q51" t="inlineStr">
        <is>
          <t>Cruise operator in Europe</t>
        </is>
      </c>
      <c r="R51" t="inlineStr">
        <is>
          <t>EUR</t>
        </is>
      </c>
      <c r="S51" t="inlineStr">
        <is>
          <t>High Yield</t>
        </is>
      </c>
      <c r="T51" t="inlineStr">
        <is>
          <t>B</t>
        </is>
      </c>
      <c r="U51" t="inlineStr">
        <is>
          <t>B</t>
        </is>
      </c>
    </row>
    <row r="52">
      <c r="A52" t="inlineStr">
        <is>
          <t>XS2910536452</t>
        </is>
      </c>
      <c r="B52" t="inlineStr">
        <is>
          <t>Top pick</t>
        </is>
      </c>
      <c r="C52" t="inlineStr">
        <is>
          <t>Fressnapf Holding Se</t>
        </is>
      </c>
      <c r="D52" t="n">
        <v>5.25</v>
      </c>
      <c r="E52" t="inlineStr">
        <is>
          <t>Sr Unsecured</t>
        </is>
      </c>
      <c r="F52" t="inlineStr">
        <is>
          <t>31.10.2031</t>
        </is>
      </c>
      <c r="G52" t="inlineStr">
        <is>
          <t>Germany</t>
        </is>
      </c>
      <c r="H52" t="inlineStr">
        <is>
          <t>Consumer, Cyclical</t>
        </is>
      </c>
      <c r="I52" t="n">
        <v>100</v>
      </c>
      <c r="J52" t="n">
        <v>101.363</v>
      </c>
      <c r="K52" t="n">
        <v>4.953056</v>
      </c>
      <c r="L52" t="n">
        <v>0.111961</v>
      </c>
      <c r="M52" t="n">
        <v>0.345278</v>
      </c>
      <c r="N52" t="n">
        <v>236.4060692</v>
      </c>
      <c r="O52" t="n">
        <v>4.071019754</v>
      </c>
      <c r="P52" t="n">
        <v>0</v>
      </c>
      <c r="Q52" t="inlineStr">
        <is>
          <t xml:space="preserve">Pan European leading pet food retailer </t>
        </is>
      </c>
      <c r="R52" t="inlineStr">
        <is>
          <t>EUR</t>
        </is>
      </c>
      <c r="S52" t="inlineStr">
        <is>
          <t>High Yield</t>
        </is>
      </c>
      <c r="T52" t="inlineStr">
        <is>
          <t>BB-</t>
        </is>
      </c>
      <c r="U52" t="inlineStr">
        <is>
          <t>BB-</t>
        </is>
      </c>
    </row>
    <row r="53">
      <c r="A53" t="inlineStr">
        <is>
          <t xml:space="preserve"> XS1793255941</t>
        </is>
      </c>
      <c r="B53" t="inlineStr">
        <is>
          <t>Top Pick</t>
        </is>
      </c>
      <c r="C53" t="inlineStr">
        <is>
          <t>Softbank Group Corp</t>
        </is>
      </c>
      <c r="D53" t="n">
        <v>5</v>
      </c>
      <c r="E53" t="inlineStr">
        <is>
          <t>Sr Unsecured</t>
        </is>
      </c>
      <c r="F53" t="inlineStr">
        <is>
          <t>15.04.2028</t>
        </is>
      </c>
      <c r="G53" t="inlineStr">
        <is>
          <t>Japan</t>
        </is>
      </c>
      <c r="H53" t="inlineStr">
        <is>
          <t>Communications</t>
        </is>
      </c>
      <c r="I53" t="n">
        <v>100</v>
      </c>
      <c r="J53" t="n">
        <v>101.644</v>
      </c>
      <c r="K53" t="n">
        <v>4.350507</v>
      </c>
      <c r="L53" t="n">
        <v>0.151075</v>
      </c>
      <c r="M53" t="n">
        <v>0.026476</v>
      </c>
      <c r="N53" t="n">
        <v>234.9192362</v>
      </c>
      <c r="O53" t="n">
        <v>2.634810733</v>
      </c>
      <c r="P53" t="n">
        <v>0</v>
      </c>
      <c r="Q53" t="inlineStr">
        <is>
          <t xml:space="preserve">Japanese investment firm </t>
        </is>
      </c>
      <c r="R53" t="inlineStr">
        <is>
          <t>EUR</t>
        </is>
      </c>
      <c r="S53" t="inlineStr">
        <is>
          <t>High Yield</t>
        </is>
      </c>
      <c r="T53" t="inlineStr">
        <is>
          <t>NR</t>
        </is>
      </c>
      <c r="U53" t="inlineStr">
        <is>
          <t>NR</t>
        </is>
      </c>
    </row>
    <row r="54">
      <c r="A54" t="inlineStr">
        <is>
          <t>XS2362994068</t>
        </is>
      </c>
      <c r="B54" t="inlineStr">
        <is>
          <t>Not accumulate</t>
        </is>
      </c>
      <c r="C54" t="inlineStr">
        <is>
          <t>Nemak Sab De Cv</t>
        </is>
      </c>
      <c r="D54" t="n">
        <v>2.25</v>
      </c>
      <c r="E54" t="inlineStr">
        <is>
          <t>Sr Unsecured</t>
        </is>
      </c>
      <c r="F54" t="inlineStr">
        <is>
          <t>20.07.2028</t>
        </is>
      </c>
      <c r="G54" t="inlineStr">
        <is>
          <t>Mexico</t>
        </is>
      </c>
      <c r="H54" t="inlineStr">
        <is>
          <t>Consumer, Cyclical</t>
        </is>
      </c>
      <c r="I54" t="n">
        <v>100</v>
      </c>
      <c r="J54" t="n">
        <v>94.121</v>
      </c>
      <c r="K54" t="n">
        <v>4.346411</v>
      </c>
      <c r="L54" t="n">
        <v>-0.244435</v>
      </c>
      <c r="M54" t="n">
        <v>-1.14482</v>
      </c>
      <c r="N54" t="n">
        <v>233.9282985</v>
      </c>
      <c r="O54" t="n">
        <v>3.092815729</v>
      </c>
      <c r="P54" t="n">
        <v>15</v>
      </c>
      <c r="Q54" t="inlineStr">
        <is>
          <t>Developer and manufacturer of aluminum products for the auto industry</t>
        </is>
      </c>
      <c r="R54" t="inlineStr">
        <is>
          <t>EUR</t>
        </is>
      </c>
      <c r="S54" t="inlineStr">
        <is>
          <t>Latin America</t>
        </is>
      </c>
      <c r="T54" t="inlineStr">
        <is>
          <t>BB+</t>
        </is>
      </c>
      <c r="U54" t="inlineStr">
        <is>
          <t>BB+</t>
        </is>
      </c>
    </row>
    <row r="55">
      <c r="A55" t="inlineStr">
        <is>
          <t>USY6142NAG35</t>
        </is>
      </c>
      <c r="B55" t="inlineStr">
        <is>
          <t>Hold</t>
        </is>
      </c>
      <c r="C55" t="inlineStr">
        <is>
          <t>Mongolia Intl Bond</t>
        </is>
      </c>
      <c r="D55" t="n">
        <v>8.65</v>
      </c>
      <c r="E55" t="inlineStr">
        <is>
          <t>Sr Unsecured</t>
        </is>
      </c>
      <c r="F55" t="inlineStr">
        <is>
          <t>19.01.2028</t>
        </is>
      </c>
      <c r="G55" t="inlineStr">
        <is>
          <t>Mongolia</t>
        </is>
      </c>
      <c r="H55" t="inlineStr">
        <is>
          <t>Government</t>
        </is>
      </c>
      <c r="I55" t="n">
        <v>200</v>
      </c>
      <c r="J55" t="n">
        <v>105.697</v>
      </c>
      <c r="K55" t="n">
        <v>6.181847</v>
      </c>
      <c r="L55" t="n">
        <v>-0.298411</v>
      </c>
      <c r="M55" t="n">
        <v>-0.497702</v>
      </c>
      <c r="N55" t="n">
        <v>233.5161818</v>
      </c>
      <c r="O55" t="n">
        <v>2.549269444</v>
      </c>
      <c r="P55" t="n">
        <v>10</v>
      </c>
      <c r="Q55" t="inlineStr">
        <is>
          <t>Mongolia sovereign bond</t>
        </is>
      </c>
      <c r="R55" t="inlineStr">
        <is>
          <t>USD</t>
        </is>
      </c>
      <c r="S55" t="inlineStr">
        <is>
          <t>High Yield</t>
        </is>
      </c>
      <c r="T55" t="inlineStr">
        <is>
          <t>B+</t>
        </is>
      </c>
      <c r="U55" t="inlineStr">
        <is>
          <t>B+</t>
        </is>
      </c>
    </row>
    <row r="56">
      <c r="A56" t="inlineStr">
        <is>
          <t xml:space="preserve"> USP47777AB69</t>
        </is>
      </c>
      <c r="B56" t="inlineStr">
        <is>
          <t xml:space="preserve">Top pick </t>
        </is>
      </c>
      <c r="C56" t="inlineStr">
        <is>
          <t>Globo Communicacoes Part</t>
        </is>
      </c>
      <c r="D56" t="n">
        <v>4.875</v>
      </c>
      <c r="E56" t="inlineStr">
        <is>
          <t>Sr Unsecured</t>
        </is>
      </c>
      <c r="F56" t="inlineStr">
        <is>
          <t>22.01.2030</t>
        </is>
      </c>
      <c r="G56" t="inlineStr">
        <is>
          <t>Brazil</t>
        </is>
      </c>
      <c r="H56" t="inlineStr">
        <is>
          <t>Communications</t>
        </is>
      </c>
      <c r="I56" t="n">
        <v>200</v>
      </c>
      <c r="J56" t="n">
        <v>94.68000000000001</v>
      </c>
      <c r="K56" t="n">
        <v>6.238225</v>
      </c>
      <c r="L56" t="n">
        <v>0.02809</v>
      </c>
      <c r="M56" t="n">
        <v>-0.002787</v>
      </c>
      <c r="N56" t="n">
        <v>232.4418204</v>
      </c>
      <c r="O56" t="n">
        <v>4.254029004</v>
      </c>
      <c r="P56" t="n">
        <v>25</v>
      </c>
      <c r="Q56" t="inlineStr">
        <is>
          <t>Operates as an investment company</t>
        </is>
      </c>
      <c r="R56" t="inlineStr">
        <is>
          <t>USD</t>
        </is>
      </c>
      <c r="S56" t="inlineStr">
        <is>
          <t>Latin America</t>
        </is>
      </c>
      <c r="T56" t="inlineStr">
        <is>
          <t>BB</t>
        </is>
      </c>
      <c r="U56" t="inlineStr">
        <is>
          <t>BB</t>
        </is>
      </c>
    </row>
    <row r="57">
      <c r="A57" t="inlineStr">
        <is>
          <t xml:space="preserve"> XS0982711474</t>
        </is>
      </c>
      <c r="B57" t="inlineStr">
        <is>
          <t>Top Pick</t>
        </is>
      </c>
      <c r="C57" t="inlineStr">
        <is>
          <t>Petrobras Global Finance</t>
        </is>
      </c>
      <c r="D57" t="n">
        <v>6.625</v>
      </c>
      <c r="E57" t="inlineStr">
        <is>
          <t>Sr Unsecured</t>
        </is>
      </c>
      <c r="F57" t="inlineStr">
        <is>
          <t>16.01.2034</t>
        </is>
      </c>
      <c r="G57" t="inlineStr">
        <is>
          <t>Brazil</t>
        </is>
      </c>
      <c r="H57" t="inlineStr">
        <is>
          <t>Energy</t>
        </is>
      </c>
      <c r="I57" t="n">
        <v>100</v>
      </c>
      <c r="J57" t="n">
        <v>99.108</v>
      </c>
      <c r="K57" t="n">
        <v>6.646999</v>
      </c>
      <c r="L57" t="n">
        <v>-0.019511</v>
      </c>
      <c r="M57" t="n">
        <v>-0.189043</v>
      </c>
      <c r="N57" t="n">
        <v>231.7265791</v>
      </c>
      <c r="O57" t="n">
        <v>6.492821002</v>
      </c>
      <c r="P57" t="n">
        <v>0</v>
      </c>
      <c r="Q57" t="inlineStr">
        <is>
          <t xml:space="preserve">Partially state-owned energy company </t>
        </is>
      </c>
      <c r="R57" t="inlineStr">
        <is>
          <t>GBP</t>
        </is>
      </c>
      <c r="S57" t="inlineStr">
        <is>
          <t>Latin America</t>
        </is>
      </c>
      <c r="T57" t="inlineStr">
        <is>
          <t>BB</t>
        </is>
      </c>
      <c r="U57" t="inlineStr">
        <is>
          <t>BB</t>
        </is>
      </c>
    </row>
    <row r="58">
      <c r="A58" t="inlineStr">
        <is>
          <t>XS2900445375</t>
        </is>
      </c>
      <c r="B58" t="inlineStr">
        <is>
          <t>Top Pick</t>
        </is>
      </c>
      <c r="C58" t="inlineStr">
        <is>
          <t>Accorinvest Group Sa</t>
        </is>
      </c>
      <c r="D58" t="n">
        <v>6.375</v>
      </c>
      <c r="E58" t="inlineStr">
        <is>
          <t>Secured</t>
        </is>
      </c>
      <c r="F58" t="inlineStr">
        <is>
          <t>15.10.2029</t>
        </is>
      </c>
      <c r="G58" t="inlineStr">
        <is>
          <t>Luxembourg</t>
        </is>
      </c>
      <c r="H58" t="inlineStr">
        <is>
          <t>Consumer, Cyclical</t>
        </is>
      </c>
      <c r="I58" t="n">
        <v>100</v>
      </c>
      <c r="J58" t="n">
        <v>105.174</v>
      </c>
      <c r="K58" t="n">
        <v>4.642149</v>
      </c>
      <c r="L58" t="n">
        <v>-0.197299</v>
      </c>
      <c r="M58" t="n">
        <v>-0.125614</v>
      </c>
      <c r="N58" t="n">
        <v>230.7993364</v>
      </c>
      <c r="O58" t="n">
        <v>1.521472291</v>
      </c>
      <c r="P58" t="n">
        <v>0</v>
      </c>
      <c r="Q58" t="inlineStr">
        <is>
          <t xml:space="preserve">Hotel owner of 300 hotels in Europe, a spin-off from Accor SA </t>
        </is>
      </c>
      <c r="R58" t="inlineStr">
        <is>
          <t>EUR</t>
        </is>
      </c>
      <c r="S58" t="inlineStr">
        <is>
          <t>High Yield</t>
        </is>
      </c>
      <c r="T58" t="inlineStr">
        <is>
          <t>B+</t>
        </is>
      </c>
      <c r="U58" t="inlineStr">
        <is>
          <t>B+</t>
        </is>
      </c>
    </row>
    <row r="59">
      <c r="A59" t="inlineStr">
        <is>
          <t>XS2826815446</t>
        </is>
      </c>
      <c r="B59" t="inlineStr">
        <is>
          <t xml:space="preserve">Hold </t>
        </is>
      </c>
      <c r="C59" t="inlineStr">
        <is>
          <t>Hta Group Ltd</t>
        </is>
      </c>
      <c r="D59" t="n">
        <v>7.5</v>
      </c>
      <c r="E59" t="inlineStr">
        <is>
          <t>Sr Unsecured</t>
        </is>
      </c>
      <c r="F59" t="inlineStr">
        <is>
          <t>04.06.2029</t>
        </is>
      </c>
      <c r="G59" t="inlineStr">
        <is>
          <t>Tanzania</t>
        </is>
      </c>
      <c r="H59" t="inlineStr">
        <is>
          <t>Industrial</t>
        </is>
      </c>
      <c r="I59" t="n">
        <v>200</v>
      </c>
      <c r="J59" t="n">
        <v>102.885</v>
      </c>
      <c r="K59" t="n">
        <v>6.391793</v>
      </c>
      <c r="L59" t="n">
        <v>-0.06216</v>
      </c>
      <c r="M59" t="n">
        <v>-0.305426</v>
      </c>
      <c r="N59" t="n">
        <v>228.4601649</v>
      </c>
      <c r="O59" t="n">
        <v>2.828335513</v>
      </c>
      <c r="P59" t="n">
        <v>0</v>
      </c>
      <c r="Q59" s="40" t="inlineStr">
        <is>
          <t xml:space="preserve">Telecom tower operator </t>
        </is>
      </c>
      <c r="R59" t="inlineStr">
        <is>
          <t>USD</t>
        </is>
      </c>
      <c r="S59" t="inlineStr">
        <is>
          <t>High Yield</t>
        </is>
      </c>
      <c r="T59" t="inlineStr">
        <is>
          <t>B+</t>
        </is>
      </c>
      <c r="U59" t="inlineStr">
        <is>
          <t>B+</t>
        </is>
      </c>
    </row>
    <row r="60">
      <c r="A60" t="inlineStr">
        <is>
          <t>US71647NAK54</t>
        </is>
      </c>
      <c r="B60" t="inlineStr">
        <is>
          <t xml:space="preserve">Hold </t>
        </is>
      </c>
      <c r="C60" t="inlineStr">
        <is>
          <t>Petrobras Global Finance</t>
        </is>
      </c>
      <c r="D60" t="n">
        <v>7.25</v>
      </c>
      <c r="E60" t="inlineStr">
        <is>
          <t>Sr Unsecured</t>
        </is>
      </c>
      <c r="F60" t="inlineStr">
        <is>
          <t>17.03.2044</t>
        </is>
      </c>
      <c r="G60" t="inlineStr">
        <is>
          <t>Brazil</t>
        </is>
      </c>
      <c r="H60" t="inlineStr">
        <is>
          <t>Energy</t>
        </is>
      </c>
      <c r="I60" t="n">
        <v>2</v>
      </c>
      <c r="J60" t="n">
        <v>102.424</v>
      </c>
      <c r="K60" t="n">
        <v>7.013846</v>
      </c>
      <c r="L60" t="n">
        <v>-0.034245</v>
      </c>
      <c r="M60" t="n">
        <v>-0.160904</v>
      </c>
      <c r="N60" t="n">
        <v>225.1877023</v>
      </c>
      <c r="O60" t="n">
        <v>10.02180571</v>
      </c>
      <c r="P60" t="n">
        <v>0</v>
      </c>
      <c r="Q60" t="inlineStr">
        <is>
          <t>Largest oil company in Latin America</t>
        </is>
      </c>
      <c r="R60" t="inlineStr">
        <is>
          <t>USD</t>
        </is>
      </c>
      <c r="S60" t="inlineStr">
        <is>
          <t>Latin America</t>
        </is>
      </c>
      <c r="T60" t="inlineStr">
        <is>
          <t>BB</t>
        </is>
      </c>
      <c r="U60" t="inlineStr">
        <is>
          <t>BB</t>
        </is>
      </c>
    </row>
    <row r="61">
      <c r="A61" t="inlineStr">
        <is>
          <t>FR001400PAJ8</t>
        </is>
      </c>
      <c r="B61" t="inlineStr">
        <is>
          <t xml:space="preserve">Hold </t>
        </is>
      </c>
      <c r="C61" t="inlineStr">
        <is>
          <t>Valeo Se</t>
        </is>
      </c>
      <c r="D61" t="n">
        <v>4.5</v>
      </c>
      <c r="E61" t="inlineStr">
        <is>
          <t>Sr Unsecured</t>
        </is>
      </c>
      <c r="F61" t="inlineStr">
        <is>
          <t>11.04.2030</t>
        </is>
      </c>
      <c r="G61" t="inlineStr">
        <is>
          <t>France</t>
        </is>
      </c>
      <c r="H61" t="inlineStr">
        <is>
          <t>Consumer, Cyclical</t>
        </is>
      </c>
      <c r="I61" t="n">
        <v>100</v>
      </c>
      <c r="J61" t="n">
        <v>100.032</v>
      </c>
      <c r="K61" t="n">
        <v>4.488177</v>
      </c>
      <c r="L61" t="n">
        <v>-0.060722</v>
      </c>
      <c r="M61" t="n">
        <v>-0.071411</v>
      </c>
      <c r="N61" t="n">
        <v>219.1891679</v>
      </c>
      <c r="O61" t="n">
        <v>4.145161849</v>
      </c>
      <c r="P61" t="n">
        <v>0</v>
      </c>
      <c r="Q61" t="inlineStr">
        <is>
          <t xml:space="preserve">auto supplier </t>
        </is>
      </c>
      <c r="R61" t="inlineStr">
        <is>
          <t>EUR</t>
        </is>
      </c>
      <c r="S61" t="inlineStr">
        <is>
          <t>High Yield</t>
        </is>
      </c>
      <c r="T61" t="inlineStr">
        <is>
          <t>BB</t>
        </is>
      </c>
      <c r="U61" t="inlineStr">
        <is>
          <t>BB+</t>
        </is>
      </c>
    </row>
    <row r="62">
      <c r="A62" t="inlineStr">
        <is>
          <t>US71645WAS08</t>
        </is>
      </c>
      <c r="B62" t="inlineStr">
        <is>
          <t xml:space="preserve">Hold </t>
        </is>
      </c>
      <c r="C62" t="inlineStr">
        <is>
          <t>Petrobras Global Finance</t>
        </is>
      </c>
      <c r="D62" t="n">
        <v>6.75</v>
      </c>
      <c r="E62" t="inlineStr">
        <is>
          <t>Sr Unsecured</t>
        </is>
      </c>
      <c r="F62" t="inlineStr">
        <is>
          <t>27.01.2041</t>
        </is>
      </c>
      <c r="G62" t="inlineStr">
        <is>
          <t>Brazil</t>
        </is>
      </c>
      <c r="H62" t="inlineStr">
        <is>
          <t>Energy</t>
        </is>
      </c>
      <c r="I62" t="n">
        <v>2</v>
      </c>
      <c r="J62" t="n">
        <v>98.95699999999999</v>
      </c>
      <c r="K62" t="n">
        <v>6.859497</v>
      </c>
      <c r="L62" t="n">
        <v>-0.046401</v>
      </c>
      <c r="M62" t="n">
        <v>-0.173279</v>
      </c>
      <c r="N62" t="n">
        <v>218.240848</v>
      </c>
      <c r="O62" t="n">
        <v>9.565420437</v>
      </c>
      <c r="P62" t="n">
        <v>0</v>
      </c>
      <c r="Q62" t="inlineStr">
        <is>
          <t>Largest oil company in Latin America</t>
        </is>
      </c>
      <c r="R62" t="inlineStr">
        <is>
          <t>USD</t>
        </is>
      </c>
      <c r="S62" t="inlineStr">
        <is>
          <t>Latin America</t>
        </is>
      </c>
      <c r="T62" t="inlineStr">
        <is>
          <t>BB</t>
        </is>
      </c>
      <c r="U62" t="inlineStr">
        <is>
          <t>BB</t>
        </is>
      </c>
    </row>
    <row r="63">
      <c r="A63" t="inlineStr">
        <is>
          <t>US71645WAQ42</t>
        </is>
      </c>
      <c r="B63" t="inlineStr">
        <is>
          <t xml:space="preserve">Hold </t>
        </is>
      </c>
      <c r="C63" t="inlineStr">
        <is>
          <t>Petrobras Global Finance</t>
        </is>
      </c>
      <c r="D63" t="n">
        <v>6.875</v>
      </c>
      <c r="E63" t="inlineStr">
        <is>
          <t>Sr Unsecured</t>
        </is>
      </c>
      <c r="F63" t="inlineStr">
        <is>
          <t>20.01.2040</t>
        </is>
      </c>
      <c r="G63" t="inlineStr">
        <is>
          <t>Brazil</t>
        </is>
      </c>
      <c r="H63" t="inlineStr">
        <is>
          <t>Energy</t>
        </is>
      </c>
      <c r="I63" t="n">
        <v>2</v>
      </c>
      <c r="J63" t="n">
        <v>100.634</v>
      </c>
      <c r="K63" t="n">
        <v>6.80512</v>
      </c>
      <c r="L63" t="n">
        <v>-0.064331</v>
      </c>
      <c r="M63" t="n">
        <v>-0.206414</v>
      </c>
      <c r="N63" t="n">
        <v>217.2235506</v>
      </c>
      <c r="O63" t="n">
        <v>9.172186426</v>
      </c>
      <c r="P63" t="n">
        <v>0</v>
      </c>
      <c r="Q63" t="inlineStr">
        <is>
          <t>Largest oil company in Latin America</t>
        </is>
      </c>
      <c r="R63" t="inlineStr">
        <is>
          <t>USD</t>
        </is>
      </c>
      <c r="S63" t="inlineStr">
        <is>
          <t>Latin America</t>
        </is>
      </c>
      <c r="T63" t="inlineStr">
        <is>
          <t>BB</t>
        </is>
      </c>
      <c r="U63" t="inlineStr">
        <is>
          <t>BB</t>
        </is>
      </c>
    </row>
    <row r="64">
      <c r="A64" t="inlineStr">
        <is>
          <t>USY00130RP42</t>
        </is>
      </c>
      <c r="B64" t="inlineStr">
        <is>
          <t xml:space="preserve">Hold </t>
        </is>
      </c>
      <c r="C64" t="inlineStr">
        <is>
          <t>Adani Ports And Special</t>
        </is>
      </c>
      <c r="D64" t="n">
        <v>4.375</v>
      </c>
      <c r="E64" t="inlineStr">
        <is>
          <t>Sr Unsecured</t>
        </is>
      </c>
      <c r="F64" t="inlineStr">
        <is>
          <t>03.07.2029</t>
        </is>
      </c>
      <c r="G64" t="inlineStr">
        <is>
          <t>India</t>
        </is>
      </c>
      <c r="H64" t="inlineStr">
        <is>
          <t>Consumer, Non-cyclical</t>
        </is>
      </c>
      <c r="I64" t="n">
        <v>200</v>
      </c>
      <c r="J64" t="n">
        <v>94.19199999999999</v>
      </c>
      <c r="K64" t="n">
        <v>6.035739</v>
      </c>
      <c r="L64" t="n">
        <v>-0.053203</v>
      </c>
      <c r="M64" t="n">
        <v>-0.238321</v>
      </c>
      <c r="N64" t="n">
        <v>214.7253263</v>
      </c>
      <c r="O64" t="n">
        <v>3.846280837</v>
      </c>
      <c r="P64" t="n">
        <v>60</v>
      </c>
      <c r="Q64" t="inlineStr">
        <is>
          <t>Indian operator of shipping port and special economic zones</t>
        </is>
      </c>
      <c r="R64" t="inlineStr">
        <is>
          <t>USD</t>
        </is>
      </c>
      <c r="S64" t="inlineStr">
        <is>
          <t>Investment Grade</t>
        </is>
      </c>
      <c r="T64" t="inlineStr">
        <is>
          <t>BBB-</t>
        </is>
      </c>
      <c r="U64" t="inlineStr">
        <is>
          <t>BBB-</t>
        </is>
      </c>
    </row>
    <row r="65">
      <c r="A65" t="inlineStr">
        <is>
          <t>XS1793255198</t>
        </is>
      </c>
      <c r="B65" t="inlineStr">
        <is>
          <t>Top Pick</t>
        </is>
      </c>
      <c r="C65" t="inlineStr">
        <is>
          <t>Softbank Group Corp</t>
        </is>
      </c>
      <c r="D65" t="n">
        <v>6.25</v>
      </c>
      <c r="E65" t="inlineStr">
        <is>
          <t>Sr Unsecured</t>
        </is>
      </c>
      <c r="F65" t="inlineStr">
        <is>
          <t>15.04.2028</t>
        </is>
      </c>
      <c r="G65" t="inlineStr">
        <is>
          <t>Japan</t>
        </is>
      </c>
      <c r="H65" t="inlineStr">
        <is>
          <t>Communications</t>
        </is>
      </c>
      <c r="I65" t="n">
        <v>200</v>
      </c>
      <c r="J65" t="n">
        <v>100.523</v>
      </c>
      <c r="K65" t="n">
        <v>6.022489</v>
      </c>
      <c r="L65" t="n">
        <v>0.174943</v>
      </c>
      <c r="M65" t="n">
        <v>0.015488</v>
      </c>
      <c r="N65" t="n">
        <v>212.9831035</v>
      </c>
      <c r="O65" t="n">
        <v>2.561031563</v>
      </c>
      <c r="P65" t="n">
        <v>0</v>
      </c>
      <c r="Q65" t="inlineStr">
        <is>
          <t xml:space="preserve">Japanese investment firm </t>
        </is>
      </c>
      <c r="R65" t="inlineStr">
        <is>
          <t>USD</t>
        </is>
      </c>
      <c r="S65" t="inlineStr">
        <is>
          <t>High Yield</t>
        </is>
      </c>
      <c r="T65" t="inlineStr">
        <is>
          <t>NR</t>
        </is>
      </c>
      <c r="U65" t="inlineStr">
        <is>
          <t>NR</t>
        </is>
      </c>
    </row>
    <row r="66">
      <c r="A66" t="inlineStr">
        <is>
          <t>XS2756521303</t>
        </is>
      </c>
      <c r="B66" t="inlineStr">
        <is>
          <t>Top Pick</t>
        </is>
      </c>
      <c r="C66" t="inlineStr">
        <is>
          <t>Romania</t>
        </is>
      </c>
      <c r="D66" t="n">
        <v>6.375</v>
      </c>
      <c r="E66" t="inlineStr">
        <is>
          <t>Sr Unsecured</t>
        </is>
      </c>
      <c r="F66" t="inlineStr">
        <is>
          <t>30.01.2034</t>
        </is>
      </c>
      <c r="G66" t="inlineStr">
        <is>
          <t>Romania</t>
        </is>
      </c>
      <c r="H66" t="inlineStr">
        <is>
          <t>Government</t>
        </is>
      </c>
      <c r="I66" t="n">
        <v>2</v>
      </c>
      <c r="J66" t="n">
        <v>100.239</v>
      </c>
      <c r="K66" t="n">
        <v>6.337602</v>
      </c>
      <c r="L66" t="n">
        <v>-0.290287</v>
      </c>
      <c r="M66" t="n">
        <v>-0.554395</v>
      </c>
      <c r="N66" t="n">
        <v>209.437551</v>
      </c>
      <c r="O66" t="n">
        <v>6.641764793</v>
      </c>
      <c r="P66" t="n">
        <v>0</v>
      </c>
      <c r="Q66" t="inlineStr">
        <is>
          <t>Romanian government bond</t>
        </is>
      </c>
      <c r="R66" t="inlineStr">
        <is>
          <t>USD</t>
        </is>
      </c>
      <c r="S66" t="inlineStr">
        <is>
          <t>Investment Grade</t>
        </is>
      </c>
      <c r="T66" t="inlineStr">
        <is>
          <t>BBB-</t>
        </is>
      </c>
      <c r="U66" t="inlineStr">
        <is>
          <t>BBB-</t>
        </is>
      </c>
    </row>
    <row r="67">
      <c r="A67" t="inlineStr">
        <is>
          <t>USN3700LAD75</t>
        </is>
      </c>
      <c r="B67" t="inlineStr">
        <is>
          <t>Hold</t>
        </is>
      </c>
      <c r="C67" t="inlineStr">
        <is>
          <t>Greenko Dutch Bv</t>
        </is>
      </c>
      <c r="D67" t="n">
        <v>3.85</v>
      </c>
      <c r="E67" t="inlineStr">
        <is>
          <t>1St Lien</t>
        </is>
      </c>
      <c r="F67" t="inlineStr">
        <is>
          <t>29.03.2026</t>
        </is>
      </c>
      <c r="G67" t="inlineStr">
        <is>
          <t>India</t>
        </is>
      </c>
      <c r="H67" t="inlineStr">
        <is>
          <t>Energy</t>
        </is>
      </c>
      <c r="I67" t="n">
        <v>200</v>
      </c>
      <c r="J67" t="n">
        <v>98.375</v>
      </c>
      <c r="K67" t="n">
        <v>6.16586</v>
      </c>
      <c r="L67" t="n">
        <v>-0.051073</v>
      </c>
      <c r="M67" t="n">
        <v>0.045391</v>
      </c>
      <c r="N67" t="n">
        <v>209.3596382</v>
      </c>
      <c r="O67" t="n">
        <v>1.017626422</v>
      </c>
      <c r="P67" t="n">
        <v>25</v>
      </c>
      <c r="Q67" t="inlineStr">
        <is>
          <t xml:space="preserve">renewable energy company </t>
        </is>
      </c>
      <c r="R67" t="inlineStr">
        <is>
          <t>USD</t>
        </is>
      </c>
      <c r="S67" t="inlineStr">
        <is>
          <t>High Yield</t>
        </is>
      </c>
      <c r="T67" t="inlineStr">
        <is>
          <t>BB</t>
        </is>
      </c>
      <c r="U67" t="inlineStr">
        <is>
          <t>BB</t>
        </is>
      </c>
    </row>
    <row r="68">
      <c r="A68" t="inlineStr">
        <is>
          <t>XS2485249523</t>
        </is>
      </c>
      <c r="B68" t="inlineStr">
        <is>
          <t>Hold</t>
        </is>
      </c>
      <c r="C68" t="inlineStr">
        <is>
          <t>Romania</t>
        </is>
      </c>
      <c r="D68" t="n">
        <v>6</v>
      </c>
      <c r="E68" t="inlineStr">
        <is>
          <t>Sr Unsecured</t>
        </is>
      </c>
      <c r="F68" t="inlineStr">
        <is>
          <t>25.05.2034</t>
        </is>
      </c>
      <c r="G68" t="inlineStr">
        <is>
          <t>Romania</t>
        </is>
      </c>
      <c r="H68" t="inlineStr">
        <is>
          <t>Government</t>
        </is>
      </c>
      <c r="I68" t="n">
        <v>2</v>
      </c>
      <c r="J68" t="n">
        <v>97.60599999999999</v>
      </c>
      <c r="K68" t="n">
        <v>6.355721</v>
      </c>
      <c r="L68" t="n">
        <v>-0.183188</v>
      </c>
      <c r="M68" t="n">
        <v>-0.46796</v>
      </c>
      <c r="N68" t="n">
        <v>209.0636655</v>
      </c>
      <c r="O68" t="n">
        <v>6.799910707</v>
      </c>
      <c r="P68" t="n">
        <v>85</v>
      </c>
      <c r="Q68" t="inlineStr">
        <is>
          <t>Romanian government bond</t>
        </is>
      </c>
      <c r="R68" t="inlineStr">
        <is>
          <t>USD</t>
        </is>
      </c>
      <c r="S68" t="inlineStr">
        <is>
          <t>Investment Grade</t>
        </is>
      </c>
      <c r="T68" t="inlineStr">
        <is>
          <t>BBB-</t>
        </is>
      </c>
      <c r="U68" t="inlineStr">
        <is>
          <t>BBB-</t>
        </is>
      </c>
    </row>
    <row r="69">
      <c r="A69" t="inlineStr">
        <is>
          <t>US900123CQ19</t>
        </is>
      </c>
      <c r="B69" t="inlineStr">
        <is>
          <t>Hold</t>
        </is>
      </c>
      <c r="C69" t="inlineStr">
        <is>
          <t>Republic Of Turkiye</t>
        </is>
      </c>
      <c r="D69" t="n">
        <v>6.125</v>
      </c>
      <c r="E69" t="inlineStr">
        <is>
          <t>Sr Unsecured</t>
        </is>
      </c>
      <c r="F69" t="inlineStr">
        <is>
          <t>24.10.2028</t>
        </is>
      </c>
      <c r="G69" t="inlineStr">
        <is>
          <t>Turkey</t>
        </is>
      </c>
      <c r="H69" t="inlineStr">
        <is>
          <t>Government</t>
        </is>
      </c>
      <c r="I69" t="n">
        <v>200</v>
      </c>
      <c r="J69" t="n">
        <v>100.602</v>
      </c>
      <c r="K69" t="n">
        <v>5.91754</v>
      </c>
      <c r="L69" t="n">
        <v>-0.163171</v>
      </c>
      <c r="M69" t="n">
        <v>-0.319958</v>
      </c>
      <c r="N69" t="n">
        <v>206.3036887</v>
      </c>
      <c r="O69" t="n">
        <v>3.187709584</v>
      </c>
      <c r="P69" t="n">
        <v>0</v>
      </c>
      <c r="Q69" t="inlineStr">
        <is>
          <t>Turkey sovereign bond</t>
        </is>
      </c>
      <c r="R69" t="inlineStr">
        <is>
          <t>USD</t>
        </is>
      </c>
      <c r="S69" t="inlineStr">
        <is>
          <t>High Yield</t>
        </is>
      </c>
      <c r="T69" t="inlineStr">
        <is>
          <t>B+</t>
        </is>
      </c>
      <c r="U69" t="inlineStr">
        <is>
          <t>B+</t>
        </is>
      </c>
    </row>
    <row r="70">
      <c r="A70" t="inlineStr">
        <is>
          <t>US345397E250</t>
        </is>
      </c>
      <c r="B70" t="inlineStr">
        <is>
          <t xml:space="preserve">Hold </t>
        </is>
      </c>
      <c r="C70" t="inlineStr">
        <is>
          <t>Ford Motor Credit Co Llc</t>
        </is>
      </c>
      <c r="D70" t="n">
        <v>6.05</v>
      </c>
      <c r="E70" t="inlineStr">
        <is>
          <t>Sr Unsecured</t>
        </is>
      </c>
      <c r="F70" t="inlineStr">
        <is>
          <t>05.03.2031</t>
        </is>
      </c>
      <c r="G70" t="inlineStr">
        <is>
          <t>United states</t>
        </is>
      </c>
      <c r="H70" t="inlineStr">
        <is>
          <t>Consumer, Cyclical</t>
        </is>
      </c>
      <c r="I70" t="n">
        <v>200</v>
      </c>
      <c r="J70" t="n">
        <v>99.861</v>
      </c>
      <c r="K70" t="n">
        <v>6.077323</v>
      </c>
      <c r="L70" t="n">
        <v>-0.034961</v>
      </c>
      <c r="M70" t="n">
        <v>-0.388589</v>
      </c>
      <c r="N70" t="n">
        <v>206.2026351</v>
      </c>
      <c r="O70" t="n">
        <v>4.856004778</v>
      </c>
      <c r="P70" t="n">
        <v>25</v>
      </c>
      <c r="Q70" t="inlineStr">
        <is>
          <t>Global automotive manufacturer</t>
        </is>
      </c>
      <c r="R70" t="inlineStr">
        <is>
          <t>USD</t>
        </is>
      </c>
      <c r="S70" t="inlineStr">
        <is>
          <t>Investment Grade</t>
        </is>
      </c>
      <c r="T70" t="inlineStr">
        <is>
          <t>BB+</t>
        </is>
      </c>
      <c r="U70" t="inlineStr">
        <is>
          <t>BB+</t>
        </is>
      </c>
    </row>
    <row r="71">
      <c r="A71" t="inlineStr">
        <is>
          <t>XS2538441598</t>
        </is>
      </c>
      <c r="B71" t="inlineStr">
        <is>
          <t>Hold</t>
        </is>
      </c>
      <c r="C71" t="inlineStr">
        <is>
          <t>Romania</t>
        </is>
      </c>
      <c r="D71" t="n">
        <v>6.625</v>
      </c>
      <c r="E71" t="inlineStr">
        <is>
          <t>Sr Unsecured</t>
        </is>
      </c>
      <c r="F71" t="inlineStr">
        <is>
          <t>27.09.2029</t>
        </is>
      </c>
      <c r="G71" t="inlineStr">
        <is>
          <t>Romania</t>
        </is>
      </c>
      <c r="H71" t="inlineStr">
        <is>
          <t>Government</t>
        </is>
      </c>
      <c r="I71" t="n">
        <v>1</v>
      </c>
      <c r="J71" t="n">
        <v>109</v>
      </c>
      <c r="K71" t="n">
        <v>4.244373</v>
      </c>
      <c r="L71" t="n">
        <v>-0.228634</v>
      </c>
      <c r="M71" t="n">
        <v>-0.526457</v>
      </c>
      <c r="N71" t="n">
        <v>205.0929414</v>
      </c>
      <c r="O71" t="n">
        <v>3.854347453</v>
      </c>
      <c r="P71" t="n">
        <v>85</v>
      </c>
      <c r="Q71" t="inlineStr">
        <is>
          <t>Romanian government bond</t>
        </is>
      </c>
      <c r="R71" t="inlineStr">
        <is>
          <t>EUR</t>
        </is>
      </c>
      <c r="S71" t="inlineStr">
        <is>
          <t>Investment Grade</t>
        </is>
      </c>
      <c r="T71" t="inlineStr">
        <is>
          <t>BBB-</t>
        </is>
      </c>
      <c r="U71" t="inlineStr">
        <is>
          <t>BBB-</t>
        </is>
      </c>
    </row>
    <row r="72">
      <c r="A72" t="inlineStr">
        <is>
          <t>USN7163RAY91</t>
        </is>
      </c>
      <c r="B72" t="inlineStr">
        <is>
          <t xml:space="preserve">Hold </t>
        </is>
      </c>
      <c r="C72" t="inlineStr">
        <is>
          <t>Prosus Nv</t>
        </is>
      </c>
      <c r="D72" t="n">
        <v>4.987</v>
      </c>
      <c r="E72" t="inlineStr">
        <is>
          <t>Sr Unsecured</t>
        </is>
      </c>
      <c r="F72" t="inlineStr">
        <is>
          <t>19.01.2052</t>
        </is>
      </c>
      <c r="G72" t="inlineStr">
        <is>
          <t>China</t>
        </is>
      </c>
      <c r="H72" t="inlineStr">
        <is>
          <t>Communications</t>
        </is>
      </c>
      <c r="I72" t="n">
        <v>200</v>
      </c>
      <c r="J72" t="n">
        <v>77.074</v>
      </c>
      <c r="K72" t="n">
        <v>6.878167</v>
      </c>
      <c r="L72" t="n">
        <v>-0.024939</v>
      </c>
      <c r="M72" t="n">
        <v>-0.22328</v>
      </c>
      <c r="N72" t="n">
        <v>203.9253189</v>
      </c>
      <c r="O72" t="n">
        <v>13.01877143</v>
      </c>
      <c r="P72" t="n">
        <v>50</v>
      </c>
      <c r="Q72" t="inlineStr">
        <is>
          <t>Firm which invests in internet, digital media and technology companies</t>
        </is>
      </c>
      <c r="R72" t="inlineStr">
        <is>
          <t>USD</t>
        </is>
      </c>
      <c r="S72" t="inlineStr">
        <is>
          <t>Investment Grade</t>
        </is>
      </c>
      <c r="T72" t="inlineStr">
        <is>
          <t>BBB</t>
        </is>
      </c>
      <c r="U72" t="inlineStr">
        <is>
          <t>BBB</t>
        </is>
      </c>
    </row>
    <row r="73">
      <c r="A73" t="inlineStr">
        <is>
          <t>XS2313088739</t>
        </is>
      </c>
      <c r="B73" t="inlineStr">
        <is>
          <t xml:space="preserve">Hold </t>
        </is>
      </c>
      <c r="C73" t="inlineStr">
        <is>
          <t>Japfa Comfeed Tbk Pt</t>
        </is>
      </c>
      <c r="D73" t="n">
        <v>5.375</v>
      </c>
      <c r="E73" t="inlineStr">
        <is>
          <t>Sr Unsecured</t>
        </is>
      </c>
      <c r="F73" t="inlineStr">
        <is>
          <t>23.03.2026</t>
        </is>
      </c>
      <c r="G73" t="inlineStr">
        <is>
          <t>Indonesia</t>
        </is>
      </c>
      <c r="H73" t="inlineStr">
        <is>
          <t>Consumer, Non-cyclical</t>
        </is>
      </c>
      <c r="I73" t="n">
        <v>200</v>
      </c>
      <c r="J73" t="n">
        <v>99.467</v>
      </c>
      <c r="K73" t="n">
        <v>6.143987</v>
      </c>
      <c r="L73" t="n">
        <v>-0.757748</v>
      </c>
      <c r="M73" t="n">
        <v>-0.839659</v>
      </c>
      <c r="N73" t="n">
        <v>203.6252894</v>
      </c>
      <c r="O73" t="n">
        <v>1.008846526</v>
      </c>
      <c r="P73" t="n">
        <v>20</v>
      </c>
      <c r="Q73" t="inlineStr">
        <is>
          <t>Manufactures animal feed, breeds and processes chickens. Farms</t>
        </is>
      </c>
      <c r="R73" t="inlineStr">
        <is>
          <t>USD</t>
        </is>
      </c>
      <c r="S73" t="inlineStr">
        <is>
          <t>High Yield</t>
        </is>
      </c>
      <c r="T73" t="inlineStr">
        <is>
          <t>B+</t>
        </is>
      </c>
      <c r="U73" t="inlineStr">
        <is>
          <t>B+</t>
        </is>
      </c>
    </row>
    <row r="74">
      <c r="A74" t="inlineStr">
        <is>
          <t>XS1680281133</t>
        </is>
      </c>
      <c r="B74" t="inlineStr">
        <is>
          <t xml:space="preserve">Hold </t>
        </is>
      </c>
      <c r="C74" t="inlineStr">
        <is>
          <t>Kronos International Inc</t>
        </is>
      </c>
      <c r="D74" t="n">
        <v>3.75</v>
      </c>
      <c r="E74" t="inlineStr">
        <is>
          <t>1St Lien</t>
        </is>
      </c>
      <c r="F74" t="inlineStr">
        <is>
          <t>15.09.2025</t>
        </is>
      </c>
      <c r="G74" t="inlineStr">
        <is>
          <t>United states</t>
        </is>
      </c>
      <c r="H74" t="inlineStr">
        <is>
          <t>Basic Materials</t>
        </is>
      </c>
      <c r="I74" t="n">
        <v>100</v>
      </c>
      <c r="J74" t="n">
        <v>99.965</v>
      </c>
      <c r="K74" t="n">
        <v>3.961303</v>
      </c>
      <c r="L74" t="n">
        <v>1.020499</v>
      </c>
      <c r="M74" t="n">
        <v>1.951067</v>
      </c>
      <c r="N74" t="n">
        <v>203.1880308</v>
      </c>
      <c r="O74" t="n">
        <v>0.07751013599999999</v>
      </c>
      <c r="P74" t="n">
        <v>25</v>
      </c>
      <c r="Q74" t="inlineStr">
        <is>
          <t xml:space="preserve">One of the major producer of Titanium dioxyde </t>
        </is>
      </c>
      <c r="R74" t="inlineStr">
        <is>
          <t>EUR</t>
        </is>
      </c>
      <c r="S74" t="inlineStr">
        <is>
          <t>High Yield</t>
        </is>
      </c>
      <c r="T74" t="inlineStr">
        <is>
          <t>BB-</t>
        </is>
      </c>
      <c r="U74" t="inlineStr">
        <is>
          <t>B+</t>
        </is>
      </c>
    </row>
    <row r="75">
      <c r="A75" t="inlineStr">
        <is>
          <t>USP5015VAQ97</t>
        </is>
      </c>
      <c r="B75" t="inlineStr">
        <is>
          <t xml:space="preserve">Hold </t>
        </is>
      </c>
      <c r="C75" t="inlineStr">
        <is>
          <t>Republic Of Guatemala</t>
        </is>
      </c>
      <c r="D75" t="n">
        <v>6.6</v>
      </c>
      <c r="E75" t="inlineStr">
        <is>
          <t>Sr Unsecured</t>
        </is>
      </c>
      <c r="F75" t="inlineStr">
        <is>
          <t>13.06.2036</t>
        </is>
      </c>
      <c r="G75" t="inlineStr">
        <is>
          <t>Guatemala</t>
        </is>
      </c>
      <c r="H75" t="inlineStr">
        <is>
          <t>Government</t>
        </is>
      </c>
      <c r="I75" t="n">
        <v>200</v>
      </c>
      <c r="J75" t="n">
        <v>102.024</v>
      </c>
      <c r="K75" t="n">
        <v>6.336187</v>
      </c>
      <c r="L75" t="n">
        <v>-0.049166</v>
      </c>
      <c r="M75" t="n">
        <v>-0.146806</v>
      </c>
      <c r="N75" t="n">
        <v>197.6702942</v>
      </c>
      <c r="O75" t="n">
        <v>7.302863528</v>
      </c>
      <c r="P75" t="n">
        <v>0</v>
      </c>
      <c r="Q75" t="inlineStr">
        <is>
          <t>Guatemala government bond</t>
        </is>
      </c>
      <c r="R75" t="inlineStr">
        <is>
          <t>USD</t>
        </is>
      </c>
      <c r="S75" t="inlineStr">
        <is>
          <t>Latin America</t>
        </is>
      </c>
      <c r="T75" t="inlineStr">
        <is>
          <t>BB</t>
        </is>
      </c>
      <c r="U75" t="inlineStr">
        <is>
          <t>BB</t>
        </is>
      </c>
    </row>
    <row r="76">
      <c r="A76" t="inlineStr">
        <is>
          <t>XS2571923007</t>
        </is>
      </c>
      <c r="B76" t="inlineStr">
        <is>
          <t xml:space="preserve">Hold </t>
        </is>
      </c>
      <c r="C76" t="inlineStr">
        <is>
          <t>Romania</t>
        </is>
      </c>
      <c r="D76" t="n">
        <v>7.125</v>
      </c>
      <c r="E76" t="inlineStr">
        <is>
          <t>Sr Unsecured</t>
        </is>
      </c>
      <c r="F76" t="inlineStr">
        <is>
          <t>17.01.2033</t>
        </is>
      </c>
      <c r="G76" t="inlineStr">
        <is>
          <t>Romania</t>
        </is>
      </c>
      <c r="H76" t="inlineStr">
        <is>
          <t>Government</t>
        </is>
      </c>
      <c r="I76" t="n">
        <v>2</v>
      </c>
      <c r="J76" t="n">
        <v>105.972</v>
      </c>
      <c r="K76" t="n">
        <v>6.122034</v>
      </c>
      <c r="L76" t="n">
        <v>-0.238835</v>
      </c>
      <c r="M76" t="n">
        <v>-0.54481</v>
      </c>
      <c r="N76" t="n">
        <v>196.4851942</v>
      </c>
      <c r="O76" t="n">
        <v>5.947122966</v>
      </c>
      <c r="P76" t="n">
        <v>60</v>
      </c>
      <c r="Q76" t="inlineStr">
        <is>
          <t>Romanian government bond</t>
        </is>
      </c>
      <c r="R76" t="inlineStr">
        <is>
          <t>USD</t>
        </is>
      </c>
      <c r="S76" t="inlineStr">
        <is>
          <t>Investment Grade</t>
        </is>
      </c>
      <c r="T76" t="inlineStr">
        <is>
          <t>BBB-</t>
        </is>
      </c>
      <c r="U76" t="inlineStr">
        <is>
          <t>BBB-</t>
        </is>
      </c>
    </row>
    <row r="77">
      <c r="A77" t="inlineStr">
        <is>
          <t>XS2327392234</t>
        </is>
      </c>
      <c r="B77" t="inlineStr">
        <is>
          <t>Top pick</t>
        </is>
      </c>
      <c r="C77" t="inlineStr">
        <is>
          <t>Pt Pakuwon Jati</t>
        </is>
      </c>
      <c r="D77" t="n">
        <v>4.875</v>
      </c>
      <c r="E77" t="inlineStr">
        <is>
          <t>Sr Unsecured</t>
        </is>
      </c>
      <c r="F77" t="inlineStr">
        <is>
          <t>29.04.2028</t>
        </is>
      </c>
      <c r="G77" t="inlineStr">
        <is>
          <t>Indonesia</t>
        </is>
      </c>
      <c r="H77" t="inlineStr">
        <is>
          <t>Financial</t>
        </is>
      </c>
      <c r="I77" t="n">
        <v>200</v>
      </c>
      <c r="J77" t="n">
        <v>97.667</v>
      </c>
      <c r="K77" t="n">
        <v>5.784581</v>
      </c>
      <c r="L77" t="n">
        <v>-0.079388</v>
      </c>
      <c r="M77" t="n">
        <v>-0.27618</v>
      </c>
      <c r="N77" t="n">
        <v>194.3321245</v>
      </c>
      <c r="O77" t="n">
        <v>2.847891063</v>
      </c>
      <c r="P77" t="n">
        <v>25</v>
      </c>
      <c r="Q77" t="inlineStr">
        <is>
          <t>One of the leading property developers in Indonesia</t>
        </is>
      </c>
      <c r="R77" t="inlineStr">
        <is>
          <t>USD</t>
        </is>
      </c>
      <c r="S77" t="inlineStr">
        <is>
          <t>High Yield</t>
        </is>
      </c>
      <c r="T77" t="inlineStr">
        <is>
          <t>BB+</t>
        </is>
      </c>
      <c r="U77" t="inlineStr">
        <is>
          <t>BB+</t>
        </is>
      </c>
    </row>
    <row r="78">
      <c r="A78" t="inlineStr">
        <is>
          <t>XS2497520887</t>
        </is>
      </c>
      <c r="B78" t="inlineStr">
        <is>
          <t>Hold</t>
        </is>
      </c>
      <c r="C78" t="inlineStr">
        <is>
          <t>Celanese Us Holdings Llc</t>
        </is>
      </c>
      <c r="D78" t="n">
        <v>5.587</v>
      </c>
      <c r="E78" t="inlineStr">
        <is>
          <t>Sr Unsecured</t>
        </is>
      </c>
      <c r="F78" t="inlineStr">
        <is>
          <t>19.01.2029</t>
        </is>
      </c>
      <c r="G78" t="inlineStr">
        <is>
          <t>United states</t>
        </is>
      </c>
      <c r="H78" t="inlineStr">
        <is>
          <t>Basic Materials</t>
        </is>
      </c>
      <c r="I78" t="n">
        <v>100</v>
      </c>
      <c r="J78" t="n">
        <v>105.46</v>
      </c>
      <c r="K78" t="n">
        <v>4.023579</v>
      </c>
      <c r="L78" t="n">
        <v>0.013404</v>
      </c>
      <c r="M78" t="n">
        <v>-0.146054</v>
      </c>
      <c r="N78" t="n">
        <v>194.0147143</v>
      </c>
      <c r="O78" t="n">
        <v>3.332489672</v>
      </c>
      <c r="P78" t="n">
        <v>60</v>
      </c>
      <c r="Q78" t="inlineStr">
        <is>
          <t>Celanese US Holdings LLC operates as a chemical company.</t>
        </is>
      </c>
      <c r="R78" t="inlineStr">
        <is>
          <t>EUR</t>
        </is>
      </c>
      <c r="S78" t="inlineStr">
        <is>
          <t>Investment Grade</t>
        </is>
      </c>
      <c r="T78" t="inlineStr">
        <is>
          <t>BB+</t>
        </is>
      </c>
      <c r="U78" t="inlineStr">
        <is>
          <t>BB+</t>
        </is>
      </c>
    </row>
    <row r="79">
      <c r="A79" t="inlineStr">
        <is>
          <t>USP7372BAA19</t>
        </is>
      </c>
      <c r="B79" t="inlineStr">
        <is>
          <t xml:space="preserve">Hold </t>
        </is>
      </c>
      <c r="C79" t="inlineStr">
        <is>
          <t>Orazul Energy Peru Sa</t>
        </is>
      </c>
      <c r="D79" t="n">
        <v>5.625</v>
      </c>
      <c r="E79" t="inlineStr">
        <is>
          <t>Sr Unsecured</t>
        </is>
      </c>
      <c r="F79" t="inlineStr">
        <is>
          <t>28.04.2027</t>
        </is>
      </c>
      <c r="G79" t="inlineStr">
        <is>
          <t>Peru</t>
        </is>
      </c>
      <c r="H79" t="inlineStr">
        <is>
          <t>Utilities</t>
        </is>
      </c>
      <c r="I79" t="n">
        <v>200</v>
      </c>
      <c r="J79" t="n">
        <v>99.29000000000001</v>
      </c>
      <c r="K79" t="n">
        <v>6.040076</v>
      </c>
      <c r="L79" t="n">
        <v>-0.199493</v>
      </c>
      <c r="M79" t="n">
        <v>-0.525858</v>
      </c>
      <c r="N79" t="n">
        <v>193.2125731</v>
      </c>
      <c r="O79" t="n">
        <v>1.989707347</v>
      </c>
      <c r="P79" t="n">
        <v>0</v>
      </c>
      <c r="Q79" t="inlineStr">
        <is>
          <t>Utility company</t>
        </is>
      </c>
      <c r="R79" t="inlineStr">
        <is>
          <t>USD</t>
        </is>
      </c>
      <c r="S79" t="inlineStr">
        <is>
          <t>Latin America</t>
        </is>
      </c>
      <c r="T79" t="inlineStr">
        <is>
          <t>NR</t>
        </is>
      </c>
      <c r="U79" t="inlineStr">
        <is>
          <t>BB-</t>
        </is>
      </c>
    </row>
    <row r="80">
      <c r="A80" t="inlineStr">
        <is>
          <t>XS2810168737</t>
        </is>
      </c>
      <c r="B80" t="inlineStr">
        <is>
          <t xml:space="preserve">Hold </t>
        </is>
      </c>
      <c r="C80" t="inlineStr">
        <is>
          <t>Office Cherifien Des Pho</t>
        </is>
      </c>
      <c r="D80" t="n">
        <v>6.75</v>
      </c>
      <c r="E80" t="inlineStr">
        <is>
          <t>Sr Unsecured</t>
        </is>
      </c>
      <c r="F80" t="inlineStr">
        <is>
          <t>02.05.2034</t>
        </is>
      </c>
      <c r="G80" t="inlineStr">
        <is>
          <t>Morocco</t>
        </is>
      </c>
      <c r="H80" t="inlineStr">
        <is>
          <t>Basic Materials</t>
        </is>
      </c>
      <c r="I80" t="n">
        <v>200</v>
      </c>
      <c r="J80" t="n">
        <v>103.843</v>
      </c>
      <c r="K80" t="n">
        <v>6.165032</v>
      </c>
      <c r="L80" t="n">
        <v>-0.041919</v>
      </c>
      <c r="M80" t="n">
        <v>-0.333949</v>
      </c>
      <c r="N80" t="n">
        <v>189.6099091</v>
      </c>
      <c r="O80" t="n">
        <v>6.536999048</v>
      </c>
      <c r="P80" t="n">
        <v>0</v>
      </c>
      <c r="Q80" t="inlineStr">
        <is>
          <t xml:space="preserve">Moroccan state-owned fertiliser company </t>
        </is>
      </c>
      <c r="R80" t="inlineStr">
        <is>
          <t>USD</t>
        </is>
      </c>
      <c r="S80" t="inlineStr">
        <is>
          <t>High Yield</t>
        </is>
      </c>
      <c r="T80" t="inlineStr">
        <is>
          <t>BB+</t>
        </is>
      </c>
      <c r="U80" t="inlineStr">
        <is>
          <t>BB+</t>
        </is>
      </c>
    </row>
    <row r="81">
      <c r="A81" t="inlineStr">
        <is>
          <t>US83368TBS69</t>
        </is>
      </c>
      <c r="B81" t="inlineStr">
        <is>
          <t>Hold</t>
        </is>
      </c>
      <c r="C81" t="inlineStr">
        <is>
          <t>Societe Generale</t>
        </is>
      </c>
      <c r="D81" t="n">
        <v>6.691</v>
      </c>
      <c r="E81" t="inlineStr">
        <is>
          <t>Sr Non Preferred</t>
        </is>
      </c>
      <c r="F81" t="inlineStr">
        <is>
          <t>10.01.2034</t>
        </is>
      </c>
      <c r="G81" t="inlineStr">
        <is>
          <t>France</t>
        </is>
      </c>
      <c r="H81" t="inlineStr">
        <is>
          <t>Financial</t>
        </is>
      </c>
      <c r="I81" t="n">
        <v>200</v>
      </c>
      <c r="J81" t="n">
        <v>106.732</v>
      </c>
      <c r="K81" t="n">
        <v>5.580777</v>
      </c>
      <c r="L81" t="n">
        <v>-0.056183</v>
      </c>
      <c r="M81" t="n">
        <v>-0.215642</v>
      </c>
      <c r="N81" t="n">
        <v>188.802909</v>
      </c>
      <c r="O81" t="n">
        <v>6.079919283</v>
      </c>
      <c r="P81" t="n">
        <v>50</v>
      </c>
      <c r="Q81" t="inlineStr">
        <is>
          <t>One of the largest banks in Europe</t>
        </is>
      </c>
      <c r="R81" t="inlineStr">
        <is>
          <t>USD</t>
        </is>
      </c>
      <c r="S81" t="inlineStr">
        <is>
          <t>Investment Grade</t>
        </is>
      </c>
      <c r="T81" t="inlineStr">
        <is>
          <t>BBB</t>
        </is>
      </c>
      <c r="U81" t="inlineStr">
        <is>
          <t>BBB</t>
        </is>
      </c>
    </row>
    <row r="82">
      <c r="A82" t="inlineStr">
        <is>
          <t>USP5300PAB96</t>
        </is>
      </c>
      <c r="B82" t="inlineStr">
        <is>
          <t xml:space="preserve">Hold </t>
        </is>
      </c>
      <c r="C82" t="inlineStr">
        <is>
          <t>Hunt Oil Co Of Peru</t>
        </is>
      </c>
      <c r="D82" t="n">
        <v>6.375</v>
      </c>
      <c r="E82" t="inlineStr">
        <is>
          <t>Sr Unsecured</t>
        </is>
      </c>
      <c r="F82" t="inlineStr">
        <is>
          <t>01.06.2028</t>
        </is>
      </c>
      <c r="G82" t="inlineStr">
        <is>
          <t>Peru</t>
        </is>
      </c>
      <c r="H82" t="inlineStr">
        <is>
          <t>Energy</t>
        </is>
      </c>
      <c r="I82" t="n">
        <v>200</v>
      </c>
      <c r="J82" t="n">
        <v>101.408</v>
      </c>
      <c r="K82" t="n">
        <v>5.830297</v>
      </c>
      <c r="L82" t="n">
        <v>-0.027683</v>
      </c>
      <c r="M82" t="n">
        <v>-0.021876</v>
      </c>
      <c r="N82" t="n">
        <v>187.8592729</v>
      </c>
      <c r="O82" t="n">
        <v>2.361716209</v>
      </c>
      <c r="P82" t="n">
        <v>0</v>
      </c>
      <c r="Q82" t="inlineStr">
        <is>
          <t xml:space="preserve">Oil and gas company </t>
        </is>
      </c>
      <c r="R82" t="inlineStr">
        <is>
          <t>USD</t>
        </is>
      </c>
      <c r="S82" t="inlineStr">
        <is>
          <t>Latin America</t>
        </is>
      </c>
      <c r="T82" t="inlineStr">
        <is>
          <t>BBB-</t>
        </is>
      </c>
      <c r="U82" t="inlineStr">
        <is>
          <t>BBB-</t>
        </is>
      </c>
    </row>
    <row r="83">
      <c r="A83" t="inlineStr">
        <is>
          <t>XS0835891838</t>
        </is>
      </c>
      <c r="B83" t="inlineStr">
        <is>
          <t>Hold</t>
        </is>
      </c>
      <c r="C83" t="inlineStr">
        <is>
          <t>Petrobras Global Finance</t>
        </is>
      </c>
      <c r="D83" t="n">
        <v>5.375</v>
      </c>
      <c r="E83" t="inlineStr">
        <is>
          <t>Sr Unsecured</t>
        </is>
      </c>
      <c r="F83" t="inlineStr">
        <is>
          <t>01.10.2029</t>
        </is>
      </c>
      <c r="G83" t="inlineStr">
        <is>
          <t>Brazil</t>
        </is>
      </c>
      <c r="H83" t="inlineStr">
        <is>
          <t>Energy</t>
        </is>
      </c>
      <c r="I83" t="n">
        <v>100</v>
      </c>
      <c r="J83" t="n">
        <v>98.496</v>
      </c>
      <c r="K83" t="n">
        <v>5.697399</v>
      </c>
      <c r="L83" t="n">
        <v>-0.060704</v>
      </c>
      <c r="M83" t="n">
        <v>-0.17297</v>
      </c>
      <c r="N83" t="n">
        <v>184.6785302</v>
      </c>
      <c r="O83" t="n">
        <v>3.888874519</v>
      </c>
      <c r="P83" t="n">
        <v>0</v>
      </c>
      <c r="Q83" t="inlineStr">
        <is>
          <t>7th largest commercial bank in Brazil, 50% owned by Banco do Brasil</t>
        </is>
      </c>
      <c r="R83" t="inlineStr">
        <is>
          <t>GBP</t>
        </is>
      </c>
      <c r="S83" t="inlineStr">
        <is>
          <t>Latin America</t>
        </is>
      </c>
      <c r="T83" t="inlineStr">
        <is>
          <t>BB</t>
        </is>
      </c>
      <c r="U83" t="inlineStr">
        <is>
          <t>BB</t>
        </is>
      </c>
    </row>
    <row r="84">
      <c r="A84" t="inlineStr">
        <is>
          <t>USG98239AA72</t>
        </is>
      </c>
      <c r="B84" t="inlineStr">
        <is>
          <t xml:space="preserve">Hold </t>
        </is>
      </c>
      <c r="C84" t="inlineStr">
        <is>
          <t>Xp Inc</t>
        </is>
      </c>
      <c r="D84" t="n">
        <v>3.25</v>
      </c>
      <c r="E84" t="inlineStr">
        <is>
          <t>Sr Unsecured</t>
        </is>
      </c>
      <c r="F84" t="inlineStr">
        <is>
          <t>01.07.2026</t>
        </is>
      </c>
      <c r="G84" t="inlineStr">
        <is>
          <t>Brazil</t>
        </is>
      </c>
      <c r="H84" t="inlineStr">
        <is>
          <t>Financial</t>
        </is>
      </c>
      <c r="I84" t="n">
        <v>200</v>
      </c>
      <c r="J84" t="n">
        <v>97.544</v>
      </c>
      <c r="K84" t="n">
        <v>5.861359</v>
      </c>
      <c r="L84" t="n">
        <v>0.038731</v>
      </c>
      <c r="M84" t="n">
        <v>0.004807</v>
      </c>
      <c r="N84" t="n">
        <v>183.7821738</v>
      </c>
      <c r="O84" t="n">
        <v>1.302818418</v>
      </c>
      <c r="P84" t="n">
        <v>25</v>
      </c>
      <c r="Q84" t="inlineStr">
        <is>
          <t>XP Inc operates as an investment management company in Brazil.</t>
        </is>
      </c>
      <c r="R84" t="inlineStr">
        <is>
          <t>USD</t>
        </is>
      </c>
      <c r="S84" t="inlineStr">
        <is>
          <t>Latin America</t>
        </is>
      </c>
      <c r="T84" t="inlineStr">
        <is>
          <t>BB</t>
        </is>
      </c>
      <c r="U84" t="inlineStr">
        <is>
          <t>BB</t>
        </is>
      </c>
    </row>
    <row r="85">
      <c r="A85" t="inlineStr">
        <is>
          <t>XS2892967782</t>
        </is>
      </c>
      <c r="B85" t="inlineStr">
        <is>
          <t xml:space="preserve">Hold </t>
        </is>
      </c>
      <c r="C85" t="inlineStr">
        <is>
          <t>Ford Motor Credit Co Llc</t>
        </is>
      </c>
      <c r="D85" t="n">
        <v>5.78</v>
      </c>
      <c r="E85" t="inlineStr">
        <is>
          <t>Sr Unsecured</t>
        </is>
      </c>
      <c r="F85" t="inlineStr">
        <is>
          <t>30.04.2030</t>
        </is>
      </c>
      <c r="G85" t="inlineStr">
        <is>
          <t>United states</t>
        </is>
      </c>
      <c r="H85" t="inlineStr">
        <is>
          <t>Consumer, Cyclical</t>
        </is>
      </c>
      <c r="I85" t="n">
        <v>100</v>
      </c>
      <c r="J85" t="n">
        <v>99.821</v>
      </c>
      <c r="K85" t="n">
        <v>5.735472</v>
      </c>
      <c r="L85" t="n">
        <v>-0.03513</v>
      </c>
      <c r="M85" t="n">
        <v>-0.234187</v>
      </c>
      <c r="N85" t="n">
        <v>182.3661589</v>
      </c>
      <c r="O85" t="n">
        <v>4.237344931</v>
      </c>
      <c r="P85" t="n">
        <v>0</v>
      </c>
      <c r="Q85" t="inlineStr">
        <is>
          <t>Global automotive manufacturer</t>
        </is>
      </c>
      <c r="R85" t="inlineStr">
        <is>
          <t>GBP</t>
        </is>
      </c>
      <c r="S85" t="inlineStr">
        <is>
          <t>Investment Grade</t>
        </is>
      </c>
      <c r="T85" t="inlineStr">
        <is>
          <t>BB+</t>
        </is>
      </c>
      <c r="U85" t="inlineStr">
        <is>
          <t>BB+</t>
        </is>
      </c>
    </row>
    <row r="86">
      <c r="A86" t="inlineStr">
        <is>
          <t>USG0R209AB68</t>
        </is>
      </c>
      <c r="B86" t="inlineStr">
        <is>
          <t xml:space="preserve">Not accumulate </t>
        </is>
      </c>
      <c r="C86" t="inlineStr">
        <is>
          <t>American Airlines/Aadvan</t>
        </is>
      </c>
      <c r="D86" t="n">
        <v>5.75</v>
      </c>
      <c r="E86" t="inlineStr">
        <is>
          <t>1St Lien</t>
        </is>
      </c>
      <c r="F86" t="inlineStr">
        <is>
          <t>20.04.2029</t>
        </is>
      </c>
      <c r="G86" t="inlineStr">
        <is>
          <t>United states</t>
        </is>
      </c>
      <c r="H86" t="inlineStr">
        <is>
          <t>Consumer, Cyclical</t>
        </is>
      </c>
      <c r="I86" t="n">
        <v>2</v>
      </c>
      <c r="J86" t="n">
        <v>100.219</v>
      </c>
      <c r="K86" t="n">
        <v>5.725174</v>
      </c>
      <c r="L86" t="n">
        <v>-0.07818600000000001</v>
      </c>
      <c r="M86" t="n">
        <v>-0.408754</v>
      </c>
      <c r="N86" t="n">
        <v>182.0466888</v>
      </c>
      <c r="O86" t="n">
        <v>2.529812363</v>
      </c>
      <c r="P86" t="n">
        <v>25</v>
      </c>
      <c r="Q86" t="inlineStr">
        <is>
          <t>One of the largest global airlines</t>
        </is>
      </c>
      <c r="R86" t="inlineStr">
        <is>
          <t>USD</t>
        </is>
      </c>
      <c r="S86" t="inlineStr">
        <is>
          <t>High Yield</t>
        </is>
      </c>
      <c r="T86" t="inlineStr">
        <is>
          <t>BB+</t>
        </is>
      </c>
      <c r="U86" t="inlineStr">
        <is>
          <t>BB+</t>
        </is>
      </c>
    </row>
    <row r="87">
      <c r="A87" t="inlineStr">
        <is>
          <t>USY2R40TAB40</t>
        </is>
      </c>
      <c r="B87" t="inlineStr">
        <is>
          <t>Top pick</t>
        </is>
      </c>
      <c r="C87" t="inlineStr">
        <is>
          <t>Delhi Intl Airport</t>
        </is>
      </c>
      <c r="D87" t="n">
        <v>6.45</v>
      </c>
      <c r="E87" t="inlineStr">
        <is>
          <t>1St Lien</t>
        </is>
      </c>
      <c r="F87" t="inlineStr">
        <is>
          <t>04.06.2029</t>
        </is>
      </c>
      <c r="G87" t="inlineStr">
        <is>
          <t>India</t>
        </is>
      </c>
      <c r="H87" t="inlineStr">
        <is>
          <t>Industrial</t>
        </is>
      </c>
      <c r="I87" t="n">
        <v>200</v>
      </c>
      <c r="J87" t="n">
        <v>102.594</v>
      </c>
      <c r="K87" t="n">
        <v>5.697657</v>
      </c>
      <c r="L87" t="n">
        <v>-0.037973</v>
      </c>
      <c r="M87" t="n">
        <v>-0.228979</v>
      </c>
      <c r="N87" t="n">
        <v>181.1290995</v>
      </c>
      <c r="O87" t="n">
        <v>3.663335695</v>
      </c>
      <c r="P87" t="n">
        <v>10</v>
      </c>
      <c r="Q87" t="inlineStr">
        <is>
          <t>Buiest airport in India</t>
        </is>
      </c>
      <c r="R87" t="inlineStr">
        <is>
          <t>USD</t>
        </is>
      </c>
      <c r="S87" t="inlineStr">
        <is>
          <t>High Yield</t>
        </is>
      </c>
      <c r="T87" t="inlineStr">
        <is>
          <t>BB</t>
        </is>
      </c>
      <c r="U87" t="inlineStr">
        <is>
          <t>B+</t>
        </is>
      </c>
    </row>
    <row r="88">
      <c r="A88" t="inlineStr">
        <is>
          <t>USP01703AD22</t>
        </is>
      </c>
      <c r="B88" t="inlineStr">
        <is>
          <t xml:space="preserve">Hold </t>
        </is>
      </c>
      <c r="C88" t="inlineStr">
        <is>
          <t>Alpek Sa De Cv</t>
        </is>
      </c>
      <c r="D88" t="n">
        <v>3.25</v>
      </c>
      <c r="E88" t="inlineStr">
        <is>
          <t>Sr Unsecured</t>
        </is>
      </c>
      <c r="F88" t="inlineStr">
        <is>
          <t>25.02.2031</t>
        </is>
      </c>
      <c r="G88" t="inlineStr">
        <is>
          <t>Mexico</t>
        </is>
      </c>
      <c r="H88" t="inlineStr">
        <is>
          <t>Basic Materials</t>
        </is>
      </c>
      <c r="I88" t="n">
        <v>200</v>
      </c>
      <c r="J88" t="n">
        <v>87.848</v>
      </c>
      <c r="K88" t="n">
        <v>5.81035</v>
      </c>
      <c r="L88" t="n">
        <v>-0.05169</v>
      </c>
      <c r="M88" t="n">
        <v>-0.370759</v>
      </c>
      <c r="N88" t="n">
        <v>180.180118</v>
      </c>
      <c r="O88" t="n">
        <v>5.203272079</v>
      </c>
      <c r="P88" t="n">
        <v>10</v>
      </c>
      <c r="Q88" t="inlineStr">
        <is>
          <t>One of the largest PET and PTA producers in the Americas</t>
        </is>
      </c>
      <c r="R88" t="inlineStr">
        <is>
          <t>USD</t>
        </is>
      </c>
      <c r="S88" t="inlineStr">
        <is>
          <t>Latin America</t>
        </is>
      </c>
      <c r="T88" t="inlineStr">
        <is>
          <t>BBB-</t>
        </is>
      </c>
      <c r="U88" t="inlineStr">
        <is>
          <t>BBB-</t>
        </is>
      </c>
    </row>
    <row r="89">
      <c r="A89" t="inlineStr">
        <is>
          <t>US87901JAJ43</t>
        </is>
      </c>
      <c r="B89" t="inlineStr">
        <is>
          <t>Hold</t>
        </is>
      </c>
      <c r="C89" t="inlineStr">
        <is>
          <t>Tegna Inc</t>
        </is>
      </c>
      <c r="D89" t="n">
        <v>4.625</v>
      </c>
      <c r="E89" t="inlineStr">
        <is>
          <t>Sr Unsecured</t>
        </is>
      </c>
      <c r="F89" t="inlineStr">
        <is>
          <t>15.03.2028</t>
        </is>
      </c>
      <c r="G89" t="inlineStr">
        <is>
          <t>United states</t>
        </is>
      </c>
      <c r="H89" t="inlineStr">
        <is>
          <t>Communications</t>
        </is>
      </c>
      <c r="I89" t="n">
        <v>2</v>
      </c>
      <c r="J89" t="n">
        <v>97.35299999999999</v>
      </c>
      <c r="K89" t="n">
        <v>5.698433</v>
      </c>
      <c r="L89" t="n">
        <v>-0.004773</v>
      </c>
      <c r="M89" t="n">
        <v>-0.170433</v>
      </c>
      <c r="N89" t="n">
        <v>180.0618935</v>
      </c>
      <c r="O89" t="n">
        <v>2.751688882</v>
      </c>
      <c r="P89" t="n">
        <v>25</v>
      </c>
      <c r="Q89" t="inlineStr">
        <is>
          <t>a broadcasting, digital media and marketing services company</t>
        </is>
      </c>
      <c r="R89" t="inlineStr">
        <is>
          <t>USD</t>
        </is>
      </c>
      <c r="S89" t="inlineStr">
        <is>
          <t>High Yield</t>
        </is>
      </c>
      <c r="T89" t="inlineStr">
        <is>
          <t>BB</t>
        </is>
      </c>
      <c r="U89" t="inlineStr">
        <is>
          <t>BB</t>
        </is>
      </c>
    </row>
    <row r="90">
      <c r="A90" t="inlineStr">
        <is>
          <t>US105756BB58</t>
        </is>
      </c>
      <c r="B90" t="inlineStr">
        <is>
          <t xml:space="preserve">Hold </t>
        </is>
      </c>
      <c r="C90" t="inlineStr">
        <is>
          <t>Fed Republic Of Brazil</t>
        </is>
      </c>
      <c r="D90" t="n">
        <v>8.25</v>
      </c>
      <c r="E90" t="inlineStr">
        <is>
          <t>Sr Unsecured</t>
        </is>
      </c>
      <c r="F90" t="inlineStr">
        <is>
          <t>20.01.2034</t>
        </is>
      </c>
      <c r="G90" t="inlineStr">
        <is>
          <t>Brazil</t>
        </is>
      </c>
      <c r="H90" t="inlineStr">
        <is>
          <t>Government</t>
        </is>
      </c>
      <c r="I90" t="n">
        <v>1</v>
      </c>
      <c r="J90" t="n">
        <v>114.686</v>
      </c>
      <c r="K90" t="n">
        <v>6.023098</v>
      </c>
      <c r="L90" t="n">
        <v>-0.150171</v>
      </c>
      <c r="M90" t="n">
        <v>-0.297749</v>
      </c>
      <c r="N90" t="n">
        <v>179.4062382</v>
      </c>
      <c r="O90" t="n">
        <v>6.381138427</v>
      </c>
      <c r="P90" t="n">
        <v>0</v>
      </c>
      <c r="Q90" t="inlineStr">
        <is>
          <t>Brazilian Governemnt</t>
        </is>
      </c>
      <c r="R90" t="inlineStr">
        <is>
          <t>USD</t>
        </is>
      </c>
      <c r="S90" t="inlineStr">
        <is>
          <t>Latin America</t>
        </is>
      </c>
      <c r="T90" t="inlineStr">
        <is>
          <t>BB</t>
        </is>
      </c>
      <c r="U90" t="inlineStr">
        <is>
          <t>BB</t>
        </is>
      </c>
    </row>
    <row r="91">
      <c r="A91" t="inlineStr">
        <is>
          <t>USL67359AB21</t>
        </is>
      </c>
      <c r="B91" t="inlineStr">
        <is>
          <t>Top Pick</t>
        </is>
      </c>
      <c r="C91" t="inlineStr">
        <is>
          <t>Nexa Resources Sa</t>
        </is>
      </c>
      <c r="D91" t="n">
        <v>6.75</v>
      </c>
      <c r="E91" t="inlineStr">
        <is>
          <t>Sr Unsecured</t>
        </is>
      </c>
      <c r="F91" t="inlineStr">
        <is>
          <t>09.04.2034</t>
        </is>
      </c>
      <c r="G91" t="inlineStr">
        <is>
          <t>Brazil</t>
        </is>
      </c>
      <c r="H91" t="inlineStr">
        <is>
          <t>Basic Materials</t>
        </is>
      </c>
      <c r="I91" t="n">
        <v>200</v>
      </c>
      <c r="J91" t="n">
        <v>104.618</v>
      </c>
      <c r="K91" t="n">
        <v>6.046529</v>
      </c>
      <c r="L91" t="n">
        <v>-0.025476</v>
      </c>
      <c r="M91" t="n">
        <v>-0.221303</v>
      </c>
      <c r="N91" t="n">
        <v>178.290988</v>
      </c>
      <c r="O91" t="n">
        <v>6.497300345</v>
      </c>
      <c r="P91" t="n">
        <v>30</v>
      </c>
      <c r="Q91" t="inlineStr">
        <is>
          <t xml:space="preserve">Mining company </t>
        </is>
      </c>
      <c r="R91" t="inlineStr">
        <is>
          <t>USD</t>
        </is>
      </c>
      <c r="S91" t="inlineStr">
        <is>
          <t>Latin America</t>
        </is>
      </c>
      <c r="T91" t="inlineStr">
        <is>
          <t>BBB-</t>
        </is>
      </c>
      <c r="U91" t="inlineStr">
        <is>
          <t>BBB-</t>
        </is>
      </c>
    </row>
    <row r="92">
      <c r="A92" t="inlineStr">
        <is>
          <t xml:space="preserve"> XS2744491106</t>
        </is>
      </c>
      <c r="B92" t="inlineStr">
        <is>
          <t xml:space="preserve">Hold </t>
        </is>
      </c>
      <c r="C92" t="inlineStr">
        <is>
          <t>Ford Motor Credit Co Llc</t>
        </is>
      </c>
      <c r="D92" t="n">
        <v>5.625</v>
      </c>
      <c r="E92" t="inlineStr">
        <is>
          <t>Sr Unsecured</t>
        </is>
      </c>
      <c r="F92" t="inlineStr">
        <is>
          <t>09.10.2028</t>
        </is>
      </c>
      <c r="G92" t="inlineStr">
        <is>
          <t>United states</t>
        </is>
      </c>
      <c r="H92" t="inlineStr">
        <is>
          <t>Consumer, Cyclical</t>
        </is>
      </c>
      <c r="I92" t="n">
        <v>100</v>
      </c>
      <c r="J92" t="n">
        <v>99.971</v>
      </c>
      <c r="K92" t="n">
        <v>5.548502</v>
      </c>
      <c r="L92" t="n">
        <v>-0.027205</v>
      </c>
      <c r="M92" t="n">
        <v>-0.260873</v>
      </c>
      <c r="N92" t="n">
        <v>178.1543047</v>
      </c>
      <c r="O92" t="n">
        <v>3.134103484</v>
      </c>
      <c r="P92" t="n">
        <v>0</v>
      </c>
      <c r="Q92" t="inlineStr">
        <is>
          <t>Global automotive manufacturer</t>
        </is>
      </c>
      <c r="R92" t="inlineStr">
        <is>
          <t>GBP</t>
        </is>
      </c>
      <c r="S92" t="inlineStr">
        <is>
          <t>Investment Grade</t>
        </is>
      </c>
      <c r="T92" t="inlineStr">
        <is>
          <t>BB+</t>
        </is>
      </c>
      <c r="U92" t="inlineStr">
        <is>
          <t>BB+</t>
        </is>
      </c>
    </row>
    <row r="93">
      <c r="A93" t="inlineStr">
        <is>
          <t>USU85861AE97</t>
        </is>
      </c>
      <c r="B93" t="inlineStr">
        <is>
          <t>Hold</t>
        </is>
      </c>
      <c r="C93" t="inlineStr">
        <is>
          <t>Stellantis Fin Us Inc</t>
        </is>
      </c>
      <c r="D93" t="n">
        <v>6.375</v>
      </c>
      <c r="E93" t="inlineStr">
        <is>
          <t>Sr Unsecured</t>
        </is>
      </c>
      <c r="F93" t="inlineStr">
        <is>
          <t>12.09.2032</t>
        </is>
      </c>
      <c r="G93" t="inlineStr">
        <is>
          <t>United states</t>
        </is>
      </c>
      <c r="H93" t="inlineStr">
        <is>
          <t>Consumer, Cyclical</t>
        </is>
      </c>
      <c r="I93" t="n">
        <v>200</v>
      </c>
      <c r="J93" t="n">
        <v>102.608</v>
      </c>
      <c r="K93" t="n">
        <v>5.910342</v>
      </c>
      <c r="L93" t="n">
        <v>-0.033149</v>
      </c>
      <c r="M93" t="n">
        <v>-0.257</v>
      </c>
      <c r="N93" t="n">
        <v>176.9881946</v>
      </c>
      <c r="O93" t="n">
        <v>5.646385402</v>
      </c>
      <c r="P93" t="n">
        <v>75</v>
      </c>
      <c r="Q93" t="inlineStr">
        <is>
          <t>Developer and Manufacturer of automotive products</t>
        </is>
      </c>
      <c r="R93" t="inlineStr">
        <is>
          <t>USD</t>
        </is>
      </c>
      <c r="S93" t="inlineStr">
        <is>
          <t>Investment Grade</t>
        </is>
      </c>
      <c r="T93" t="inlineStr">
        <is>
          <t>BBB</t>
        </is>
      </c>
      <c r="U93" t="inlineStr">
        <is>
          <t>BBB+</t>
        </is>
      </c>
    </row>
    <row r="94">
      <c r="A94" t="inlineStr">
        <is>
          <t>XS2954187378</t>
        </is>
      </c>
      <c r="B94" t="inlineStr">
        <is>
          <t xml:space="preserve">Top Pick </t>
        </is>
      </c>
      <c r="C94" t="inlineStr">
        <is>
          <t>Asmodee Group Ab</t>
        </is>
      </c>
      <c r="D94" t="n">
        <v>5.75</v>
      </c>
      <c r="E94" t="inlineStr">
        <is>
          <t>Secured</t>
        </is>
      </c>
      <c r="F94" t="inlineStr">
        <is>
          <t>15.12.2029</t>
        </is>
      </c>
      <c r="G94" t="inlineStr">
        <is>
          <t>Sweden</t>
        </is>
      </c>
      <c r="H94" t="inlineStr">
        <is>
          <t>Technology</t>
        </is>
      </c>
      <c r="I94" t="n">
        <v>100</v>
      </c>
      <c r="J94" t="n">
        <v>105.061</v>
      </c>
      <c r="K94" t="n">
        <v>4.07891</v>
      </c>
      <c r="L94" t="n">
        <v>-0.173413</v>
      </c>
      <c r="M94" t="n">
        <v>0.003392</v>
      </c>
      <c r="N94" t="n">
        <v>176.7473474</v>
      </c>
      <c r="O94" t="n">
        <v>2.558442062</v>
      </c>
      <c r="P94" t="n">
        <v>0</v>
      </c>
      <c r="Q94" t="inlineStr">
        <is>
          <t xml:space="preserve">Europe's leading board games company   </t>
        </is>
      </c>
      <c r="R94" t="inlineStr">
        <is>
          <t>EUR</t>
        </is>
      </c>
      <c r="S94" t="inlineStr">
        <is>
          <t>High Yield</t>
        </is>
      </c>
      <c r="T94" t="inlineStr">
        <is>
          <t>B+</t>
        </is>
      </c>
      <c r="U94" t="inlineStr">
        <is>
          <t>B</t>
        </is>
      </c>
    </row>
    <row r="95">
      <c r="A95" t="inlineStr">
        <is>
          <t>USQ3919KAN11</t>
        </is>
      </c>
      <c r="B95" t="inlineStr">
        <is>
          <t>Hold</t>
        </is>
      </c>
      <c r="C95" t="inlineStr">
        <is>
          <t>Fmg Resources Aug 2006</t>
        </is>
      </c>
      <c r="D95" t="n">
        <v>4.375</v>
      </c>
      <c r="E95" t="inlineStr">
        <is>
          <t>Sr Unsecured</t>
        </is>
      </c>
      <c r="F95" t="inlineStr">
        <is>
          <t>01.04.2031</t>
        </is>
      </c>
      <c r="G95" t="inlineStr">
        <is>
          <t>Australia</t>
        </is>
      </c>
      <c r="H95" t="inlineStr">
        <is>
          <t>Basic Materials</t>
        </is>
      </c>
      <c r="I95" t="n">
        <v>2</v>
      </c>
      <c r="J95" t="n">
        <v>93.20999999999999</v>
      </c>
      <c r="K95" t="n">
        <v>5.782293</v>
      </c>
      <c r="L95" t="n">
        <v>-0.06764000000000001</v>
      </c>
      <c r="M95" t="n">
        <v>-0.30673</v>
      </c>
      <c r="N95" t="n">
        <v>176.5514227</v>
      </c>
      <c r="O95" t="n">
        <v>5.13898583</v>
      </c>
      <c r="P95" t="n">
        <v>15</v>
      </c>
      <c r="Q95" t="inlineStr">
        <is>
          <t xml:space="preserve">Iron ore producer and explorer operating in the Western Australia. </t>
        </is>
      </c>
      <c r="R95" t="inlineStr">
        <is>
          <t>USD</t>
        </is>
      </c>
      <c r="S95" t="inlineStr">
        <is>
          <t>High Yield</t>
        </is>
      </c>
      <c r="T95" t="inlineStr">
        <is>
          <t>BB+</t>
        </is>
      </c>
      <c r="U95" t="inlineStr">
        <is>
          <t>BB+</t>
        </is>
      </c>
    </row>
    <row r="96">
      <c r="A96" t="inlineStr">
        <is>
          <t>XS2355149316</t>
        </is>
      </c>
      <c r="B96" t="inlineStr">
        <is>
          <t>Top pick</t>
        </is>
      </c>
      <c r="C96" t="inlineStr">
        <is>
          <t>Office Cherifien Des Pho</t>
        </is>
      </c>
      <c r="D96" t="n">
        <v>3.75</v>
      </c>
      <c r="E96" t="inlineStr">
        <is>
          <t>Sr Unsecured</t>
        </is>
      </c>
      <c r="F96" t="inlineStr">
        <is>
          <t>23.06.2031</t>
        </is>
      </c>
      <c r="G96" t="inlineStr">
        <is>
          <t>Morocco</t>
        </is>
      </c>
      <c r="H96" t="inlineStr">
        <is>
          <t>Basic Materials</t>
        </is>
      </c>
      <c r="I96" t="n">
        <v>200</v>
      </c>
      <c r="J96" t="n">
        <v>89.849</v>
      </c>
      <c r="K96" t="n">
        <v>5.788902</v>
      </c>
      <c r="L96" t="n">
        <v>-0.043937</v>
      </c>
      <c r="M96" t="n">
        <v>-0.234765</v>
      </c>
      <c r="N96" t="n">
        <v>175.3141624</v>
      </c>
      <c r="O96" t="n">
        <v>5.432645783</v>
      </c>
      <c r="P96" t="n">
        <v>0</v>
      </c>
      <c r="Q96" t="inlineStr">
        <is>
          <t xml:space="preserve">Moroccan state-owned fertiliser company </t>
        </is>
      </c>
      <c r="R96" t="inlineStr">
        <is>
          <t>USD</t>
        </is>
      </c>
      <c r="S96" t="inlineStr">
        <is>
          <t>High Yield</t>
        </is>
      </c>
      <c r="T96" t="inlineStr">
        <is>
          <t>BB+</t>
        </is>
      </c>
      <c r="U96" t="inlineStr">
        <is>
          <t>BB+</t>
        </is>
      </c>
    </row>
    <row r="97">
      <c r="A97" t="inlineStr">
        <is>
          <t>USP3691NBM13</t>
        </is>
      </c>
      <c r="B97" t="inlineStr">
        <is>
          <t xml:space="preserve">Hold </t>
        </is>
      </c>
      <c r="C97" t="inlineStr">
        <is>
          <t>El Puerto De Liverpool</t>
        </is>
      </c>
      <c r="D97" t="n">
        <v>6.658</v>
      </c>
      <c r="E97" t="inlineStr">
        <is>
          <t>Sr Unsecured</t>
        </is>
      </c>
      <c r="F97" t="inlineStr">
        <is>
          <t>22.01.2037</t>
        </is>
      </c>
      <c r="G97" t="inlineStr">
        <is>
          <t>Mexico</t>
        </is>
      </c>
      <c r="H97" t="inlineStr">
        <is>
          <t>Consumer, Cyclical</t>
        </is>
      </c>
      <c r="I97" t="n">
        <v>200</v>
      </c>
      <c r="J97" t="n">
        <v>103.677</v>
      </c>
      <c r="K97" t="n">
        <v>6.200603</v>
      </c>
      <c r="L97" t="n">
        <v>-0.064457</v>
      </c>
      <c r="M97" t="n">
        <v>-0.274396</v>
      </c>
      <c r="N97" t="n">
        <v>172.3946443</v>
      </c>
      <c r="O97" t="n">
        <v>8.013896978</v>
      </c>
      <c r="P97" t="n">
        <v>0</v>
      </c>
      <c r="Q97" t="inlineStr">
        <is>
          <t xml:space="preserve">Department store operator and owner in Mexico </t>
        </is>
      </c>
      <c r="R97" t="inlineStr">
        <is>
          <t>USD</t>
        </is>
      </c>
      <c r="S97" t="inlineStr">
        <is>
          <t>Latin America</t>
        </is>
      </c>
      <c r="T97" t="inlineStr">
        <is>
          <t>BBB</t>
        </is>
      </c>
      <c r="U97" t="inlineStr">
        <is>
          <t>BBB</t>
        </is>
      </c>
    </row>
    <row r="98">
      <c r="A98" t="inlineStr">
        <is>
          <t>US105756BK57</t>
        </is>
      </c>
      <c r="B98" t="inlineStr">
        <is>
          <t>Hold</t>
        </is>
      </c>
      <c r="C98" t="inlineStr">
        <is>
          <t>Fed Republic Of Brazil</t>
        </is>
      </c>
      <c r="D98" t="n">
        <v>7.125</v>
      </c>
      <c r="E98" t="inlineStr">
        <is>
          <t>Sr Unsecured</t>
        </is>
      </c>
      <c r="F98" t="inlineStr">
        <is>
          <t>20.01.2037</t>
        </is>
      </c>
      <c r="G98" t="inlineStr">
        <is>
          <t>Brazil</t>
        </is>
      </c>
      <c r="H98" t="inlineStr">
        <is>
          <t>Government</t>
        </is>
      </c>
      <c r="I98" t="n">
        <v>1</v>
      </c>
      <c r="J98" t="n">
        <v>107.78</v>
      </c>
      <c r="K98" t="n">
        <v>6.1717</v>
      </c>
      <c r="L98" t="n">
        <v>-0.130649</v>
      </c>
      <c r="M98" t="n">
        <v>-0.42075</v>
      </c>
      <c r="N98" t="n">
        <v>170.9341306</v>
      </c>
      <c r="O98" t="n">
        <v>8.031789166999999</v>
      </c>
      <c r="P98" t="n">
        <v>0</v>
      </c>
      <c r="Q98" t="inlineStr">
        <is>
          <t>Brazilian Governemnt</t>
        </is>
      </c>
      <c r="R98" t="inlineStr">
        <is>
          <t>USD</t>
        </is>
      </c>
      <c r="S98" t="inlineStr">
        <is>
          <t>Latin America</t>
        </is>
      </c>
      <c r="T98" t="inlineStr">
        <is>
          <t>BB</t>
        </is>
      </c>
      <c r="U98" t="inlineStr">
        <is>
          <t>BB</t>
        </is>
      </c>
    </row>
    <row r="99">
      <c r="A99" t="inlineStr">
        <is>
          <t>XS2201851172</t>
        </is>
      </c>
      <c r="B99" t="inlineStr">
        <is>
          <t>Hold</t>
        </is>
      </c>
      <c r="C99" t="inlineStr">
        <is>
          <t>Romania</t>
        </is>
      </c>
      <c r="D99" t="n">
        <v>3</v>
      </c>
      <c r="E99" t="inlineStr">
        <is>
          <t>Sr Unsecured</t>
        </is>
      </c>
      <c r="F99" t="inlineStr">
        <is>
          <t>14.02.2031</t>
        </is>
      </c>
      <c r="G99" t="inlineStr">
        <is>
          <t>Romania</t>
        </is>
      </c>
      <c r="H99" t="inlineStr">
        <is>
          <t>Government</t>
        </is>
      </c>
      <c r="I99" t="n">
        <v>2</v>
      </c>
      <c r="J99" t="n">
        <v>87.169</v>
      </c>
      <c r="K99" t="n">
        <v>5.709544</v>
      </c>
      <c r="L99" t="n">
        <v>-0.300009</v>
      </c>
      <c r="M99" t="n">
        <v>-0.549834</v>
      </c>
      <c r="N99" t="n">
        <v>170.3708827</v>
      </c>
      <c r="O99" t="n">
        <v>5.282385684</v>
      </c>
      <c r="P99" t="n">
        <v>85</v>
      </c>
      <c r="Q99" t="inlineStr">
        <is>
          <t>Romania government bmnd</t>
        </is>
      </c>
      <c r="R99" t="inlineStr">
        <is>
          <t>USD</t>
        </is>
      </c>
      <c r="S99" t="inlineStr">
        <is>
          <t>Investment Grade</t>
        </is>
      </c>
      <c r="T99" t="inlineStr">
        <is>
          <t>BBB-</t>
        </is>
      </c>
      <c r="U99" t="inlineStr">
        <is>
          <t>BBB-</t>
        </is>
      </c>
    </row>
    <row r="100">
      <c r="A100" t="inlineStr">
        <is>
          <t>US91087BAV27</t>
        </is>
      </c>
      <c r="B100" t="inlineStr">
        <is>
          <t>Top pick</t>
        </is>
      </c>
      <c r="C100" t="inlineStr">
        <is>
          <t>United Mexican States</t>
        </is>
      </c>
      <c r="D100" t="n">
        <v>6.35</v>
      </c>
      <c r="E100" t="inlineStr">
        <is>
          <t>Sr Unsecured</t>
        </is>
      </c>
      <c r="F100" t="inlineStr">
        <is>
          <t>09.02.2035</t>
        </is>
      </c>
      <c r="G100" t="inlineStr">
        <is>
          <t>Mexico</t>
        </is>
      </c>
      <c r="H100" t="inlineStr">
        <is>
          <t>Government</t>
        </is>
      </c>
      <c r="I100" t="n">
        <v>200</v>
      </c>
      <c r="J100" t="n">
        <v>102.409</v>
      </c>
      <c r="K100" t="n">
        <v>6.009104</v>
      </c>
      <c r="L100" t="n">
        <v>-0.061791</v>
      </c>
      <c r="M100" t="n">
        <v>-0.293045</v>
      </c>
      <c r="N100" t="n">
        <v>168.634294</v>
      </c>
      <c r="O100" t="n">
        <v>7.27734163</v>
      </c>
      <c r="P100" t="n">
        <v>60</v>
      </c>
      <c r="Q100" t="inlineStr">
        <is>
          <t>Mexican Government</t>
        </is>
      </c>
      <c r="R100" t="inlineStr">
        <is>
          <t>USD</t>
        </is>
      </c>
      <c r="S100" t="inlineStr">
        <is>
          <t>Latin America</t>
        </is>
      </c>
      <c r="T100" t="inlineStr">
        <is>
          <t>BBB-</t>
        </is>
      </c>
      <c r="U100" t="inlineStr">
        <is>
          <t>BBB-</t>
        </is>
      </c>
    </row>
    <row r="101">
      <c r="A101" t="inlineStr">
        <is>
          <t>US382550BN08</t>
        </is>
      </c>
      <c r="B101" t="inlineStr">
        <is>
          <t>Hold</t>
        </is>
      </c>
      <c r="C101" t="inlineStr">
        <is>
          <t>Goodyear Tire &amp; Rubber</t>
        </is>
      </c>
      <c r="D101" t="n">
        <v>5</v>
      </c>
      <c r="E101" t="inlineStr">
        <is>
          <t>Sr Unsecured</t>
        </is>
      </c>
      <c r="F101" t="inlineStr">
        <is>
          <t>15.07.2029</t>
        </is>
      </c>
      <c r="G101" t="inlineStr">
        <is>
          <t>United states</t>
        </is>
      </c>
      <c r="H101" t="inlineStr">
        <is>
          <t>Consumer, Cyclical</t>
        </is>
      </c>
      <c r="I101" t="n">
        <v>2</v>
      </c>
      <c r="J101" t="n">
        <v>97.872</v>
      </c>
      <c r="K101" t="n">
        <v>5.597919</v>
      </c>
      <c r="L101" t="n">
        <v>-0.182602</v>
      </c>
      <c r="M101" t="n">
        <v>-0.506236</v>
      </c>
      <c r="N101" t="n">
        <v>168.5825604</v>
      </c>
      <c r="O101" t="n">
        <v>3.849820571</v>
      </c>
      <c r="P101" t="n">
        <v>25</v>
      </c>
      <c r="Q101" t="inlineStr">
        <is>
          <t>Develops, distributes and sells tires</t>
        </is>
      </c>
      <c r="R101" t="inlineStr">
        <is>
          <t>USD</t>
        </is>
      </c>
      <c r="S101" t="inlineStr">
        <is>
          <t>High Yield</t>
        </is>
      </c>
      <c r="T101" t="inlineStr">
        <is>
          <t>B+</t>
        </is>
      </c>
      <c r="U101" t="inlineStr">
        <is>
          <t>B+</t>
        </is>
      </c>
    </row>
    <row r="102">
      <c r="A102" t="inlineStr">
        <is>
          <t>XS2767246908</t>
        </is>
      </c>
      <c r="B102" t="inlineStr">
        <is>
          <t>Top Pick</t>
        </is>
      </c>
      <c r="C102" t="inlineStr">
        <is>
          <t>Ford Motor Credit Co Llc</t>
        </is>
      </c>
      <c r="D102" t="n">
        <v>4.445</v>
      </c>
      <c r="E102" t="inlineStr">
        <is>
          <t>Sr Unsecured</t>
        </is>
      </c>
      <c r="F102" t="inlineStr">
        <is>
          <t>14.02.2030</t>
        </is>
      </c>
      <c r="G102" t="inlineStr">
        <is>
          <t>United states</t>
        </is>
      </c>
      <c r="H102" t="inlineStr">
        <is>
          <t>Consumer, Cyclical</t>
        </is>
      </c>
      <c r="I102" t="n">
        <v>100</v>
      </c>
      <c r="J102" t="n">
        <v>102.09</v>
      </c>
      <c r="K102" t="n">
        <v>3.934515</v>
      </c>
      <c r="L102" t="n">
        <v>-0.158767</v>
      </c>
      <c r="M102" t="n">
        <v>-0.102363</v>
      </c>
      <c r="N102" t="n">
        <v>168.4316339</v>
      </c>
      <c r="O102" t="n">
        <v>4.398137725</v>
      </c>
      <c r="P102" t="n">
        <v>25</v>
      </c>
      <c r="Q102" t="inlineStr">
        <is>
          <t>Global automotive manufacturer</t>
        </is>
      </c>
      <c r="R102" t="inlineStr">
        <is>
          <t>EUR</t>
        </is>
      </c>
      <c r="S102" t="inlineStr">
        <is>
          <t>Investment Grade</t>
        </is>
      </c>
      <c r="T102" t="inlineStr">
        <is>
          <t>BB+</t>
        </is>
      </c>
      <c r="U102" t="inlineStr">
        <is>
          <t>BB+</t>
        </is>
      </c>
    </row>
    <row r="103">
      <c r="A103" t="inlineStr">
        <is>
          <t>USU85861AB58</t>
        </is>
      </c>
      <c r="B103" t="inlineStr">
        <is>
          <t xml:space="preserve">Hold </t>
        </is>
      </c>
      <c r="C103" t="inlineStr">
        <is>
          <t>Stellantis Fin Us Inc</t>
        </is>
      </c>
      <c r="D103" t="n">
        <v>2.691</v>
      </c>
      <c r="E103" t="inlineStr">
        <is>
          <t>Sr Unsecured</t>
        </is>
      </c>
      <c r="F103" t="inlineStr">
        <is>
          <t>15.09.2031</t>
        </is>
      </c>
      <c r="G103" t="inlineStr">
        <is>
          <t>United states</t>
        </is>
      </c>
      <c r="H103" t="inlineStr">
        <is>
          <t>Consumer, Cyclical</t>
        </is>
      </c>
      <c r="I103" t="n">
        <v>200</v>
      </c>
      <c r="J103" t="n">
        <v>84.309</v>
      </c>
      <c r="K103" t="n">
        <v>5.739342</v>
      </c>
      <c r="L103" t="n">
        <v>-0.011271</v>
      </c>
      <c r="M103" t="n">
        <v>-0.277327</v>
      </c>
      <c r="N103" t="n">
        <v>167.8062417</v>
      </c>
      <c r="O103" t="n">
        <v>5.751709256</v>
      </c>
      <c r="P103" t="n">
        <v>25</v>
      </c>
      <c r="Q103" t="inlineStr">
        <is>
          <t>Developer and Manufacturer of automotive products</t>
        </is>
      </c>
      <c r="R103" t="inlineStr">
        <is>
          <t>USD</t>
        </is>
      </c>
      <c r="S103" t="inlineStr">
        <is>
          <t>Investment Grade</t>
        </is>
      </c>
      <c r="T103" t="inlineStr">
        <is>
          <t>BBB</t>
        </is>
      </c>
      <c r="U103" t="inlineStr">
        <is>
          <t>BBB+</t>
        </is>
      </c>
    </row>
    <row r="104">
      <c r="A104" t="inlineStr">
        <is>
          <t>US05971KAL35</t>
        </is>
      </c>
      <c r="B104" t="inlineStr">
        <is>
          <t>Hold</t>
        </is>
      </c>
      <c r="C104" t="inlineStr">
        <is>
          <t>Banco Santander Sa</t>
        </is>
      </c>
      <c r="D104" t="n">
        <v>3.225</v>
      </c>
      <c r="E104" t="inlineStr">
        <is>
          <t>Subordinated</t>
        </is>
      </c>
      <c r="F104" t="inlineStr">
        <is>
          <t>22.11.2032</t>
        </is>
      </c>
      <c r="G104" t="inlineStr">
        <is>
          <t>Spain</t>
        </is>
      </c>
      <c r="H104" t="inlineStr">
        <is>
          <t>Financial</t>
        </is>
      </c>
      <c r="I104" t="n">
        <v>200</v>
      </c>
      <c r="J104" t="n">
        <v>89.29900000000001</v>
      </c>
      <c r="K104" t="n">
        <v>5.219957</v>
      </c>
      <c r="L104" t="n">
        <v>0.04307</v>
      </c>
      <c r="M104" t="n">
        <v>-0.260679</v>
      </c>
      <c r="N104" t="n">
        <v>167.1290424</v>
      </c>
      <c r="O104" t="n">
        <v>5.850624378</v>
      </c>
      <c r="P104" t="n">
        <v>50</v>
      </c>
      <c r="Q104" t="inlineStr">
        <is>
          <t>Spain's largest banking group</t>
        </is>
      </c>
      <c r="R104" t="inlineStr">
        <is>
          <t>USD</t>
        </is>
      </c>
      <c r="S104" t="inlineStr">
        <is>
          <t>Investment Grade</t>
        </is>
      </c>
      <c r="T104" t="inlineStr">
        <is>
          <t>BBB</t>
        </is>
      </c>
      <c r="U104" t="inlineStr">
        <is>
          <t>BBB</t>
        </is>
      </c>
    </row>
    <row r="105">
      <c r="A105" t="inlineStr">
        <is>
          <t>US05584KAM09</t>
        </is>
      </c>
      <c r="B105" t="inlineStr">
        <is>
          <t>Hold</t>
        </is>
      </c>
      <c r="C105" t="inlineStr">
        <is>
          <t>Bpce Sa</t>
        </is>
      </c>
      <c r="D105" t="n">
        <v>5.748</v>
      </c>
      <c r="E105" t="inlineStr">
        <is>
          <t>Sr Non Preferred</t>
        </is>
      </c>
      <c r="F105" t="inlineStr">
        <is>
          <t>19.07.2033</t>
        </is>
      </c>
      <c r="G105" t="inlineStr">
        <is>
          <t>France</t>
        </is>
      </c>
      <c r="H105" t="inlineStr">
        <is>
          <t>Financial</t>
        </is>
      </c>
      <c r="I105" t="n">
        <v>250</v>
      </c>
      <c r="J105" t="n">
        <v>102.397</v>
      </c>
      <c r="K105" t="n">
        <v>5.334206</v>
      </c>
      <c r="L105" t="n">
        <v>-0.054772</v>
      </c>
      <c r="M105" t="n">
        <v>-0.190111</v>
      </c>
      <c r="N105" t="n">
        <v>166.7484846</v>
      </c>
      <c r="O105" t="n">
        <v>5.939055216</v>
      </c>
      <c r="P105" t="n">
        <v>60</v>
      </c>
      <c r="Q105" t="inlineStr">
        <is>
          <t>One of the largest French retail banks</t>
        </is>
      </c>
      <c r="R105" t="inlineStr">
        <is>
          <t>USD</t>
        </is>
      </c>
      <c r="S105" t="inlineStr">
        <is>
          <t>Investment Grade</t>
        </is>
      </c>
      <c r="T105" t="inlineStr">
        <is>
          <t>BBB+</t>
        </is>
      </c>
      <c r="U105" t="inlineStr">
        <is>
          <t>BBB+</t>
        </is>
      </c>
    </row>
    <row r="106">
      <c r="A106" t="inlineStr">
        <is>
          <t>XS2592804194</t>
        </is>
      </c>
      <c r="B106" t="inlineStr">
        <is>
          <t>Hold</t>
        </is>
      </c>
      <c r="C106" t="inlineStr">
        <is>
          <t>Teva Pharm Fnc Nl Ii</t>
        </is>
      </c>
      <c r="D106" t="n">
        <v>7.875</v>
      </c>
      <c r="E106" t="inlineStr">
        <is>
          <t>Sr Unsecured</t>
        </is>
      </c>
      <c r="F106" t="inlineStr">
        <is>
          <t>15.09.2031</t>
        </is>
      </c>
      <c r="G106" t="inlineStr">
        <is>
          <t>Israel</t>
        </is>
      </c>
      <c r="H106" t="inlineStr">
        <is>
          <t>Consumer, Non-cyclical</t>
        </is>
      </c>
      <c r="I106" t="n">
        <v>100</v>
      </c>
      <c r="J106" t="n">
        <v>119.979</v>
      </c>
      <c r="K106" t="n">
        <v>4.093662</v>
      </c>
      <c r="L106" t="n">
        <v>-0.077168</v>
      </c>
      <c r="M106" t="n">
        <v>0.065176</v>
      </c>
      <c r="N106" t="n">
        <v>166.6044248</v>
      </c>
      <c r="O106" t="n">
        <v>4.985398916</v>
      </c>
      <c r="P106" t="n">
        <v>0</v>
      </c>
      <c r="Q106" t="inlineStr">
        <is>
          <t>Largest manufacturer of pharmaceutical generics</t>
        </is>
      </c>
      <c r="R106" t="inlineStr">
        <is>
          <t>EUR</t>
        </is>
      </c>
      <c r="S106" t="inlineStr">
        <is>
          <t>High Yield</t>
        </is>
      </c>
      <c r="T106" t="inlineStr">
        <is>
          <t>BB</t>
        </is>
      </c>
      <c r="U106" t="inlineStr">
        <is>
          <t>BB</t>
        </is>
      </c>
    </row>
    <row r="107">
      <c r="A107" t="inlineStr">
        <is>
          <t>USP2000TAE57</t>
        </is>
      </c>
      <c r="B107" t="inlineStr">
        <is>
          <t>Hold</t>
        </is>
      </c>
      <c r="C107" t="inlineStr">
        <is>
          <t>Banco Do Brasil (Cayman)</t>
        </is>
      </c>
      <c r="D107" t="n">
        <v>6</v>
      </c>
      <c r="E107" t="inlineStr">
        <is>
          <t>Sr Unsecured</t>
        </is>
      </c>
      <c r="F107" t="inlineStr">
        <is>
          <t>18.03.2031</t>
        </is>
      </c>
      <c r="G107" t="inlineStr">
        <is>
          <t>Brazil</t>
        </is>
      </c>
      <c r="H107" t="inlineStr">
        <is>
          <t>Financial</t>
        </is>
      </c>
      <c r="I107" t="n">
        <v>200</v>
      </c>
      <c r="J107" t="n">
        <v>101.627</v>
      </c>
      <c r="K107" t="n">
        <v>5.65961</v>
      </c>
      <c r="L107" t="n">
        <v>-0.047258</v>
      </c>
      <c r="M107" t="n">
        <v>-0.157792</v>
      </c>
      <c r="N107" t="n">
        <v>165.8520215</v>
      </c>
      <c r="O107" t="n">
        <v>4.906292478</v>
      </c>
      <c r="P107" t="n">
        <v>25</v>
      </c>
      <c r="Q107" t="inlineStr">
        <is>
          <t>Largest Brazilian and Latin American bank by assets</t>
        </is>
      </c>
      <c r="R107" t="inlineStr">
        <is>
          <t>USD</t>
        </is>
      </c>
      <c r="S107" t="inlineStr">
        <is>
          <t>Latin America</t>
        </is>
      </c>
      <c r="T107" t="inlineStr">
        <is>
          <t>BB</t>
        </is>
      </c>
      <c r="U107" t="inlineStr">
        <is>
          <t>BB</t>
        </is>
      </c>
    </row>
    <row r="108">
      <c r="A108" t="inlineStr">
        <is>
          <t>XS2405483301</t>
        </is>
      </c>
      <c r="B108" t="inlineStr">
        <is>
          <t>Hold</t>
        </is>
      </c>
      <c r="C108" t="inlineStr">
        <is>
          <t>Forvia Se</t>
        </is>
      </c>
      <c r="D108" t="n">
        <v>2.75</v>
      </c>
      <c r="E108" t="inlineStr">
        <is>
          <t>Sr Unsecured</t>
        </is>
      </c>
      <c r="F108" t="inlineStr">
        <is>
          <t>15.02.2027</t>
        </is>
      </c>
      <c r="G108" t="inlineStr">
        <is>
          <t>France</t>
        </is>
      </c>
      <c r="H108" t="inlineStr">
        <is>
          <t>Consumer, Cyclical</t>
        </is>
      </c>
      <c r="I108" t="n">
        <v>100</v>
      </c>
      <c r="J108" t="n">
        <v>98.893</v>
      </c>
      <c r="K108" t="n">
        <v>3.498352</v>
      </c>
      <c r="L108" t="n">
        <v>-0.23173</v>
      </c>
      <c r="M108" t="n">
        <v>-0.09501800000000001</v>
      </c>
      <c r="N108" t="n">
        <v>161.2352836</v>
      </c>
      <c r="O108" t="n">
        <v>1.888855779</v>
      </c>
      <c r="P108" t="n">
        <v>25</v>
      </c>
      <c r="Q108" t="inlineStr">
        <is>
          <t>Global automotive part manufacturer</t>
        </is>
      </c>
      <c r="R108" t="inlineStr">
        <is>
          <t>EUR</t>
        </is>
      </c>
      <c r="S108" t="inlineStr">
        <is>
          <t>High Yield</t>
        </is>
      </c>
      <c r="T108" t="inlineStr">
        <is>
          <t>BB-</t>
        </is>
      </c>
      <c r="U108" t="inlineStr">
        <is>
          <t>BB-</t>
        </is>
      </c>
    </row>
    <row r="109">
      <c r="A109" t="inlineStr">
        <is>
          <t>USP3699PGM34</t>
        </is>
      </c>
      <c r="B109" t="inlineStr">
        <is>
          <t xml:space="preserve">Hold </t>
        </is>
      </c>
      <c r="C109" t="inlineStr">
        <is>
          <t>Costa Rica Government</t>
        </is>
      </c>
      <c r="D109" t="n">
        <v>6.55</v>
      </c>
      <c r="E109" t="inlineStr">
        <is>
          <t>Sr Unsecured</t>
        </is>
      </c>
      <c r="F109" t="inlineStr">
        <is>
          <t>03.04.2034</t>
        </is>
      </c>
      <c r="G109" t="inlineStr">
        <is>
          <t>Costa Rica</t>
        </is>
      </c>
      <c r="H109" t="inlineStr">
        <is>
          <t>Government</t>
        </is>
      </c>
      <c r="I109" t="n">
        <v>200</v>
      </c>
      <c r="J109" t="n">
        <v>104.615</v>
      </c>
      <c r="K109" t="n">
        <v>5.851645</v>
      </c>
      <c r="L109" t="n">
        <v>-0.116393</v>
      </c>
      <c r="M109" t="n">
        <v>-0.240285</v>
      </c>
      <c r="N109" t="n">
        <v>161.0229826</v>
      </c>
      <c r="O109" t="n">
        <v>6.059198049</v>
      </c>
      <c r="P109" t="n">
        <v>25</v>
      </c>
      <c r="Q109" t="inlineStr">
        <is>
          <t>Costa Rica Governemnt</t>
        </is>
      </c>
      <c r="R109" t="inlineStr">
        <is>
          <t>USD</t>
        </is>
      </c>
      <c r="S109" t="inlineStr">
        <is>
          <t>Latin America</t>
        </is>
      </c>
      <c r="T109" t="inlineStr">
        <is>
          <t>BB-</t>
        </is>
      </c>
      <c r="U109" t="inlineStr">
        <is>
          <t>BB-</t>
        </is>
      </c>
    </row>
    <row r="110">
      <c r="A110" t="inlineStr">
        <is>
          <t xml:space="preserve"> FR001400RIT6</t>
        </is>
      </c>
      <c r="B110" t="inlineStr">
        <is>
          <t xml:space="preserve">Hold </t>
        </is>
      </c>
      <c r="C110" t="inlineStr">
        <is>
          <t>Itm Entreprises Sasu</t>
        </is>
      </c>
      <c r="D110" t="n">
        <v>5.75</v>
      </c>
      <c r="E110" t="inlineStr">
        <is>
          <t>Sr Unsecured</t>
        </is>
      </c>
      <c r="F110" t="inlineStr">
        <is>
          <t>22.07.2029</t>
        </is>
      </c>
      <c r="G110" t="inlineStr">
        <is>
          <t>France</t>
        </is>
      </c>
      <c r="H110" t="inlineStr">
        <is>
          <t>Consumer, Non-cyclical</t>
        </is>
      </c>
      <c r="I110" t="n">
        <v>100</v>
      </c>
      <c r="J110" t="n">
        <v>107.03</v>
      </c>
      <c r="K110" t="n">
        <v>3.728719</v>
      </c>
      <c r="L110" t="n">
        <v>0.018014</v>
      </c>
      <c r="M110" t="n">
        <v>-0.056498</v>
      </c>
      <c r="N110" t="n">
        <v>158.9190814</v>
      </c>
      <c r="O110" t="n">
        <v>3.591628297</v>
      </c>
      <c r="P110" t="n">
        <v>0</v>
      </c>
      <c r="Q110" t="inlineStr">
        <is>
          <t xml:space="preserve">Supermarket chain under Intermarche banner </t>
        </is>
      </c>
      <c r="R110" t="inlineStr">
        <is>
          <t>EUR</t>
        </is>
      </c>
      <c r="S110" t="inlineStr">
        <is>
          <t>High Yield</t>
        </is>
      </c>
      <c r="T110" t="inlineStr">
        <is>
          <t>NR</t>
        </is>
      </c>
      <c r="U110" t="inlineStr">
        <is>
          <t>NR</t>
        </is>
      </c>
    </row>
    <row r="111">
      <c r="A111" t="inlineStr">
        <is>
          <t>USP04568AC88</t>
        </is>
      </c>
      <c r="B111" t="inlineStr">
        <is>
          <t>Top Pick</t>
        </is>
      </c>
      <c r="C111" t="inlineStr">
        <is>
          <t>Arcos Dorados Bv</t>
        </is>
      </c>
      <c r="D111" t="n">
        <v>6.375</v>
      </c>
      <c r="E111" t="inlineStr">
        <is>
          <t>Sr Unsecured</t>
        </is>
      </c>
      <c r="F111" t="inlineStr">
        <is>
          <t>29.01.2032</t>
        </is>
      </c>
      <c r="G111" t="inlineStr">
        <is>
          <t>Brazil</t>
        </is>
      </c>
      <c r="H111" t="inlineStr">
        <is>
          <t>Consumer, Cyclical</t>
        </is>
      </c>
      <c r="I111" t="n">
        <v>200</v>
      </c>
      <c r="J111" t="n">
        <v>103.814</v>
      </c>
      <c r="K111" t="n">
        <v>5.65607</v>
      </c>
      <c r="L111" t="n">
        <v>-0.051082</v>
      </c>
      <c r="M111" t="n">
        <v>-0.293945</v>
      </c>
      <c r="N111" t="n">
        <v>157.0531566</v>
      </c>
      <c r="O111" t="n">
        <v>5.440644154</v>
      </c>
      <c r="P111" t="n">
        <v>0</v>
      </c>
      <c r="Q111" t="inlineStr">
        <is>
          <t>Largest MacDonald franchisee in Latin America</t>
        </is>
      </c>
      <c r="R111" t="inlineStr">
        <is>
          <t>USD</t>
        </is>
      </c>
      <c r="S111" t="inlineStr">
        <is>
          <t>Latin America</t>
        </is>
      </c>
      <c r="T111" t="inlineStr">
        <is>
          <t>BB+</t>
        </is>
      </c>
      <c r="U111" t="inlineStr">
        <is>
          <t>BB+</t>
        </is>
      </c>
    </row>
    <row r="112">
      <c r="A112" t="inlineStr">
        <is>
          <t>USA8372TAC20</t>
        </is>
      </c>
      <c r="B112" t="inlineStr">
        <is>
          <t xml:space="preserve">Hold </t>
        </is>
      </c>
      <c r="C112" t="inlineStr">
        <is>
          <t>Suzano Austria Gmbh</t>
        </is>
      </c>
      <c r="D112" t="n">
        <v>7</v>
      </c>
      <c r="E112" t="inlineStr">
        <is>
          <t>Sr Unsecured</t>
        </is>
      </c>
      <c r="F112" t="inlineStr">
        <is>
          <t>16.03.2047</t>
        </is>
      </c>
      <c r="G112" t="inlineStr">
        <is>
          <t>Brazil</t>
        </is>
      </c>
      <c r="H112" t="inlineStr">
        <is>
          <t>Basic Materials</t>
        </is>
      </c>
      <c r="I112" t="n">
        <v>200</v>
      </c>
      <c r="J112" t="n">
        <v>106.976</v>
      </c>
      <c r="K112" t="n">
        <v>6.393181</v>
      </c>
      <c r="L112" t="n">
        <v>-0.090156</v>
      </c>
      <c r="M112" t="n">
        <v>-0.268994</v>
      </c>
      <c r="N112" t="n">
        <v>156.9397817</v>
      </c>
      <c r="O112" t="n">
        <v>11.01805343</v>
      </c>
      <c r="P112" t="n">
        <v>30</v>
      </c>
      <c r="Q112" t="inlineStr">
        <is>
          <t>Manufactures paper products</t>
        </is>
      </c>
      <c r="R112" t="inlineStr">
        <is>
          <t>USD</t>
        </is>
      </c>
      <c r="S112" t="inlineStr">
        <is>
          <t>Latin America</t>
        </is>
      </c>
      <c r="T112" t="inlineStr">
        <is>
          <t>BBB-</t>
        </is>
      </c>
      <c r="U112" t="inlineStr">
        <is>
          <t>BBB-</t>
        </is>
      </c>
    </row>
    <row r="113">
      <c r="A113" t="inlineStr">
        <is>
          <t>USU05375AS64</t>
        </is>
      </c>
      <c r="B113" t="inlineStr">
        <is>
          <t>Hold</t>
        </is>
      </c>
      <c r="C113" t="inlineStr">
        <is>
          <t>Avis Budget Car/Finance</t>
        </is>
      </c>
      <c r="D113" t="n">
        <v>5.75</v>
      </c>
      <c r="E113" t="inlineStr">
        <is>
          <t>Sr Unsecured</t>
        </is>
      </c>
      <c r="F113" t="inlineStr">
        <is>
          <t>15.07.2027</t>
        </is>
      </c>
      <c r="G113" t="inlineStr">
        <is>
          <t>United states</t>
        </is>
      </c>
      <c r="H113" t="inlineStr">
        <is>
          <t>Consumer, Non-cyclical</t>
        </is>
      </c>
      <c r="I113" t="n">
        <v>2</v>
      </c>
      <c r="J113" t="n">
        <v>99.66</v>
      </c>
      <c r="K113" t="n">
        <v>5.930287</v>
      </c>
      <c r="L113" t="n">
        <v>-0.046386</v>
      </c>
      <c r="M113" t="n">
        <v>-0.47192</v>
      </c>
      <c r="N113" t="n">
        <v>156.8051228</v>
      </c>
      <c r="O113" t="n">
        <v>2.19423464</v>
      </c>
      <c r="P113" t="n">
        <v>25</v>
      </c>
      <c r="Q113" t="inlineStr">
        <is>
          <t>American car rental company</t>
        </is>
      </c>
      <c r="R113" t="inlineStr">
        <is>
          <t>USD</t>
        </is>
      </c>
      <c r="S113" t="inlineStr">
        <is>
          <t>High Yield</t>
        </is>
      </c>
      <c r="T113" t="inlineStr">
        <is>
          <t>B+</t>
        </is>
      </c>
      <c r="U113" t="inlineStr">
        <is>
          <t>B+</t>
        </is>
      </c>
    </row>
    <row r="114">
      <c r="A114" t="inlineStr">
        <is>
          <t>USL00849AA47</t>
        </is>
      </c>
      <c r="B114" t="inlineStr">
        <is>
          <t xml:space="preserve">Hold </t>
        </is>
      </c>
      <c r="C114" t="inlineStr">
        <is>
          <t>Adecoagro Sa</t>
        </is>
      </c>
      <c r="D114" t="n">
        <v>6</v>
      </c>
      <c r="E114" t="inlineStr">
        <is>
          <t>Sr Unsecured</t>
        </is>
      </c>
      <c r="F114" t="inlineStr">
        <is>
          <t>21.09.2027</t>
        </is>
      </c>
      <c r="G114" t="inlineStr">
        <is>
          <t>Brazil</t>
        </is>
      </c>
      <c r="H114" t="inlineStr">
        <is>
          <t>Consumer, Non-cyclical</t>
        </is>
      </c>
      <c r="I114" t="n">
        <v>150</v>
      </c>
      <c r="J114" t="n">
        <v>99.788</v>
      </c>
      <c r="K114" t="n">
        <v>6.098714</v>
      </c>
      <c r="L114" t="n">
        <v>-0.02198</v>
      </c>
      <c r="M114" t="n">
        <v>0.057152</v>
      </c>
      <c r="N114" t="n">
        <v>156.7323332</v>
      </c>
      <c r="O114" t="n">
        <v>2.300440993</v>
      </c>
      <c r="P114" t="n">
        <v>25</v>
      </c>
      <c r="Q114" t="inlineStr">
        <is>
          <t>Agricultural company in South America</t>
        </is>
      </c>
      <c r="R114" t="inlineStr">
        <is>
          <t>USD</t>
        </is>
      </c>
      <c r="S114" t="inlineStr">
        <is>
          <t>Latin America</t>
        </is>
      </c>
      <c r="T114" t="inlineStr">
        <is>
          <t>BB</t>
        </is>
      </c>
      <c r="U114" t="inlineStr">
        <is>
          <t>BB</t>
        </is>
      </c>
    </row>
    <row r="115">
      <c r="A115" t="inlineStr">
        <is>
          <t>XS2081474046</t>
        </is>
      </c>
      <c r="B115" t="inlineStr">
        <is>
          <t>Hold</t>
        </is>
      </c>
      <c r="C115" t="inlineStr">
        <is>
          <t>Forvia Se</t>
        </is>
      </c>
      <c r="D115" t="n">
        <v>2.375</v>
      </c>
      <c r="E115" t="inlineStr">
        <is>
          <t>Sr Unsecured</t>
        </is>
      </c>
      <c r="F115" t="inlineStr">
        <is>
          <t>15.06.2027</t>
        </is>
      </c>
      <c r="G115" t="inlineStr">
        <is>
          <t>France</t>
        </is>
      </c>
      <c r="H115" t="inlineStr">
        <is>
          <t>Consumer, Cyclical</t>
        </is>
      </c>
      <c r="I115" t="n">
        <v>100</v>
      </c>
      <c r="J115" t="n">
        <v>98.065</v>
      </c>
      <c r="K115" t="n">
        <v>3.446378</v>
      </c>
      <c r="L115" t="n">
        <v>-0.431393</v>
      </c>
      <c r="M115" t="n">
        <v>-0.307475</v>
      </c>
      <c r="N115" t="n">
        <v>156.5246138</v>
      </c>
      <c r="O115" t="n">
        <v>2.208510123</v>
      </c>
      <c r="P115" t="n">
        <v>25</v>
      </c>
      <c r="Q115" t="inlineStr">
        <is>
          <t>Global automotive part manufacturer</t>
        </is>
      </c>
      <c r="R115" t="inlineStr">
        <is>
          <t>EUR</t>
        </is>
      </c>
      <c r="S115" t="inlineStr">
        <is>
          <t>High Yield</t>
        </is>
      </c>
      <c r="T115" t="inlineStr">
        <is>
          <t>BB-</t>
        </is>
      </c>
      <c r="U115" t="inlineStr">
        <is>
          <t>BB-</t>
        </is>
      </c>
    </row>
    <row r="116">
      <c r="A116" t="inlineStr">
        <is>
          <t xml:space="preserve"> XS2777627907</t>
        </is>
      </c>
      <c r="B116" t="inlineStr">
        <is>
          <t xml:space="preserve">Hold </t>
        </is>
      </c>
      <c r="C116" t="inlineStr">
        <is>
          <t>Heathrow Funding Ltd</t>
        </is>
      </c>
      <c r="D116" t="n">
        <v>6</v>
      </c>
      <c r="E116" t="inlineStr">
        <is>
          <t>Secured</t>
        </is>
      </c>
      <c r="F116" t="inlineStr">
        <is>
          <t>05.03.2032</t>
        </is>
      </c>
      <c r="G116" t="inlineStr">
        <is>
          <t>United Kingdom</t>
        </is>
      </c>
      <c r="H116" t="inlineStr">
        <is>
          <t>Industrial</t>
        </is>
      </c>
      <c r="I116" t="n">
        <v>100</v>
      </c>
      <c r="J116" t="n">
        <v>101.066</v>
      </c>
      <c r="K116" t="n">
        <v>5.711486</v>
      </c>
      <c r="L116" t="n">
        <v>0.037885</v>
      </c>
      <c r="M116" t="n">
        <v>-0.165808</v>
      </c>
      <c r="N116" t="n">
        <v>155.8419827</v>
      </c>
      <c r="O116" t="n">
        <v>5.296094209</v>
      </c>
      <c r="P116" t="n">
        <v>60</v>
      </c>
      <c r="Q116" t="inlineStr">
        <is>
          <t>UK's largest airport</t>
        </is>
      </c>
      <c r="R116" t="inlineStr">
        <is>
          <t>GBP</t>
        </is>
      </c>
      <c r="S116" t="inlineStr">
        <is>
          <t>Investment Grade</t>
        </is>
      </c>
      <c r="T116" t="inlineStr">
        <is>
          <t>BBB-</t>
        </is>
      </c>
      <c r="U116" t="inlineStr">
        <is>
          <t>BBB-</t>
        </is>
      </c>
    </row>
    <row r="117">
      <c r="A117" t="inlineStr">
        <is>
          <t>XS2406607171</t>
        </is>
      </c>
      <c r="B117" t="inlineStr">
        <is>
          <t>Hold</t>
        </is>
      </c>
      <c r="C117" t="inlineStr">
        <is>
          <t>Teva Pharm Fnc Nl Ii</t>
        </is>
      </c>
      <c r="D117" t="n">
        <v>4.375</v>
      </c>
      <c r="E117" t="inlineStr">
        <is>
          <t>Sr Unsecured</t>
        </is>
      </c>
      <c r="F117" t="inlineStr">
        <is>
          <t>09.05.2030</t>
        </is>
      </c>
      <c r="G117" t="inlineStr">
        <is>
          <t>Israel</t>
        </is>
      </c>
      <c r="H117" t="inlineStr">
        <is>
          <t>Consumer, Non-cyclical</t>
        </is>
      </c>
      <c r="I117" t="n">
        <v>100</v>
      </c>
      <c r="J117" t="n">
        <v>102.418</v>
      </c>
      <c r="K117" t="n">
        <v>3.831318</v>
      </c>
      <c r="L117" t="n">
        <v>-0.162723</v>
      </c>
      <c r="M117" t="n">
        <v>-0.006924</v>
      </c>
      <c r="N117" t="n">
        <v>154.7085598</v>
      </c>
      <c r="O117" t="n">
        <v>4.385541983</v>
      </c>
      <c r="P117" t="n">
        <v>0</v>
      </c>
      <c r="Q117" t="inlineStr">
        <is>
          <t>Largest manufacturer of pharmaceutical generics</t>
        </is>
      </c>
      <c r="R117" t="inlineStr">
        <is>
          <t>EUR</t>
        </is>
      </c>
      <c r="S117" t="inlineStr">
        <is>
          <t>High Yield</t>
        </is>
      </c>
      <c r="T117" t="inlineStr">
        <is>
          <t>BB</t>
        </is>
      </c>
      <c r="U117" t="inlineStr">
        <is>
          <t>BB</t>
        </is>
      </c>
    </row>
    <row r="118">
      <c r="A118" t="inlineStr">
        <is>
          <t>USP98088AA83</t>
        </is>
      </c>
      <c r="B118" t="inlineStr">
        <is>
          <t xml:space="preserve">Hold </t>
        </is>
      </c>
      <c r="C118" t="inlineStr">
        <is>
          <t>Votorantim Cimentos Intl</t>
        </is>
      </c>
      <c r="D118" t="n">
        <v>7.25</v>
      </c>
      <c r="E118" t="inlineStr">
        <is>
          <t>Sr Unsecured</t>
        </is>
      </c>
      <c r="F118" t="inlineStr">
        <is>
          <t>05.04.2041</t>
        </is>
      </c>
      <c r="G118" t="inlineStr">
        <is>
          <t>Brazil</t>
        </is>
      </c>
      <c r="H118" t="inlineStr">
        <is>
          <t>Industrial</t>
        </is>
      </c>
      <c r="I118" t="n">
        <v>200</v>
      </c>
      <c r="J118" t="n">
        <v>110.126</v>
      </c>
      <c r="K118" t="n">
        <v>6.229908</v>
      </c>
      <c r="L118" t="n">
        <v>-0.032106</v>
      </c>
      <c r="M118" t="n">
        <v>-0.221969</v>
      </c>
      <c r="N118" t="n">
        <v>154.683124</v>
      </c>
      <c r="O118" t="n">
        <v>9.459404053</v>
      </c>
      <c r="P118" t="n">
        <v>10</v>
      </c>
      <c r="Q118" t="inlineStr">
        <is>
          <t>Brazil's largest industrial group</t>
        </is>
      </c>
      <c r="R118" t="inlineStr">
        <is>
          <t>USD</t>
        </is>
      </c>
      <c r="S118" t="inlineStr">
        <is>
          <t>Latin America</t>
        </is>
      </c>
      <c r="T118" t="inlineStr">
        <is>
          <t>BBB-</t>
        </is>
      </c>
      <c r="U118" t="inlineStr">
        <is>
          <t>BBB-</t>
        </is>
      </c>
    </row>
    <row r="119">
      <c r="A119" t="inlineStr">
        <is>
          <t>XS2587708624</t>
        </is>
      </c>
      <c r="B119" t="inlineStr">
        <is>
          <t xml:space="preserve">Hold </t>
        </is>
      </c>
      <c r="C119" t="inlineStr">
        <is>
          <t>Fin Dept Govt Sharjah</t>
        </is>
      </c>
      <c r="D119" t="n">
        <v>6.5</v>
      </c>
      <c r="E119" t="inlineStr">
        <is>
          <t>Sr Unsecured</t>
        </is>
      </c>
      <c r="F119" t="inlineStr">
        <is>
          <t>23.11.2032</t>
        </is>
      </c>
      <c r="G119" t="inlineStr">
        <is>
          <t>U.A.E</t>
        </is>
      </c>
      <c r="H119" t="inlineStr">
        <is>
          <t>Government</t>
        </is>
      </c>
      <c r="I119" t="n">
        <v>200</v>
      </c>
      <c r="J119" t="n">
        <v>104.825</v>
      </c>
      <c r="K119" t="n">
        <v>5.688062</v>
      </c>
      <c r="L119" t="n">
        <v>-0.060018</v>
      </c>
      <c r="M119" t="n">
        <v>-0.220637</v>
      </c>
      <c r="N119" t="n">
        <v>154.1573294</v>
      </c>
      <c r="O119" t="n">
        <v>5.967019273</v>
      </c>
      <c r="P119" t="n">
        <v>0</v>
      </c>
      <c r="Q119" t="inlineStr">
        <is>
          <t xml:space="preserve">Provides rail transportation, catering and tourism services </t>
        </is>
      </c>
      <c r="R119" t="inlineStr">
        <is>
          <t>USD</t>
        </is>
      </c>
      <c r="S119" t="inlineStr">
        <is>
          <t>Investment Grade</t>
        </is>
      </c>
      <c r="T119" t="inlineStr">
        <is>
          <t>BB+</t>
        </is>
      </c>
      <c r="U119" t="inlineStr">
        <is>
          <t>BB+</t>
        </is>
      </c>
    </row>
    <row r="120">
      <c r="A120" t="inlineStr">
        <is>
          <t>USU9094LAD02</t>
        </is>
      </c>
      <c r="B120" t="inlineStr">
        <is>
          <t>Top Pick</t>
        </is>
      </c>
      <c r="C120" t="inlineStr">
        <is>
          <t>United Airlines Inc</t>
        </is>
      </c>
      <c r="D120" t="n">
        <v>4.625</v>
      </c>
      <c r="E120" t="inlineStr">
        <is>
          <t>Secured</t>
        </is>
      </c>
      <c r="F120" t="inlineStr">
        <is>
          <t>15.04.2029</t>
        </is>
      </c>
      <c r="G120" t="inlineStr">
        <is>
          <t>United states</t>
        </is>
      </c>
      <c r="H120" t="inlineStr">
        <is>
          <t>Consumer, Cyclical</t>
        </is>
      </c>
      <c r="I120" t="n">
        <v>2</v>
      </c>
      <c r="J120" t="n">
        <v>97.233</v>
      </c>
      <c r="K120" t="n">
        <v>5.444582</v>
      </c>
      <c r="L120" t="n">
        <v>-0.054785</v>
      </c>
      <c r="M120" t="n">
        <v>-0.347208</v>
      </c>
      <c r="N120" t="n">
        <v>152.7590226</v>
      </c>
      <c r="O120" t="n">
        <v>3.650536503</v>
      </c>
      <c r="P120" t="n">
        <v>0</v>
      </c>
      <c r="Q120" t="inlineStr">
        <is>
          <t xml:space="preserve">US airline </t>
        </is>
      </c>
      <c r="R120" t="inlineStr">
        <is>
          <t>USD</t>
        </is>
      </c>
      <c r="S120" t="inlineStr">
        <is>
          <t>High Yield</t>
        </is>
      </c>
      <c r="T120" t="inlineStr">
        <is>
          <t>BB+</t>
        </is>
      </c>
      <c r="U120" t="inlineStr">
        <is>
          <t>BB+</t>
        </is>
      </c>
    </row>
    <row r="121">
      <c r="A121" t="inlineStr">
        <is>
          <t>XS2592804434</t>
        </is>
      </c>
      <c r="B121" t="inlineStr">
        <is>
          <t>Hold</t>
        </is>
      </c>
      <c r="C121" t="inlineStr">
        <is>
          <t>Teva Pharm Fnc Nl Ii</t>
        </is>
      </c>
      <c r="D121" t="n">
        <v>7.375</v>
      </c>
      <c r="E121" t="inlineStr">
        <is>
          <t>Sr Unsecured</t>
        </is>
      </c>
      <c r="F121" t="inlineStr">
        <is>
          <t>15.09.2029</t>
        </is>
      </c>
      <c r="G121" t="inlineStr">
        <is>
          <t>Israel</t>
        </is>
      </c>
      <c r="H121" t="inlineStr">
        <is>
          <t>Consumer, Non-cyclical</t>
        </is>
      </c>
      <c r="I121" t="n">
        <v>100</v>
      </c>
      <c r="J121" t="n">
        <v>113.623</v>
      </c>
      <c r="K121" t="n">
        <v>3.660208</v>
      </c>
      <c r="L121" t="n">
        <v>-0.055917</v>
      </c>
      <c r="M121" t="n">
        <v>0.133216</v>
      </c>
      <c r="N121" t="n">
        <v>151.6431138</v>
      </c>
      <c r="O121" t="n">
        <v>3.644494313</v>
      </c>
      <c r="P121" t="n">
        <v>0</v>
      </c>
      <c r="Q121" t="inlineStr">
        <is>
          <t>Largest manufacturer of pharmaceutical generics</t>
        </is>
      </c>
      <c r="R121" t="inlineStr">
        <is>
          <t>EUR</t>
        </is>
      </c>
      <c r="S121" t="inlineStr">
        <is>
          <t>High Yield</t>
        </is>
      </c>
      <c r="T121" t="inlineStr">
        <is>
          <t>BB</t>
        </is>
      </c>
      <c r="U121" t="inlineStr">
        <is>
          <t>BB</t>
        </is>
      </c>
    </row>
    <row r="122">
      <c r="A122" t="inlineStr">
        <is>
          <t>XS0630584166</t>
        </is>
      </c>
      <c r="B122" t="inlineStr">
        <is>
          <t>Hold</t>
        </is>
      </c>
      <c r="C122" t="inlineStr">
        <is>
          <t>Time Warner Cable Llc</t>
        </is>
      </c>
      <c r="D122" t="n">
        <v>5.75</v>
      </c>
      <c r="E122" t="inlineStr">
        <is>
          <t>1St Lien</t>
        </is>
      </c>
      <c r="F122" t="inlineStr">
        <is>
          <t>02.06.2031</t>
        </is>
      </c>
      <c r="G122" t="inlineStr">
        <is>
          <t>United states</t>
        </is>
      </c>
      <c r="H122" t="inlineStr">
        <is>
          <t>Communications</t>
        </is>
      </c>
      <c r="I122" t="n">
        <v>50</v>
      </c>
      <c r="J122" t="n">
        <v>100.509</v>
      </c>
      <c r="K122" t="n">
        <v>5.565803</v>
      </c>
      <c r="L122" t="n">
        <v>-0.00316</v>
      </c>
      <c r="M122" t="n">
        <v>-0.238208</v>
      </c>
      <c r="N122" t="n">
        <v>151.2872207</v>
      </c>
      <c r="O122" t="n">
        <v>4.913835672</v>
      </c>
      <c r="P122" t="n">
        <v>60</v>
      </c>
      <c r="Q122" t="inlineStr">
        <is>
          <t>provides cable television services.</t>
        </is>
      </c>
      <c r="R122" t="inlineStr">
        <is>
          <t>GBP</t>
        </is>
      </c>
      <c r="S122" t="inlineStr">
        <is>
          <t>High Yield</t>
        </is>
      </c>
      <c r="T122" t="inlineStr">
        <is>
          <t>BB+</t>
        </is>
      </c>
      <c r="U122" t="inlineStr">
        <is>
          <t>BB+</t>
        </is>
      </c>
    </row>
    <row r="123">
      <c r="A123" t="inlineStr">
        <is>
          <t>US05971BAK52</t>
        </is>
      </c>
      <c r="B123" t="inlineStr">
        <is>
          <t xml:space="preserve">Hold </t>
        </is>
      </c>
      <c r="C123" t="inlineStr">
        <is>
          <t>Banco Btg Pactual/Cayman</t>
        </is>
      </c>
      <c r="D123" t="n">
        <v>6.25</v>
      </c>
      <c r="E123" t="inlineStr">
        <is>
          <t>Sr Unsecured</t>
        </is>
      </c>
      <c r="F123" t="inlineStr">
        <is>
          <t>08.04.2029</t>
        </is>
      </c>
      <c r="G123" t="inlineStr">
        <is>
          <t>Brazil</t>
        </is>
      </c>
      <c r="H123" t="inlineStr">
        <is>
          <t>Financial</t>
        </is>
      </c>
      <c r="I123" t="n">
        <v>200</v>
      </c>
      <c r="J123" t="n">
        <v>102.799</v>
      </c>
      <c r="K123" t="n">
        <v>5.396387</v>
      </c>
      <c r="L123" t="n">
        <v>-0.004572</v>
      </c>
      <c r="M123" t="n">
        <v>-0.08358</v>
      </c>
      <c r="N123" t="n">
        <v>151.1344431</v>
      </c>
      <c r="O123" t="n">
        <v>3.463680718</v>
      </c>
      <c r="P123" t="n">
        <v>0</v>
      </c>
      <c r="Q123" t="inlineStr">
        <is>
          <t>Provides banking and investment services in Brazil</t>
        </is>
      </c>
      <c r="R123" t="inlineStr">
        <is>
          <t>USD</t>
        </is>
      </c>
      <c r="S123" t="inlineStr">
        <is>
          <t>Latin America</t>
        </is>
      </c>
      <c r="T123" t="inlineStr">
        <is>
          <t>BB</t>
        </is>
      </c>
      <c r="U123" t="inlineStr">
        <is>
          <t>BB</t>
        </is>
      </c>
    </row>
    <row r="124">
      <c r="A124" t="inlineStr">
        <is>
          <t>XS2724457457</t>
        </is>
      </c>
      <c r="B124" t="inlineStr">
        <is>
          <t xml:space="preserve">Hold </t>
        </is>
      </c>
      <c r="C124" t="inlineStr">
        <is>
          <t>Ford Motor Credit Co Llc</t>
        </is>
      </c>
      <c r="D124" t="n">
        <v>5.125</v>
      </c>
      <c r="E124" t="inlineStr">
        <is>
          <t>Sr Unsecured</t>
        </is>
      </c>
      <c r="F124" t="inlineStr">
        <is>
          <t>20.02.2029</t>
        </is>
      </c>
      <c r="G124" t="inlineStr">
        <is>
          <t>United states</t>
        </is>
      </c>
      <c r="H124" t="inlineStr">
        <is>
          <t>Consumer, Cyclical</t>
        </is>
      </c>
      <c r="I124" t="n">
        <v>100</v>
      </c>
      <c r="J124" t="n">
        <v>105.032</v>
      </c>
      <c r="K124" t="n">
        <v>3.61135</v>
      </c>
      <c r="L124" t="n">
        <v>-0.218216</v>
      </c>
      <c r="M124" t="n">
        <v>-0.161954</v>
      </c>
      <c r="N124" t="n">
        <v>150.8594439</v>
      </c>
      <c r="O124" t="n">
        <v>3.580366669</v>
      </c>
      <c r="P124" t="n">
        <v>25</v>
      </c>
      <c r="Q124" t="inlineStr">
        <is>
          <t>Global automotive manufacturer</t>
        </is>
      </c>
      <c r="R124" t="inlineStr">
        <is>
          <t>EUR</t>
        </is>
      </c>
      <c r="S124" t="inlineStr">
        <is>
          <t>Investment Grade</t>
        </is>
      </c>
      <c r="T124" t="inlineStr">
        <is>
          <t>BB+</t>
        </is>
      </c>
      <c r="U124" t="inlineStr">
        <is>
          <t>BB+</t>
        </is>
      </c>
    </row>
    <row r="125">
      <c r="A125" t="inlineStr">
        <is>
          <t>USL7915RAA43</t>
        </is>
      </c>
      <c r="B125" t="inlineStr">
        <is>
          <t>Top Pick</t>
        </is>
      </c>
      <c r="C125" t="inlineStr">
        <is>
          <t>Rede D'Or Finance Sarl</t>
        </is>
      </c>
      <c r="D125" t="n">
        <v>4.95</v>
      </c>
      <c r="E125" t="inlineStr">
        <is>
          <t>Sr Unsecured</t>
        </is>
      </c>
      <c r="F125" t="inlineStr">
        <is>
          <t>17.01.2028</t>
        </is>
      </c>
      <c r="G125" t="inlineStr">
        <is>
          <t>Brazil</t>
        </is>
      </c>
      <c r="H125" t="inlineStr">
        <is>
          <t>Consumer, Non-cyclical</t>
        </is>
      </c>
      <c r="I125" t="n">
        <v>200</v>
      </c>
      <c r="J125" t="n">
        <v>98.988</v>
      </c>
      <c r="K125" t="n">
        <v>5.383123</v>
      </c>
      <c r="L125" t="n">
        <v>-0.057759</v>
      </c>
      <c r="M125" t="n">
        <v>-0.08315400000000001</v>
      </c>
      <c r="N125" t="n">
        <v>149.7187733</v>
      </c>
      <c r="O125" t="n">
        <v>2.649830216</v>
      </c>
      <c r="P125" t="n">
        <v>25</v>
      </c>
      <c r="Q125" t="inlineStr">
        <is>
          <t>Provides medical and surgical hospital services</t>
        </is>
      </c>
      <c r="R125" t="inlineStr">
        <is>
          <t>USD</t>
        </is>
      </c>
      <c r="S125" t="inlineStr">
        <is>
          <t>Latin America</t>
        </is>
      </c>
      <c r="T125" t="inlineStr">
        <is>
          <t>BB+</t>
        </is>
      </c>
      <c r="U125" t="inlineStr">
        <is>
          <t>BB+</t>
        </is>
      </c>
    </row>
    <row r="126">
      <c r="A126" t="inlineStr">
        <is>
          <t>USY2R27RAB56</t>
        </is>
      </c>
      <c r="B126" t="inlineStr">
        <is>
          <t>Top pick</t>
        </is>
      </c>
      <c r="C126" t="inlineStr">
        <is>
          <t>Delhi Intl Airport</t>
        </is>
      </c>
      <c r="D126" t="n">
        <v>6.125</v>
      </c>
      <c r="E126" t="inlineStr">
        <is>
          <t>1St Lien</t>
        </is>
      </c>
      <c r="F126" t="inlineStr">
        <is>
          <t>31.10.2026</t>
        </is>
      </c>
      <c r="G126" t="inlineStr">
        <is>
          <t>India</t>
        </is>
      </c>
      <c r="H126" t="inlineStr">
        <is>
          <t>Industrial</t>
        </is>
      </c>
      <c r="I126" t="n">
        <v>200</v>
      </c>
      <c r="J126" t="n">
        <v>100.828</v>
      </c>
      <c r="K126" t="n">
        <v>5.453913</v>
      </c>
      <c r="L126" t="n">
        <v>-0.076334</v>
      </c>
      <c r="M126" t="n">
        <v>-0.138862</v>
      </c>
      <c r="N126" t="n">
        <v>149.3515078</v>
      </c>
      <c r="O126" t="n">
        <v>1.560602612</v>
      </c>
      <c r="P126" t="n">
        <v>10</v>
      </c>
      <c r="Q126" t="inlineStr">
        <is>
          <t>Buiest airport in India</t>
        </is>
      </c>
      <c r="R126" t="inlineStr">
        <is>
          <t>USD</t>
        </is>
      </c>
      <c r="S126" t="inlineStr">
        <is>
          <t>High Yield</t>
        </is>
      </c>
      <c r="T126" t="inlineStr">
        <is>
          <t>BB</t>
        </is>
      </c>
      <c r="U126" t="inlineStr">
        <is>
          <t>B+</t>
        </is>
      </c>
    </row>
    <row r="127">
      <c r="A127" t="inlineStr">
        <is>
          <t>XS2975136214</t>
        </is>
      </c>
      <c r="B127" t="inlineStr">
        <is>
          <t xml:space="preserve">Hold </t>
        </is>
      </c>
      <c r="C127" t="inlineStr">
        <is>
          <t>Barclays Plc</t>
        </is>
      </c>
      <c r="D127" t="n">
        <v>5.746</v>
      </c>
      <c r="E127" t="inlineStr">
        <is>
          <t>Sr Unsecured</t>
        </is>
      </c>
      <c r="F127" t="inlineStr">
        <is>
          <t>31.07.2032</t>
        </is>
      </c>
      <c r="G127" t="inlineStr">
        <is>
          <t>United Kingdom</t>
        </is>
      </c>
      <c r="H127" t="inlineStr">
        <is>
          <t>Financial</t>
        </is>
      </c>
      <c r="I127" t="n">
        <v>100</v>
      </c>
      <c r="J127" t="n">
        <v>102.312</v>
      </c>
      <c r="K127" t="n">
        <v>5.192021</v>
      </c>
      <c r="L127" t="n">
        <v>-0.081952</v>
      </c>
      <c r="M127" t="n">
        <v>-0.346033</v>
      </c>
      <c r="N127" t="n">
        <v>148.8407433</v>
      </c>
      <c r="O127" t="n">
        <v>5.256482749</v>
      </c>
      <c r="P127" t="n">
        <v>0</v>
      </c>
      <c r="Q127" t="inlineStr">
        <is>
          <t xml:space="preserve">One of the largest UK banks </t>
        </is>
      </c>
      <c r="R127" t="inlineStr">
        <is>
          <t>GBP</t>
        </is>
      </c>
      <c r="S127" t="inlineStr">
        <is>
          <t>Investment Grade</t>
        </is>
      </c>
      <c r="T127" t="inlineStr">
        <is>
          <t>BBB+</t>
        </is>
      </c>
      <c r="U127" t="inlineStr">
        <is>
          <t>BBB+</t>
        </is>
      </c>
    </row>
    <row r="128">
      <c r="A128" t="inlineStr">
        <is>
          <t>XS2431029441</t>
        </is>
      </c>
      <c r="B128" t="inlineStr">
        <is>
          <t>Hold</t>
        </is>
      </c>
      <c r="C128" t="inlineStr">
        <is>
          <t>Axa Sa</t>
        </is>
      </c>
      <c r="D128" t="n">
        <v>1.875</v>
      </c>
      <c r="E128" t="inlineStr">
        <is>
          <t>Subordinated</t>
        </is>
      </c>
      <c r="F128" t="inlineStr">
        <is>
          <t>10.07.2042</t>
        </is>
      </c>
      <c r="G128" t="inlineStr">
        <is>
          <t>France</t>
        </is>
      </c>
      <c r="H128" t="inlineStr">
        <is>
          <t>Financial</t>
        </is>
      </c>
      <c r="I128" t="n">
        <v>100</v>
      </c>
      <c r="J128" t="n">
        <v>89.53</v>
      </c>
      <c r="K128" t="n">
        <v>3.592715</v>
      </c>
      <c r="L128" t="n">
        <v>-0.07750899999999999</v>
      </c>
      <c r="M128" t="n">
        <v>-0.124003</v>
      </c>
      <c r="N128" t="n">
        <v>147.4254761</v>
      </c>
      <c r="O128" t="n">
        <v>6.591161507</v>
      </c>
      <c r="P128" t="n">
        <v>50</v>
      </c>
      <c r="Q128" t="inlineStr">
        <is>
          <t>Global insurance group</t>
        </is>
      </c>
      <c r="R128" t="inlineStr">
        <is>
          <t>EUR</t>
        </is>
      </c>
      <c r="S128" t="inlineStr">
        <is>
          <t>Investment Grade</t>
        </is>
      </c>
      <c r="T128" t="inlineStr">
        <is>
          <t>A-</t>
        </is>
      </c>
      <c r="U128" t="inlineStr">
        <is>
          <t>A-</t>
        </is>
      </c>
    </row>
    <row r="129">
      <c r="A129" t="inlineStr">
        <is>
          <t>XS0556373347</t>
        </is>
      </c>
      <c r="B129" t="inlineStr">
        <is>
          <t>Hold</t>
        </is>
      </c>
      <c r="C129" t="inlineStr">
        <is>
          <t>Cosan Overseas Ltd</t>
        </is>
      </c>
      <c r="D129" t="n">
        <v>8.25</v>
      </c>
      <c r="E129" t="inlineStr">
        <is>
          <t>Sr Unsecured</t>
        </is>
      </c>
      <c r="F129" t="n">
        <v>46752</v>
      </c>
      <c r="G129" t="inlineStr">
        <is>
          <t>Brazil</t>
        </is>
      </c>
      <c r="H129" t="inlineStr">
        <is>
          <t>Energy</t>
        </is>
      </c>
      <c r="I129" t="n">
        <v>100</v>
      </c>
      <c r="J129" t="n">
        <v>100.532</v>
      </c>
      <c r="K129" t="n">
        <v>6.610807</v>
      </c>
      <c r="L129" t="n">
        <v>3.307967</v>
      </c>
      <c r="M129" t="n">
        <v>-0.547609</v>
      </c>
      <c r="N129" t="n">
        <v>146.7538295</v>
      </c>
      <c r="O129" t="n">
        <v>0.197942834</v>
      </c>
      <c r="P129" t="n">
        <v>0</v>
      </c>
      <c r="Q129" t="inlineStr">
        <is>
          <t xml:space="preserve">Brazilian producer in  bioethanol, sugar and energy </t>
        </is>
      </c>
      <c r="R129" t="inlineStr">
        <is>
          <t>USD</t>
        </is>
      </c>
      <c r="S129" t="inlineStr">
        <is>
          <t>Latin America</t>
        </is>
      </c>
      <c r="T129" t="inlineStr">
        <is>
          <t>BB</t>
        </is>
      </c>
      <c r="U129" t="inlineStr">
        <is>
          <t>BB</t>
        </is>
      </c>
    </row>
    <row r="130">
      <c r="A130" t="inlineStr">
        <is>
          <t>USP04568AB06</t>
        </is>
      </c>
      <c r="B130" t="inlineStr">
        <is>
          <t>Top Pick</t>
        </is>
      </c>
      <c r="C130" t="inlineStr">
        <is>
          <t>Arcos Dorados Bv</t>
        </is>
      </c>
      <c r="D130" t="n">
        <v>6.125</v>
      </c>
      <c r="E130" t="inlineStr">
        <is>
          <t>Sr Unsecured</t>
        </is>
      </c>
      <c r="F130" t="inlineStr">
        <is>
          <t>27.05.2029</t>
        </is>
      </c>
      <c r="G130" t="inlineStr">
        <is>
          <t>Brazil</t>
        </is>
      </c>
      <c r="H130" t="inlineStr">
        <is>
          <t>Consumer, Cyclical</t>
        </is>
      </c>
      <c r="I130" t="n">
        <v>200</v>
      </c>
      <c r="J130" t="n">
        <v>101.439</v>
      </c>
      <c r="K130" t="n">
        <v>5.575504</v>
      </c>
      <c r="L130" t="n">
        <v>0.059752</v>
      </c>
      <c r="M130" t="n">
        <v>-0.238129</v>
      </c>
      <c r="N130" t="n">
        <v>146.4266578</v>
      </c>
      <c r="O130" t="n">
        <v>2.892662627</v>
      </c>
      <c r="P130" t="n">
        <v>0</v>
      </c>
      <c r="Q130" t="inlineStr">
        <is>
          <t>Largest MacDonald franchisee in Latin America</t>
        </is>
      </c>
      <c r="R130" t="inlineStr">
        <is>
          <t>USD</t>
        </is>
      </c>
      <c r="S130" t="inlineStr">
        <is>
          <t>Latin America</t>
        </is>
      </c>
      <c r="T130" t="inlineStr">
        <is>
          <t>BB+</t>
        </is>
      </c>
      <c r="U130" t="inlineStr">
        <is>
          <t>BB+</t>
        </is>
      </c>
    </row>
    <row r="131">
      <c r="A131" t="inlineStr">
        <is>
          <t>US05947LBB36</t>
        </is>
      </c>
      <c r="B131" t="inlineStr">
        <is>
          <t>Top Pick</t>
        </is>
      </c>
      <c r="C131" t="inlineStr">
        <is>
          <t>Banco Bradesco (Cayman)</t>
        </is>
      </c>
      <c r="D131" t="n">
        <v>6.5</v>
      </c>
      <c r="E131" t="inlineStr">
        <is>
          <t>Sr Unsecured</t>
        </is>
      </c>
      <c r="F131" t="inlineStr">
        <is>
          <t>22.01.2030</t>
        </is>
      </c>
      <c r="G131" t="inlineStr">
        <is>
          <t>Brazil</t>
        </is>
      </c>
      <c r="H131" t="inlineStr">
        <is>
          <t>Financial</t>
        </is>
      </c>
      <c r="I131" t="n">
        <v>200</v>
      </c>
      <c r="J131" t="n">
        <v>104.489</v>
      </c>
      <c r="K131" t="n">
        <v>5.371717</v>
      </c>
      <c r="L131" t="n">
        <v>-0.002948</v>
      </c>
      <c r="M131" t="n">
        <v>-0.135452</v>
      </c>
      <c r="N131" t="n">
        <v>145.9320121</v>
      </c>
      <c r="O131" t="n">
        <v>4.160838039</v>
      </c>
      <c r="P131" t="n">
        <v>0</v>
      </c>
      <c r="Q131" t="inlineStr">
        <is>
          <t>One of the largest banks in Spain</t>
        </is>
      </c>
      <c r="R131" t="inlineStr">
        <is>
          <t>USD</t>
        </is>
      </c>
      <c r="S131" t="inlineStr">
        <is>
          <t>Latin America</t>
        </is>
      </c>
      <c r="T131" t="inlineStr">
        <is>
          <t>BB</t>
        </is>
      </c>
      <c r="U131" t="inlineStr">
        <is>
          <t>BB+</t>
        </is>
      </c>
    </row>
    <row r="132">
      <c r="A132" t="inlineStr">
        <is>
          <t>USU1022EAF52</t>
        </is>
      </c>
      <c r="B132" t="inlineStr">
        <is>
          <t>Hold</t>
        </is>
      </c>
      <c r="C132" t="inlineStr">
        <is>
          <t>Boyd Gaming Corp</t>
        </is>
      </c>
      <c r="D132" t="n">
        <v>4.75</v>
      </c>
      <c r="E132" t="inlineStr">
        <is>
          <t>Sr Unsecured</t>
        </is>
      </c>
      <c r="F132" t="inlineStr">
        <is>
          <t>15.06.2031</t>
        </is>
      </c>
      <c r="G132" t="inlineStr">
        <is>
          <t>United states</t>
        </is>
      </c>
      <c r="H132" t="inlineStr">
        <is>
          <t>Consumer, Cyclical</t>
        </is>
      </c>
      <c r="I132" t="n">
        <v>2</v>
      </c>
      <c r="J132" t="n">
        <v>95.624</v>
      </c>
      <c r="K132" t="n">
        <v>5.627014</v>
      </c>
      <c r="L132" t="n">
        <v>-0.000802</v>
      </c>
      <c r="M132" t="n">
        <v>-0.225768</v>
      </c>
      <c r="N132" t="n">
        <v>145.6454254</v>
      </c>
      <c r="O132" t="n">
        <v>5.223185654</v>
      </c>
      <c r="P132" t="n">
        <v>25</v>
      </c>
      <c r="Q132" t="inlineStr">
        <is>
          <t>A casino entertainment</t>
        </is>
      </c>
      <c r="R132" t="inlineStr">
        <is>
          <t>USD</t>
        </is>
      </c>
      <c r="S132" t="inlineStr">
        <is>
          <t>High Yield</t>
        </is>
      </c>
      <c r="T132" t="inlineStr">
        <is>
          <t>BB-</t>
        </is>
      </c>
      <c r="U132" t="inlineStr">
        <is>
          <t>BB-</t>
        </is>
      </c>
    </row>
    <row r="133">
      <c r="A133" t="inlineStr">
        <is>
          <t>USH42097DT18</t>
        </is>
      </c>
      <c r="B133" t="inlineStr">
        <is>
          <t xml:space="preserve">Hold </t>
        </is>
      </c>
      <c r="C133" t="inlineStr">
        <is>
          <t>Ubs Group Ag</t>
        </is>
      </c>
      <c r="D133" t="n">
        <v>5.959</v>
      </c>
      <c r="E133" t="inlineStr">
        <is>
          <t>Sr Unsecured</t>
        </is>
      </c>
      <c r="F133" t="inlineStr">
        <is>
          <t>12.01.2034</t>
        </is>
      </c>
      <c r="G133" t="inlineStr">
        <is>
          <t>Switzerland</t>
        </is>
      </c>
      <c r="H133" t="inlineStr">
        <is>
          <t>Financial</t>
        </is>
      </c>
      <c r="I133" t="n">
        <v>200</v>
      </c>
      <c r="J133" t="n">
        <v>105.003</v>
      </c>
      <c r="K133" t="n">
        <v>5.14724</v>
      </c>
      <c r="L133" t="n">
        <v>-0.024911</v>
      </c>
      <c r="M133" t="n">
        <v>-0.194086</v>
      </c>
      <c r="N133" t="n">
        <v>145.3052629</v>
      </c>
      <c r="O133" t="n">
        <v>6.230711032</v>
      </c>
      <c r="P133" t="n">
        <v>25</v>
      </c>
      <c r="Q133" t="inlineStr">
        <is>
          <t>Largest bank of Switzerland</t>
        </is>
      </c>
      <c r="R133" t="inlineStr">
        <is>
          <t>USD</t>
        </is>
      </c>
      <c r="S133" t="inlineStr">
        <is>
          <t>Investment Grade</t>
        </is>
      </c>
      <c r="T133" t="inlineStr">
        <is>
          <t>A-</t>
        </is>
      </c>
      <c r="U133" t="inlineStr">
        <is>
          <t>A-</t>
        </is>
      </c>
    </row>
    <row r="134">
      <c r="A134" t="inlineStr">
        <is>
          <t>USG2440JAG07</t>
        </is>
      </c>
      <c r="B134" t="inlineStr">
        <is>
          <t xml:space="preserve">Hold </t>
        </is>
      </c>
      <c r="C134" t="inlineStr">
        <is>
          <t>Gusap Iii Lp</t>
        </is>
      </c>
      <c r="D134" t="n">
        <v>7.25</v>
      </c>
      <c r="E134" t="inlineStr">
        <is>
          <t>Sr Unsecured</t>
        </is>
      </c>
      <c r="F134" t="inlineStr">
        <is>
          <t>16.04.2044</t>
        </is>
      </c>
      <c r="G134" t="inlineStr">
        <is>
          <t>Brazil</t>
        </is>
      </c>
      <c r="H134" t="inlineStr">
        <is>
          <t>Basic Materials</t>
        </is>
      </c>
      <c r="I134" t="n">
        <v>200</v>
      </c>
      <c r="J134" t="n">
        <v>110.896</v>
      </c>
      <c r="K134" t="n">
        <v>6.240776</v>
      </c>
      <c r="L134" t="n">
        <v>-0.009039</v>
      </c>
      <c r="M134" t="n">
        <v>-0.175371</v>
      </c>
      <c r="N134" t="n">
        <v>145.2781736</v>
      </c>
      <c r="O134" t="n">
        <v>10.32556855</v>
      </c>
      <c r="P134" t="n">
        <v>25</v>
      </c>
      <c r="Q134" t="inlineStr">
        <is>
          <t>Leading producer of steel in the Americas</t>
        </is>
      </c>
      <c r="R134" t="inlineStr">
        <is>
          <t>USD</t>
        </is>
      </c>
      <c r="S134" t="inlineStr">
        <is>
          <t>Latin America</t>
        </is>
      </c>
      <c r="T134" t="inlineStr">
        <is>
          <t>BBB</t>
        </is>
      </c>
      <c r="U134" t="inlineStr">
        <is>
          <t>BBB</t>
        </is>
      </c>
    </row>
    <row r="135">
      <c r="A135" t="inlineStr">
        <is>
          <t>XS2984222989</t>
        </is>
      </c>
      <c r="B135" t="inlineStr">
        <is>
          <t xml:space="preserve">Hold </t>
        </is>
      </c>
      <c r="C135" t="inlineStr">
        <is>
          <t>Banco Santander Sa</t>
        </is>
      </c>
      <c r="D135" t="n">
        <v>5.625</v>
      </c>
      <c r="E135" t="inlineStr">
        <is>
          <t>Sr Non Preferred</t>
        </is>
      </c>
      <c r="F135" t="inlineStr">
        <is>
          <t>27.01.2031</t>
        </is>
      </c>
      <c r="G135" t="inlineStr">
        <is>
          <t>Spain</t>
        </is>
      </c>
      <c r="H135" t="inlineStr">
        <is>
          <t>Financial</t>
        </is>
      </c>
      <c r="I135" t="n">
        <v>100</v>
      </c>
      <c r="J135" t="n">
        <v>101.893</v>
      </c>
      <c r="K135" t="n">
        <v>5.055578</v>
      </c>
      <c r="L135" t="n">
        <v>-0.030085</v>
      </c>
      <c r="M135" t="n">
        <v>-0.23169</v>
      </c>
      <c r="N135" t="n">
        <v>144.9762132</v>
      </c>
      <c r="O135" t="n">
        <v>4.195622827</v>
      </c>
      <c r="P135" t="n">
        <v>0</v>
      </c>
      <c r="Q135" t="inlineStr">
        <is>
          <t>Spain's largest banking group</t>
        </is>
      </c>
      <c r="R135" t="inlineStr">
        <is>
          <t>GBP</t>
        </is>
      </c>
      <c r="S135" t="inlineStr">
        <is>
          <t>Investment Grade</t>
        </is>
      </c>
      <c r="T135" t="inlineStr">
        <is>
          <t>A-</t>
        </is>
      </c>
      <c r="U135" t="inlineStr">
        <is>
          <t>A-</t>
        </is>
      </c>
    </row>
    <row r="136">
      <c r="A136" t="inlineStr">
        <is>
          <t>XS2802883731</t>
        </is>
      </c>
      <c r="B136" t="inlineStr">
        <is>
          <t xml:space="preserve">Hold </t>
        </is>
      </c>
      <c r="C136" t="inlineStr">
        <is>
          <t>Dufry One Bv</t>
        </is>
      </c>
      <c r="D136" t="n">
        <v>4.75</v>
      </c>
      <c r="E136" t="inlineStr">
        <is>
          <t>Sr Unsecured</t>
        </is>
      </c>
      <c r="F136" t="inlineStr">
        <is>
          <t>18.04.2031</t>
        </is>
      </c>
      <c r="G136" t="inlineStr">
        <is>
          <t>Switzerland</t>
        </is>
      </c>
      <c r="H136" t="inlineStr">
        <is>
          <t>Consumer, Cyclical</t>
        </is>
      </c>
      <c r="I136" t="n">
        <v>100</v>
      </c>
      <c r="J136" t="n">
        <v>102.9</v>
      </c>
      <c r="K136" t="n">
        <v>3.952821</v>
      </c>
      <c r="L136" t="n">
        <v>-0.038697</v>
      </c>
      <c r="M136" t="n">
        <v>0.049395</v>
      </c>
      <c r="N136" t="n">
        <v>144.8708327</v>
      </c>
      <c r="O136" t="n">
        <v>3.698572012</v>
      </c>
      <c r="P136" t="n">
        <v>25</v>
      </c>
      <c r="Q136" t="inlineStr">
        <is>
          <t>World's biggest airport retailer</t>
        </is>
      </c>
      <c r="R136" t="inlineStr">
        <is>
          <t>EUR</t>
        </is>
      </c>
      <c r="S136" t="inlineStr">
        <is>
          <t>High Yield</t>
        </is>
      </c>
      <c r="T136" t="inlineStr">
        <is>
          <t>NR</t>
        </is>
      </c>
      <c r="U136" t="inlineStr">
        <is>
          <t>NR</t>
        </is>
      </c>
    </row>
    <row r="137">
      <c r="A137" t="inlineStr">
        <is>
          <t>USP30179BQ04</t>
        </is>
      </c>
      <c r="B137" t="inlineStr">
        <is>
          <t>Top pick</t>
        </is>
      </c>
      <c r="C137" t="inlineStr">
        <is>
          <t>Comision Federal De Elec</t>
        </is>
      </c>
      <c r="D137" t="n">
        <v>4.688</v>
      </c>
      <c r="E137" t="inlineStr">
        <is>
          <t>Sr Unsecured</t>
        </is>
      </c>
      <c r="F137" t="inlineStr">
        <is>
          <t>15.05.2029</t>
        </is>
      </c>
      <c r="G137" t="inlineStr">
        <is>
          <t>Mexico</t>
        </is>
      </c>
      <c r="H137" t="inlineStr">
        <is>
          <t>Utilities</t>
        </is>
      </c>
      <c r="I137" t="n">
        <v>200</v>
      </c>
      <c r="J137" t="n">
        <v>97.745</v>
      </c>
      <c r="K137" t="n">
        <v>5.341327</v>
      </c>
      <c r="L137" t="n">
        <v>0.000621</v>
      </c>
      <c r="M137" t="n">
        <v>-0.183382</v>
      </c>
      <c r="N137" t="n">
        <v>144.5848859</v>
      </c>
      <c r="O137" t="n">
        <v>3.714768422</v>
      </c>
      <c r="P137" t="n">
        <v>60</v>
      </c>
      <c r="Q137" t="inlineStr">
        <is>
          <t>Generates and distributes electricity.</t>
        </is>
      </c>
      <c r="R137" t="inlineStr">
        <is>
          <t>USD</t>
        </is>
      </c>
      <c r="S137" t="inlineStr">
        <is>
          <t>Latin America</t>
        </is>
      </c>
      <c r="T137" t="inlineStr">
        <is>
          <t>BBB-</t>
        </is>
      </c>
      <c r="U137" t="inlineStr">
        <is>
          <t>BBB-</t>
        </is>
      </c>
    </row>
    <row r="138">
      <c r="A138" t="inlineStr">
        <is>
          <t>US38141GC449</t>
        </is>
      </c>
      <c r="B138" t="inlineStr">
        <is>
          <t xml:space="preserve">Hold </t>
        </is>
      </c>
      <c r="C138" t="inlineStr">
        <is>
          <t>Goldman Sachs Group Inc</t>
        </is>
      </c>
      <c r="D138" t="n">
        <v>5.536</v>
      </c>
      <c r="E138" t="inlineStr">
        <is>
          <t>Sr Unsecured</t>
        </is>
      </c>
      <c r="F138" t="inlineStr">
        <is>
          <t>28.01.2036</t>
        </is>
      </c>
      <c r="G138" t="inlineStr">
        <is>
          <t>United states</t>
        </is>
      </c>
      <c r="H138" t="inlineStr">
        <is>
          <t>Financial</t>
        </is>
      </c>
      <c r="I138" t="n">
        <v>1</v>
      </c>
      <c r="J138" t="n">
        <v>102.27</v>
      </c>
      <c r="K138" t="n">
        <v>5.230643</v>
      </c>
      <c r="L138" t="n">
        <v>-0.037273</v>
      </c>
      <c r="M138" t="n">
        <v>-0.186455</v>
      </c>
      <c r="N138" t="n">
        <v>143.7278333</v>
      </c>
      <c r="O138" t="n">
        <v>7.544387692</v>
      </c>
      <c r="P138" t="n">
        <v>0</v>
      </c>
      <c r="Q138" t="inlineStr">
        <is>
          <t>One of the largest US investment banks</t>
        </is>
      </c>
      <c r="R138" t="inlineStr">
        <is>
          <t>USD</t>
        </is>
      </c>
      <c r="S138" t="inlineStr">
        <is>
          <t>Investment Grade</t>
        </is>
      </c>
      <c r="T138" t="inlineStr">
        <is>
          <t>A-</t>
        </is>
      </c>
      <c r="U138" t="inlineStr">
        <is>
          <t>A-</t>
        </is>
      </c>
    </row>
    <row r="139">
      <c r="A139" t="inlineStr">
        <is>
          <t>FR001400Q6Z9</t>
        </is>
      </c>
      <c r="B139" t="inlineStr">
        <is>
          <t>Top Pick</t>
        </is>
      </c>
      <c r="C139" t="inlineStr">
        <is>
          <t>Air France-Klm</t>
        </is>
      </c>
      <c r="D139" t="n">
        <v>4.625</v>
      </c>
      <c r="E139" t="inlineStr">
        <is>
          <t>Sr Unsecured</t>
        </is>
      </c>
      <c r="F139" t="inlineStr">
        <is>
          <t>23.05.2029</t>
        </is>
      </c>
      <c r="G139" t="inlineStr">
        <is>
          <t>France</t>
        </is>
      </c>
      <c r="H139" t="inlineStr">
        <is>
          <t>Consumer, Cyclical</t>
        </is>
      </c>
      <c r="I139" t="n">
        <v>100</v>
      </c>
      <c r="J139" t="n">
        <v>103.608</v>
      </c>
      <c r="K139" t="n">
        <v>3.548669</v>
      </c>
      <c r="L139" t="n">
        <v>-0.073328</v>
      </c>
      <c r="M139" t="n">
        <v>0.105508</v>
      </c>
      <c r="N139" t="n">
        <v>141.8665764</v>
      </c>
      <c r="O139" t="n">
        <v>3.49279237</v>
      </c>
      <c r="P139" t="n">
        <v>25</v>
      </c>
      <c r="Q139" t="inlineStr">
        <is>
          <t>Offers air transportation services</t>
        </is>
      </c>
      <c r="R139" t="inlineStr">
        <is>
          <t>EUR</t>
        </is>
      </c>
      <c r="S139" t="inlineStr">
        <is>
          <t>High Yield</t>
        </is>
      </c>
      <c r="T139" t="inlineStr">
        <is>
          <t>BB+</t>
        </is>
      </c>
      <c r="U139" t="inlineStr">
        <is>
          <t>BB+</t>
        </is>
      </c>
    </row>
    <row r="140">
      <c r="A140" t="inlineStr">
        <is>
          <t xml:space="preserve"> XS2434515313</t>
        </is>
      </c>
      <c r="B140" t="inlineStr">
        <is>
          <t xml:space="preserve">Hold </t>
        </is>
      </c>
      <c r="C140" t="inlineStr">
        <is>
          <t>Coca-Cola Icecek As</t>
        </is>
      </c>
      <c r="D140" t="n">
        <v>4.5</v>
      </c>
      <c r="E140" t="inlineStr">
        <is>
          <t>Sr Unsecured</t>
        </is>
      </c>
      <c r="F140" t="inlineStr">
        <is>
          <t>20.01.2029</t>
        </is>
      </c>
      <c r="G140" t="inlineStr">
        <is>
          <t>Turkey</t>
        </is>
      </c>
      <c r="H140" t="inlineStr">
        <is>
          <t>Consumer, Non-cyclical</t>
        </is>
      </c>
      <c r="I140" t="n">
        <v>200</v>
      </c>
      <c r="J140" t="n">
        <v>97.43300000000001</v>
      </c>
      <c r="K140" t="n">
        <v>5.306356</v>
      </c>
      <c r="L140" t="n">
        <v>-0.057566</v>
      </c>
      <c r="M140" t="n">
        <v>-0.227373</v>
      </c>
      <c r="N140" t="n">
        <v>141.7623886</v>
      </c>
      <c r="O140" t="n">
        <v>3.499252475</v>
      </c>
      <c r="P140" t="n">
        <v>25</v>
      </c>
      <c r="Q140" t="inlineStr">
        <is>
          <t>Coca-Cola's top ten largest bottler</t>
        </is>
      </c>
      <c r="R140" t="inlineStr">
        <is>
          <t>USD</t>
        </is>
      </c>
      <c r="S140" t="inlineStr">
        <is>
          <t>Investment Grade</t>
        </is>
      </c>
      <c r="T140" t="inlineStr">
        <is>
          <t>BBB-</t>
        </is>
      </c>
      <c r="U140" t="inlineStr">
        <is>
          <t>BBB-</t>
        </is>
      </c>
    </row>
    <row r="141">
      <c r="A141" t="inlineStr">
        <is>
          <t>US88167AAR23</t>
        </is>
      </c>
      <c r="B141" t="inlineStr">
        <is>
          <t>Hold</t>
        </is>
      </c>
      <c r="C141" t="inlineStr">
        <is>
          <t>Teva Pharmaceuticals Ne</t>
        </is>
      </c>
      <c r="D141" t="n">
        <v>8.125</v>
      </c>
      <c r="E141" t="inlineStr">
        <is>
          <t>Sr Unsecured</t>
        </is>
      </c>
      <c r="F141" t="inlineStr">
        <is>
          <t>15.09.2031</t>
        </is>
      </c>
      <c r="G141" t="inlineStr">
        <is>
          <t>Israel</t>
        </is>
      </c>
      <c r="H141" t="inlineStr">
        <is>
          <t>Consumer, Non-cyclical</t>
        </is>
      </c>
      <c r="I141" t="n">
        <v>200</v>
      </c>
      <c r="J141" t="n">
        <v>113.463</v>
      </c>
      <c r="K141" t="n">
        <v>5.440035</v>
      </c>
      <c r="L141" t="n">
        <v>-0.088975</v>
      </c>
      <c r="M141" t="n">
        <v>-0.39012</v>
      </c>
      <c r="N141" t="n">
        <v>140.3460112</v>
      </c>
      <c r="O141" t="n">
        <v>4.846689371</v>
      </c>
      <c r="P141" t="n">
        <v>0</v>
      </c>
      <c r="Q141" t="inlineStr">
        <is>
          <t>Largest manufacturer of pharmaceutical generics</t>
        </is>
      </c>
      <c r="R141" t="inlineStr">
        <is>
          <t>USD</t>
        </is>
      </c>
      <c r="S141" t="inlineStr">
        <is>
          <t>High Yield</t>
        </is>
      </c>
      <c r="T141" t="inlineStr">
        <is>
          <t>BB</t>
        </is>
      </c>
      <c r="U141" t="inlineStr">
        <is>
          <t>BB</t>
        </is>
      </c>
    </row>
    <row r="142">
      <c r="A142" t="inlineStr">
        <is>
          <t>XS2393518597</t>
        </is>
      </c>
      <c r="B142" t="inlineStr">
        <is>
          <t>Hold</t>
        </is>
      </c>
      <c r="C142" t="inlineStr">
        <is>
          <t>Banco Santander Sa</t>
        </is>
      </c>
      <c r="D142" t="n">
        <v>2.25</v>
      </c>
      <c r="E142" t="inlineStr">
        <is>
          <t>Subordinated</t>
        </is>
      </c>
      <c r="F142" t="inlineStr">
        <is>
          <t>04.10.2032</t>
        </is>
      </c>
      <c r="G142" t="inlineStr">
        <is>
          <t>Spain</t>
        </is>
      </c>
      <c r="H142" t="inlineStr">
        <is>
          <t>Financial</t>
        </is>
      </c>
      <c r="I142" t="n">
        <v>100</v>
      </c>
      <c r="J142" t="n">
        <v>94.825</v>
      </c>
      <c r="K142" t="n">
        <v>4.681603</v>
      </c>
      <c r="L142" t="n">
        <v>-0.130485</v>
      </c>
      <c r="M142" t="n">
        <v>-0.40167</v>
      </c>
      <c r="N142" t="n">
        <v>140.2558772</v>
      </c>
      <c r="O142" t="n">
        <v>2.413135434</v>
      </c>
      <c r="P142" t="n">
        <v>50</v>
      </c>
      <c r="Q142" t="inlineStr">
        <is>
          <t>Spain's largest banking group</t>
        </is>
      </c>
      <c r="R142" t="inlineStr">
        <is>
          <t>GBP</t>
        </is>
      </c>
      <c r="S142" t="inlineStr">
        <is>
          <t>Investment Grade</t>
        </is>
      </c>
      <c r="T142" t="inlineStr">
        <is>
          <t>BBB</t>
        </is>
      </c>
      <c r="U142" t="inlineStr">
        <is>
          <t>BBB</t>
        </is>
      </c>
    </row>
    <row r="143">
      <c r="A143" t="inlineStr">
        <is>
          <t>US345397C270</t>
        </is>
      </c>
      <c r="B143" t="inlineStr">
        <is>
          <t>Top Pick</t>
        </is>
      </c>
      <c r="C143" t="inlineStr">
        <is>
          <t>Ford Motor Credit Co Llc</t>
        </is>
      </c>
      <c r="D143" t="n">
        <v>4.95</v>
      </c>
      <c r="E143" t="inlineStr">
        <is>
          <t>Sr Unsecured</t>
        </is>
      </c>
      <c r="F143" t="inlineStr">
        <is>
          <t>28.05.2027</t>
        </is>
      </c>
      <c r="G143" t="inlineStr">
        <is>
          <t>United states</t>
        </is>
      </c>
      <c r="H143" t="inlineStr">
        <is>
          <t>Consumer, Cyclical</t>
        </is>
      </c>
      <c r="I143" t="n">
        <v>200</v>
      </c>
      <c r="J143" t="n">
        <v>99.39100000000001</v>
      </c>
      <c r="K143" t="n">
        <v>5.289892</v>
      </c>
      <c r="L143" t="n">
        <v>-0.053381</v>
      </c>
      <c r="M143" t="n">
        <v>-0.514147</v>
      </c>
      <c r="N143" t="n">
        <v>140.0721171</v>
      </c>
      <c r="O143" t="n">
        <v>2.092944959</v>
      </c>
      <c r="P143" t="n">
        <v>25</v>
      </c>
      <c r="Q143" t="inlineStr">
        <is>
          <t>Global automotive manufacturer</t>
        </is>
      </c>
      <c r="R143" t="inlineStr">
        <is>
          <t>USD</t>
        </is>
      </c>
      <c r="S143" t="inlineStr">
        <is>
          <t>Investment Grade</t>
        </is>
      </c>
      <c r="T143" t="inlineStr">
        <is>
          <t>BB+</t>
        </is>
      </c>
      <c r="U143" t="inlineStr">
        <is>
          <t>BB+</t>
        </is>
      </c>
    </row>
    <row r="144">
      <c r="A144" t="inlineStr">
        <is>
          <t>USP3691NBL30</t>
        </is>
      </c>
      <c r="B144" t="inlineStr">
        <is>
          <t xml:space="preserve">Hold </t>
        </is>
      </c>
      <c r="C144" t="inlineStr">
        <is>
          <t>El Puerto De Liverpool</t>
        </is>
      </c>
      <c r="D144" t="n">
        <v>6.255</v>
      </c>
      <c r="E144" t="inlineStr">
        <is>
          <t>Sr Unsecured</t>
        </is>
      </c>
      <c r="F144" t="inlineStr">
        <is>
          <t>22.01.2032</t>
        </is>
      </c>
      <c r="G144" t="inlineStr">
        <is>
          <t>Mexico</t>
        </is>
      </c>
      <c r="H144" t="inlineStr">
        <is>
          <t>Consumer, Cyclical</t>
        </is>
      </c>
      <c r="I144" t="n">
        <v>200</v>
      </c>
      <c r="J144" t="n">
        <v>104.103</v>
      </c>
      <c r="K144" t="n">
        <v>5.483956</v>
      </c>
      <c r="L144" t="n">
        <v>-0.051269</v>
      </c>
      <c r="M144" t="n">
        <v>-0.247795</v>
      </c>
      <c r="N144" t="n">
        <v>139.9430102</v>
      </c>
      <c r="O144" t="n">
        <v>5.427456091</v>
      </c>
      <c r="P144" t="n">
        <v>0</v>
      </c>
      <c r="Q144" t="inlineStr">
        <is>
          <t xml:space="preserve">Department store operator and owner in Mexico </t>
        </is>
      </c>
      <c r="R144" t="inlineStr">
        <is>
          <t>USD</t>
        </is>
      </c>
      <c r="S144" t="inlineStr">
        <is>
          <t>Latin America</t>
        </is>
      </c>
      <c r="T144" t="inlineStr">
        <is>
          <t>BBB</t>
        </is>
      </c>
      <c r="U144" t="inlineStr">
        <is>
          <t>BBB</t>
        </is>
      </c>
    </row>
    <row r="145">
      <c r="A145" t="inlineStr">
        <is>
          <t>FR001400KKX9</t>
        </is>
      </c>
      <c r="B145" t="inlineStr">
        <is>
          <t>Hold</t>
        </is>
      </c>
      <c r="C145" t="inlineStr">
        <is>
          <t>Tikehau Capital Sca</t>
        </is>
      </c>
      <c r="D145" t="n">
        <v>6.625</v>
      </c>
      <c r="E145" t="inlineStr">
        <is>
          <t>Sr Unsecured</t>
        </is>
      </c>
      <c r="F145" t="inlineStr">
        <is>
          <t>14.03.2030</t>
        </is>
      </c>
      <c r="G145" t="inlineStr">
        <is>
          <t>France</t>
        </is>
      </c>
      <c r="H145" t="inlineStr">
        <is>
          <t>Financial</t>
        </is>
      </c>
      <c r="I145" t="n">
        <v>100</v>
      </c>
      <c r="J145" t="n">
        <v>112.086</v>
      </c>
      <c r="K145" t="n">
        <v>3.623288</v>
      </c>
      <c r="L145" t="n">
        <v>-0.140751</v>
      </c>
      <c r="M145" t="n">
        <v>-0.201522</v>
      </c>
      <c r="N145" t="n">
        <v>139.9022855</v>
      </c>
      <c r="O145" t="n">
        <v>3.933552171</v>
      </c>
      <c r="P145" t="n">
        <v>60</v>
      </c>
      <c r="Q145" t="inlineStr">
        <is>
          <t>Operates as an asset management and investment company</t>
        </is>
      </c>
      <c r="R145" t="inlineStr">
        <is>
          <t>EUR</t>
        </is>
      </c>
      <c r="S145" t="inlineStr">
        <is>
          <t>Investment Grade</t>
        </is>
      </c>
      <c r="T145" t="inlineStr">
        <is>
          <t>BBB-</t>
        </is>
      </c>
      <c r="U145" t="inlineStr">
        <is>
          <t>BBB-</t>
        </is>
      </c>
    </row>
    <row r="146">
      <c r="A146" t="inlineStr">
        <is>
          <t>XS2010026487</t>
        </is>
      </c>
      <c r="B146" t="inlineStr">
        <is>
          <t xml:space="preserve">Hold </t>
        </is>
      </c>
      <c r="C146" t="inlineStr">
        <is>
          <t>Hungary</t>
        </is>
      </c>
      <c r="D146" t="n">
        <v>5.5</v>
      </c>
      <c r="E146" t="inlineStr">
        <is>
          <t>Sr Unsecured</t>
        </is>
      </c>
      <c r="F146" t="inlineStr">
        <is>
          <t>16.06.2034</t>
        </is>
      </c>
      <c r="G146" t="inlineStr">
        <is>
          <t>Hungary</t>
        </is>
      </c>
      <c r="H146" t="inlineStr">
        <is>
          <t>Government</t>
        </is>
      </c>
      <c r="I146" t="n">
        <v>200</v>
      </c>
      <c r="J146" t="n">
        <v>98.836</v>
      </c>
      <c r="K146" t="n">
        <v>5.667269</v>
      </c>
      <c r="L146" t="n">
        <v>-0.149687</v>
      </c>
      <c r="M146" t="n">
        <v>-0.160148</v>
      </c>
      <c r="N146" t="n">
        <v>139.1341797</v>
      </c>
      <c r="O146" t="n">
        <v>7.09271215</v>
      </c>
      <c r="P146" t="n">
        <v>85</v>
      </c>
      <c r="Q146" t="inlineStr">
        <is>
          <t>Hungary government bnnd</t>
        </is>
      </c>
      <c r="R146" t="inlineStr">
        <is>
          <t>USD</t>
        </is>
      </c>
      <c r="S146" t="inlineStr">
        <is>
          <t>Investment Grade</t>
        </is>
      </c>
      <c r="T146" t="inlineStr">
        <is>
          <t>BBB-</t>
        </is>
      </c>
      <c r="U146" t="inlineStr">
        <is>
          <t>BBB-</t>
        </is>
      </c>
    </row>
    <row r="147">
      <c r="A147" t="inlineStr">
        <is>
          <t>USP3772WAK82</t>
        </is>
      </c>
      <c r="B147" t="inlineStr">
        <is>
          <t>Hold</t>
        </is>
      </c>
      <c r="C147" t="inlineStr">
        <is>
          <t>Banco Do Brasil (Cayman)</t>
        </is>
      </c>
      <c r="D147" t="n">
        <v>4.875</v>
      </c>
      <c r="E147" t="inlineStr">
        <is>
          <t>Sr Unsecured</t>
        </is>
      </c>
      <c r="F147" t="inlineStr">
        <is>
          <t>11.01.2029</t>
        </is>
      </c>
      <c r="G147" t="inlineStr">
        <is>
          <t>Brazil</t>
        </is>
      </c>
      <c r="H147" t="inlineStr">
        <is>
          <t>Financial</t>
        </is>
      </c>
      <c r="I147" t="n">
        <v>200</v>
      </c>
      <c r="J147" t="n">
        <v>98.77800000000001</v>
      </c>
      <c r="K147" t="n">
        <v>5.260988</v>
      </c>
      <c r="L147" t="n">
        <v>-0.05014</v>
      </c>
      <c r="M147" t="n">
        <v>-0.129974</v>
      </c>
      <c r="N147" t="n">
        <v>139.1111512</v>
      </c>
      <c r="O147" t="n">
        <v>3.467594685</v>
      </c>
      <c r="P147" t="n">
        <v>25</v>
      </c>
      <c r="Q147" t="inlineStr">
        <is>
          <t>Largest Brazilian and Latin American bank by assets</t>
        </is>
      </c>
      <c r="R147" t="inlineStr">
        <is>
          <t>USD</t>
        </is>
      </c>
      <c r="S147" t="inlineStr">
        <is>
          <t>Latin America</t>
        </is>
      </c>
      <c r="T147" t="inlineStr">
        <is>
          <t>BB</t>
        </is>
      </c>
      <c r="U147" t="inlineStr">
        <is>
          <t>BB</t>
        </is>
      </c>
    </row>
    <row r="148">
      <c r="A148" t="inlineStr">
        <is>
          <t>XS2580270275</t>
        </is>
      </c>
      <c r="B148" t="inlineStr">
        <is>
          <t>Hold</t>
        </is>
      </c>
      <c r="C148" t="inlineStr">
        <is>
          <t>Republic Of Serbia</t>
        </is>
      </c>
      <c r="D148" t="n">
        <v>6.5</v>
      </c>
      <c r="E148" t="inlineStr">
        <is>
          <t>Sr Unsecured</t>
        </is>
      </c>
      <c r="F148" t="inlineStr">
        <is>
          <t>26.09.2033</t>
        </is>
      </c>
      <c r="G148" t="inlineStr">
        <is>
          <t>Serbia</t>
        </is>
      </c>
      <c r="H148" t="inlineStr">
        <is>
          <t>Government</t>
        </is>
      </c>
      <c r="I148" t="n">
        <v>200</v>
      </c>
      <c r="J148" t="n">
        <v>105.842</v>
      </c>
      <c r="K148" t="n">
        <v>5.601295</v>
      </c>
      <c r="L148" t="n">
        <v>-0.065548</v>
      </c>
      <c r="M148" t="n">
        <v>-0.316149</v>
      </c>
      <c r="N148" t="n">
        <v>138.3412908</v>
      </c>
      <c r="O148" t="n">
        <v>6.391652369</v>
      </c>
      <c r="P148" t="n">
        <v>10</v>
      </c>
      <c r="Q148" t="inlineStr">
        <is>
          <t>Serbian government bond</t>
        </is>
      </c>
      <c r="R148" t="inlineStr">
        <is>
          <t>USD</t>
        </is>
      </c>
      <c r="S148" t="inlineStr">
        <is>
          <t>High Yield</t>
        </is>
      </c>
      <c r="T148" t="inlineStr">
        <is>
          <t>BB+</t>
        </is>
      </c>
      <c r="U148" t="inlineStr">
        <is>
          <t>BB+</t>
        </is>
      </c>
    </row>
    <row r="149">
      <c r="A149" t="inlineStr">
        <is>
          <t>USP58072AX05</t>
        </is>
      </c>
      <c r="B149" t="inlineStr">
        <is>
          <t>Hold</t>
        </is>
      </c>
      <c r="C149" t="inlineStr">
        <is>
          <t>Inversiones Cmpc Sa</t>
        </is>
      </c>
      <c r="D149" t="n">
        <v>6.125</v>
      </c>
      <c r="E149" t="inlineStr">
        <is>
          <t>Sr Unsecured</t>
        </is>
      </c>
      <c r="F149" t="inlineStr">
        <is>
          <t>23.06.2033</t>
        </is>
      </c>
      <c r="G149" t="inlineStr">
        <is>
          <t>Chile</t>
        </is>
      </c>
      <c r="H149" t="inlineStr">
        <is>
          <t>Basic Materials</t>
        </is>
      </c>
      <c r="I149" t="n">
        <v>200</v>
      </c>
      <c r="J149" t="n">
        <v>103.375</v>
      </c>
      <c r="K149" t="n">
        <v>5.58078</v>
      </c>
      <c r="L149" t="n">
        <v>-0.102669</v>
      </c>
      <c r="M149" t="n">
        <v>-0.298669</v>
      </c>
      <c r="N149" t="n">
        <v>137.0761229</v>
      </c>
      <c r="O149" t="n">
        <v>6.268548029</v>
      </c>
      <c r="P149" t="n">
        <v>60</v>
      </c>
      <c r="Q149" t="inlineStr">
        <is>
          <t xml:space="preserve"> offers production and commercialization of papers, cellulose, and tissue products</t>
        </is>
      </c>
      <c r="R149" t="inlineStr">
        <is>
          <t>USD</t>
        </is>
      </c>
      <c r="S149" t="inlineStr">
        <is>
          <t>Latin America</t>
        </is>
      </c>
      <c r="T149" t="inlineStr">
        <is>
          <t>BBB-</t>
        </is>
      </c>
      <c r="U149" t="inlineStr">
        <is>
          <t>BBB-</t>
        </is>
      </c>
    </row>
    <row r="150">
      <c r="A150" t="inlineStr">
        <is>
          <t xml:space="preserve"> USP37110AK24</t>
        </is>
      </c>
      <c r="B150" t="inlineStr">
        <is>
          <t xml:space="preserve">Hold </t>
        </is>
      </c>
      <c r="C150" t="inlineStr">
        <is>
          <t>Empresa Nacional Del Pet</t>
        </is>
      </c>
      <c r="D150" t="n">
        <v>3.75</v>
      </c>
      <c r="E150" t="inlineStr">
        <is>
          <t>Sr Unsecured</t>
        </is>
      </c>
      <c r="F150" t="inlineStr">
        <is>
          <t>05.08.2026</t>
        </is>
      </c>
      <c r="G150" t="inlineStr">
        <is>
          <t>Chile</t>
        </is>
      </c>
      <c r="H150" t="inlineStr">
        <is>
          <t>Energy</t>
        </is>
      </c>
      <c r="I150" t="n">
        <v>200</v>
      </c>
      <c r="J150" t="n">
        <v>98.322</v>
      </c>
      <c r="K150" t="n">
        <v>5.375226</v>
      </c>
      <c r="L150" t="n">
        <v>0.048445</v>
      </c>
      <c r="M150" t="n">
        <v>0.028607</v>
      </c>
      <c r="N150" t="n">
        <v>136.7186271</v>
      </c>
      <c r="O150" t="n">
        <v>1.394224152</v>
      </c>
      <c r="P150" t="n">
        <v>0</v>
      </c>
      <c r="Q150" t="inlineStr">
        <is>
          <t xml:space="preserve">State-owned energy company </t>
        </is>
      </c>
      <c r="R150" t="inlineStr">
        <is>
          <t>USD</t>
        </is>
      </c>
      <c r="S150" t="inlineStr">
        <is>
          <t>Latin America</t>
        </is>
      </c>
      <c r="T150" t="inlineStr">
        <is>
          <t>BBB-</t>
        </is>
      </c>
      <c r="U150" t="inlineStr">
        <is>
          <t>BBB-</t>
        </is>
      </c>
    </row>
    <row r="151">
      <c r="A151" t="inlineStr">
        <is>
          <t>US655422AV53</t>
        </is>
      </c>
      <c r="B151" t="inlineStr">
        <is>
          <t>Hold</t>
        </is>
      </c>
      <c r="C151" t="inlineStr">
        <is>
          <t>Glencore Canada Corp</t>
        </is>
      </c>
      <c r="D151" t="n">
        <v>6.2</v>
      </c>
      <c r="E151" t="inlineStr">
        <is>
          <t>Sr Unsecured</t>
        </is>
      </c>
      <c r="F151" t="inlineStr">
        <is>
          <t>15.06.2035</t>
        </is>
      </c>
      <c r="G151" t="inlineStr">
        <is>
          <t>Switzerland</t>
        </is>
      </c>
      <c r="H151" t="inlineStr">
        <is>
          <t>Basic Materials</t>
        </is>
      </c>
      <c r="I151" t="n">
        <v>1</v>
      </c>
      <c r="J151" t="n">
        <v>103.753</v>
      </c>
      <c r="K151" t="n">
        <v>5.699369</v>
      </c>
      <c r="L151" t="n">
        <v>-0.014942</v>
      </c>
      <c r="M151" t="n">
        <v>0.004947</v>
      </c>
      <c r="N151" t="n">
        <v>136.6761913</v>
      </c>
      <c r="O151" t="n">
        <v>7.542702578</v>
      </c>
      <c r="P151" t="n">
        <v>50</v>
      </c>
      <c r="Q151" t="inlineStr">
        <is>
          <t>Diversified natural resources company</t>
        </is>
      </c>
      <c r="R151" t="inlineStr">
        <is>
          <t>USD</t>
        </is>
      </c>
      <c r="S151" t="inlineStr">
        <is>
          <t>Investment Grade</t>
        </is>
      </c>
      <c r="T151" t="inlineStr">
        <is>
          <t>BBB+</t>
        </is>
      </c>
      <c r="U151" t="inlineStr">
        <is>
          <t>BBB+</t>
        </is>
      </c>
    </row>
    <row r="152">
      <c r="A152" t="inlineStr">
        <is>
          <t>FR001400FDC8</t>
        </is>
      </c>
      <c r="B152" t="inlineStr">
        <is>
          <t>Hold</t>
        </is>
      </c>
      <c r="C152" t="inlineStr">
        <is>
          <t>Electricite De France Sa</t>
        </is>
      </c>
      <c r="D152" t="n">
        <v>4.625</v>
      </c>
      <c r="E152" t="inlineStr">
        <is>
          <t>Sr Unsecured</t>
        </is>
      </c>
      <c r="F152" t="inlineStr">
        <is>
          <t>25.01.2043</t>
        </is>
      </c>
      <c r="G152" t="inlineStr">
        <is>
          <t>France</t>
        </is>
      </c>
      <c r="H152" t="inlineStr">
        <is>
          <t>Utilities</t>
        </is>
      </c>
      <c r="I152" t="n">
        <v>100</v>
      </c>
      <c r="J152" t="n">
        <v>100.027</v>
      </c>
      <c r="K152" t="n">
        <v>4.62058</v>
      </c>
      <c r="L152" t="n">
        <v>-0.053726</v>
      </c>
      <c r="M152" t="n">
        <v>0.056368</v>
      </c>
      <c r="N152" t="n">
        <v>135.8691349</v>
      </c>
      <c r="O152" t="n">
        <v>11.88765587</v>
      </c>
      <c r="P152" t="n">
        <v>85</v>
      </c>
      <c r="Q152" t="inlineStr">
        <is>
          <t>French utility company fully owned by the State</t>
        </is>
      </c>
      <c r="R152" t="inlineStr">
        <is>
          <t>EUR</t>
        </is>
      </c>
      <c r="S152" t="inlineStr">
        <is>
          <t>Investment Grade</t>
        </is>
      </c>
      <c r="T152" t="inlineStr">
        <is>
          <t>BBB</t>
        </is>
      </c>
      <c r="U152" t="inlineStr">
        <is>
          <t>BBB</t>
        </is>
      </c>
    </row>
    <row r="153">
      <c r="A153" t="inlineStr">
        <is>
          <t>US37045XED49</t>
        </is>
      </c>
      <c r="B153" t="inlineStr">
        <is>
          <t>Hold</t>
        </is>
      </c>
      <c r="C153" t="inlineStr">
        <is>
          <t>General Motors Finl Co</t>
        </is>
      </c>
      <c r="D153" t="n">
        <v>6.4</v>
      </c>
      <c r="E153" t="inlineStr">
        <is>
          <t>Sr Unsecured</t>
        </is>
      </c>
      <c r="F153" t="inlineStr">
        <is>
          <t>09.01.2033</t>
        </is>
      </c>
      <c r="G153" t="inlineStr">
        <is>
          <t>United states</t>
        </is>
      </c>
      <c r="H153" t="inlineStr">
        <is>
          <t>Consumer, Cyclical</t>
        </is>
      </c>
      <c r="I153" t="n">
        <v>2</v>
      </c>
      <c r="J153" t="n">
        <v>105.185</v>
      </c>
      <c r="K153" t="n">
        <v>5.523779</v>
      </c>
      <c r="L153" t="n">
        <v>-0.074415</v>
      </c>
      <c r="M153" t="n">
        <v>-0.321609</v>
      </c>
      <c r="N153" t="n">
        <v>135.6483731</v>
      </c>
      <c r="O153" t="n">
        <v>5.974005261</v>
      </c>
      <c r="P153" t="n">
        <v>60</v>
      </c>
      <c r="Q153" t="inlineStr">
        <is>
          <t>World's third largest automaker owning Chevrolet, Buick and Cadillac</t>
        </is>
      </c>
      <c r="R153" t="inlineStr">
        <is>
          <t>USD</t>
        </is>
      </c>
      <c r="S153" t="inlineStr">
        <is>
          <t>Investment Grade</t>
        </is>
      </c>
      <c r="T153" t="inlineStr">
        <is>
          <t>BBB</t>
        </is>
      </c>
      <c r="U153" t="inlineStr">
        <is>
          <t>BBB</t>
        </is>
      </c>
    </row>
    <row r="154">
      <c r="A154" t="inlineStr">
        <is>
          <t>XS2239829216</t>
        </is>
      </c>
      <c r="B154" t="inlineStr">
        <is>
          <t>Top Pick</t>
        </is>
      </c>
      <c r="C154" t="inlineStr">
        <is>
          <t>Kingdom Of Morocco</t>
        </is>
      </c>
      <c r="D154" t="n">
        <v>2</v>
      </c>
      <c r="E154" t="inlineStr">
        <is>
          <t>Sr Unsecured</t>
        </is>
      </c>
      <c r="F154" t="inlineStr">
        <is>
          <t>30.09.2030</t>
        </is>
      </c>
      <c r="G154" t="inlineStr">
        <is>
          <t>Morocco</t>
        </is>
      </c>
      <c r="H154" t="inlineStr">
        <is>
          <t>Government</t>
        </is>
      </c>
      <c r="I154" t="n">
        <v>100</v>
      </c>
      <c r="J154" t="n">
        <v>92.087</v>
      </c>
      <c r="K154" t="n">
        <v>3.692398</v>
      </c>
      <c r="L154" t="n">
        <v>-0.08537</v>
      </c>
      <c r="M154" t="n">
        <v>-0.251358</v>
      </c>
      <c r="N154" t="n">
        <v>134.5053605</v>
      </c>
      <c r="O154" t="n">
        <v>5.04008977</v>
      </c>
      <c r="P154" t="n">
        <v>0</v>
      </c>
      <c r="Q154" t="inlineStr">
        <is>
          <t>Kingdom Of Morocco</t>
        </is>
      </c>
      <c r="R154" t="inlineStr">
        <is>
          <t>EUR</t>
        </is>
      </c>
      <c r="S154" t="inlineStr">
        <is>
          <t>High Yield</t>
        </is>
      </c>
      <c r="T154" t="inlineStr">
        <is>
          <t>BB+</t>
        </is>
      </c>
      <c r="U154" t="inlineStr">
        <is>
          <t>BB+</t>
        </is>
      </c>
    </row>
    <row r="155">
      <c r="A155" t="inlineStr">
        <is>
          <t>USG0R209AA85</t>
        </is>
      </c>
      <c r="B155" t="inlineStr">
        <is>
          <t xml:space="preserve">Not accumulate </t>
        </is>
      </c>
      <c r="C155" t="inlineStr">
        <is>
          <t>American Airlines/Aadvan</t>
        </is>
      </c>
      <c r="D155" t="n">
        <v>5.5</v>
      </c>
      <c r="E155" t="inlineStr">
        <is>
          <t>1St Lien</t>
        </is>
      </c>
      <c r="F155" t="inlineStr">
        <is>
          <t>20.04.2026</t>
        </is>
      </c>
      <c r="G155" t="inlineStr">
        <is>
          <t>United states</t>
        </is>
      </c>
      <c r="H155" t="inlineStr">
        <is>
          <t>Consumer, Cyclical</t>
        </is>
      </c>
      <c r="I155" t="n">
        <v>2</v>
      </c>
      <c r="J155" t="n">
        <v>99.997</v>
      </c>
      <c r="K155" t="n">
        <v>5.539768</v>
      </c>
      <c r="L155" t="n">
        <v>-0.06873899999999999</v>
      </c>
      <c r="M155" t="n">
        <v>-0.143071</v>
      </c>
      <c r="N155" t="n">
        <v>134.2823176</v>
      </c>
      <c r="O155" t="n">
        <v>0.639491787</v>
      </c>
      <c r="P155" t="n">
        <v>25</v>
      </c>
      <c r="Q155" t="inlineStr">
        <is>
          <t>One of the largest global airlines</t>
        </is>
      </c>
      <c r="R155" t="inlineStr">
        <is>
          <t>USD</t>
        </is>
      </c>
      <c r="S155" t="inlineStr">
        <is>
          <t>High Yield</t>
        </is>
      </c>
      <c r="T155" t="inlineStr">
        <is>
          <t>BB+</t>
        </is>
      </c>
      <c r="U155" t="inlineStr">
        <is>
          <t>BB+</t>
        </is>
      </c>
    </row>
    <row r="156">
      <c r="A156" t="inlineStr">
        <is>
          <t>USL7909CAA55</t>
        </is>
      </c>
      <c r="B156" t="inlineStr">
        <is>
          <t xml:space="preserve">Hold </t>
        </is>
      </c>
      <c r="C156" t="inlineStr">
        <is>
          <t>Raizen Fuels Finance</t>
        </is>
      </c>
      <c r="D156" t="n">
        <v>5.3</v>
      </c>
      <c r="E156" t="inlineStr">
        <is>
          <t>Sr Unsecured</t>
        </is>
      </c>
      <c r="F156" t="inlineStr">
        <is>
          <t>20.01.2027</t>
        </is>
      </c>
      <c r="G156" t="inlineStr">
        <is>
          <t>Brazil</t>
        </is>
      </c>
      <c r="H156" t="inlineStr">
        <is>
          <t>Energy</t>
        </is>
      </c>
      <c r="I156" t="n">
        <v>200</v>
      </c>
      <c r="J156" t="n">
        <v>100.047</v>
      </c>
      <c r="K156" t="n">
        <v>5.264153</v>
      </c>
      <c r="L156" t="n">
        <v>0.00436</v>
      </c>
      <c r="M156" t="n">
        <v>0.045337</v>
      </c>
      <c r="N156" t="n">
        <v>134.26571</v>
      </c>
      <c r="O156" t="n">
        <v>1.793014232</v>
      </c>
      <c r="P156" t="n">
        <v>75</v>
      </c>
      <c r="Q156" t="inlineStr">
        <is>
          <t>operates as a sepcial purpose entitty</t>
        </is>
      </c>
      <c r="R156" t="inlineStr">
        <is>
          <t>USD</t>
        </is>
      </c>
      <c r="S156" t="inlineStr">
        <is>
          <t>Latin America</t>
        </is>
      </c>
      <c r="T156" t="inlineStr">
        <is>
          <t>BBB-</t>
        </is>
      </c>
      <c r="U156" t="inlineStr">
        <is>
          <t>NR</t>
        </is>
      </c>
    </row>
    <row r="157">
      <c r="A157" t="inlineStr">
        <is>
          <t>US91911TAH68</t>
        </is>
      </c>
      <c r="B157" t="inlineStr">
        <is>
          <t xml:space="preserve">Hold </t>
        </is>
      </c>
      <c r="C157" t="inlineStr">
        <is>
          <t>Vale Overseas Limited</t>
        </is>
      </c>
      <c r="D157" t="n">
        <v>6.875</v>
      </c>
      <c r="E157" t="inlineStr">
        <is>
          <t>Sr Unsecured</t>
        </is>
      </c>
      <c r="F157" t="inlineStr">
        <is>
          <t>21.11.2036</t>
        </is>
      </c>
      <c r="G157" t="inlineStr">
        <is>
          <t>Brazil</t>
        </is>
      </c>
      <c r="H157" t="inlineStr">
        <is>
          <t>Basic Materials</t>
        </is>
      </c>
      <c r="I157" t="n">
        <v>2</v>
      </c>
      <c r="J157" t="n">
        <v>108.908</v>
      </c>
      <c r="K157" t="n">
        <v>5.793237</v>
      </c>
      <c r="L157" t="n">
        <v>-0.071676</v>
      </c>
      <c r="M157" t="n">
        <v>-0.18805</v>
      </c>
      <c r="N157" t="n">
        <v>133.8342003</v>
      </c>
      <c r="O157" t="n">
        <v>8.027473304000001</v>
      </c>
      <c r="P157" t="n">
        <v>30</v>
      </c>
      <c r="Q157" t="inlineStr">
        <is>
          <t>leader in iron ore and second largest producer in nickel</t>
        </is>
      </c>
      <c r="R157" t="inlineStr">
        <is>
          <t>USD</t>
        </is>
      </c>
      <c r="S157" t="inlineStr">
        <is>
          <t>Latin America</t>
        </is>
      </c>
      <c r="T157" t="inlineStr">
        <is>
          <t>BBB-</t>
        </is>
      </c>
      <c r="U157" t="inlineStr">
        <is>
          <t>BBB-</t>
        </is>
      </c>
    </row>
    <row r="158">
      <c r="A158" t="inlineStr">
        <is>
          <t>FR001400FDG9</t>
        </is>
      </c>
      <c r="B158" t="inlineStr">
        <is>
          <t>Hold</t>
        </is>
      </c>
      <c r="C158" t="inlineStr">
        <is>
          <t>Electricite De France Sa</t>
        </is>
      </c>
      <c r="D158" t="n">
        <v>5.5</v>
      </c>
      <c r="E158" t="inlineStr">
        <is>
          <t>Sr Unsecured</t>
        </is>
      </c>
      <c r="F158" t="inlineStr">
        <is>
          <t>25.01.2035</t>
        </is>
      </c>
      <c r="G158" t="inlineStr">
        <is>
          <t>France</t>
        </is>
      </c>
      <c r="H158" t="inlineStr">
        <is>
          <t>Utilities</t>
        </is>
      </c>
      <c r="I158" t="n">
        <v>100</v>
      </c>
      <c r="J158" t="n">
        <v>97.203</v>
      </c>
      <c r="K158" t="n">
        <v>5.802348</v>
      </c>
      <c r="L158" t="n">
        <v>0.035256</v>
      </c>
      <c r="M158" t="n">
        <v>-0.103016</v>
      </c>
      <c r="N158" t="n">
        <v>133.4240787</v>
      </c>
      <c r="O158" t="n">
        <v>7.396703517</v>
      </c>
      <c r="P158" t="n">
        <v>45</v>
      </c>
      <c r="Q158" t="inlineStr">
        <is>
          <t xml:space="preserve">French utility company fully owned by the State </t>
        </is>
      </c>
      <c r="R158" t="inlineStr">
        <is>
          <t>GBP</t>
        </is>
      </c>
      <c r="S158" t="inlineStr">
        <is>
          <t>Investment Grade</t>
        </is>
      </c>
      <c r="T158" t="inlineStr">
        <is>
          <t>BBB</t>
        </is>
      </c>
      <c r="U158" t="inlineStr">
        <is>
          <t>BBB</t>
        </is>
      </c>
    </row>
    <row r="159">
      <c r="A159" t="inlineStr">
        <is>
          <t>USG3040LAA01</t>
        </is>
      </c>
      <c r="B159" t="inlineStr">
        <is>
          <t>Hold</t>
        </is>
      </c>
      <c r="C159" t="inlineStr">
        <is>
          <t>Energuate Trust</t>
        </is>
      </c>
      <c r="D159" t="n">
        <v>5.875</v>
      </c>
      <c r="E159" t="inlineStr">
        <is>
          <t>Sr Unsecured</t>
        </is>
      </c>
      <c r="F159" t="inlineStr">
        <is>
          <t>03.05.2027</t>
        </is>
      </c>
      <c r="G159" t="inlineStr">
        <is>
          <t>Guatemala</t>
        </is>
      </c>
      <c r="H159" t="inlineStr">
        <is>
          <t>Utilities</t>
        </is>
      </c>
      <c r="I159" t="n">
        <v>200</v>
      </c>
      <c r="J159" t="n">
        <v>99.944</v>
      </c>
      <c r="K159" t="n">
        <v>5.928272</v>
      </c>
      <c r="L159" t="n">
        <v>-0.085482</v>
      </c>
      <c r="M159" t="n">
        <v>-0.232214</v>
      </c>
      <c r="N159" t="n">
        <v>132.6402456</v>
      </c>
      <c r="O159" t="n">
        <v>1.997122957</v>
      </c>
      <c r="P159" t="n">
        <v>0</v>
      </c>
      <c r="Q159" t="inlineStr">
        <is>
          <t>Utility company</t>
        </is>
      </c>
      <c r="R159" t="inlineStr">
        <is>
          <t>USD</t>
        </is>
      </c>
      <c r="S159" t="inlineStr">
        <is>
          <t>Latin America</t>
        </is>
      </c>
      <c r="T159" t="inlineStr">
        <is>
          <t>BB</t>
        </is>
      </c>
      <c r="U159" t="inlineStr">
        <is>
          <t>BB</t>
        </is>
      </c>
    </row>
    <row r="160">
      <c r="A160" t="inlineStr">
        <is>
          <t>US05526DBV64</t>
        </is>
      </c>
      <c r="B160" t="inlineStr">
        <is>
          <t>Hold</t>
        </is>
      </c>
      <c r="C160" t="inlineStr">
        <is>
          <t>Bat Capital Corp</t>
        </is>
      </c>
      <c r="D160" t="n">
        <v>5.65</v>
      </c>
      <c r="E160" t="inlineStr">
        <is>
          <t>Sr Unsecured</t>
        </is>
      </c>
      <c r="F160" t="inlineStr">
        <is>
          <t>16.03.2052</t>
        </is>
      </c>
      <c r="G160" t="inlineStr">
        <is>
          <t>United Kingdom</t>
        </is>
      </c>
      <c r="H160" t="inlineStr">
        <is>
          <t>Consumer, Non-cyclical</t>
        </is>
      </c>
      <c r="I160" t="n">
        <v>2</v>
      </c>
      <c r="J160" t="n">
        <v>93.256</v>
      </c>
      <c r="K160" t="n">
        <v>6.16764</v>
      </c>
      <c r="L160" t="n">
        <v>-0.081553</v>
      </c>
      <c r="M160" t="n">
        <v>-0.157638</v>
      </c>
      <c r="N160" t="n">
        <v>131.7314704</v>
      </c>
      <c r="O160" t="n">
        <v>12.98208956</v>
      </c>
      <c r="P160" t="n">
        <v>40</v>
      </c>
      <c r="Q160" t="inlineStr">
        <is>
          <t>Tobacco company</t>
        </is>
      </c>
      <c r="R160" t="inlineStr">
        <is>
          <t>USD</t>
        </is>
      </c>
      <c r="S160" t="inlineStr">
        <is>
          <t>Investment Grade</t>
        </is>
      </c>
      <c r="T160" t="inlineStr">
        <is>
          <t>BBB+</t>
        </is>
      </c>
      <c r="U160" t="inlineStr">
        <is>
          <t>BBB+</t>
        </is>
      </c>
    </row>
    <row r="161">
      <c r="A161" t="inlineStr">
        <is>
          <t>USL9412AAA53</t>
        </is>
      </c>
      <c r="B161" t="inlineStr">
        <is>
          <t xml:space="preserve">Hold </t>
        </is>
      </c>
      <c r="C161" t="inlineStr">
        <is>
          <t>Ultrapar Internationl Sa</t>
        </is>
      </c>
      <c r="D161" t="n">
        <v>5.25</v>
      </c>
      <c r="E161" t="inlineStr">
        <is>
          <t>Sr Unsecured</t>
        </is>
      </c>
      <c r="F161" t="inlineStr">
        <is>
          <t>06.10.2026</t>
        </is>
      </c>
      <c r="G161" t="inlineStr">
        <is>
          <t>Brazil</t>
        </is>
      </c>
      <c r="H161" t="inlineStr">
        <is>
          <t>Energy</t>
        </is>
      </c>
      <c r="I161" t="n">
        <v>200</v>
      </c>
      <c r="J161" t="n">
        <v>99.955</v>
      </c>
      <c r="K161" t="n">
        <v>5.28107</v>
      </c>
      <c r="L161" t="n">
        <v>0.008116999999999999</v>
      </c>
      <c r="M161" t="n">
        <v>-0.252555</v>
      </c>
      <c r="N161" t="n">
        <v>131.5928905</v>
      </c>
      <c r="O161" t="n">
        <v>1.506856517</v>
      </c>
      <c r="P161" t="n">
        <v>15</v>
      </c>
      <c r="Q161" t="inlineStr">
        <is>
          <t xml:space="preserve">Brazilian conglomerate in energy and logistics </t>
        </is>
      </c>
      <c r="R161" t="inlineStr">
        <is>
          <t>USD</t>
        </is>
      </c>
      <c r="S161" t="inlineStr">
        <is>
          <t>Latin America</t>
        </is>
      </c>
      <c r="T161" t="inlineStr">
        <is>
          <t>BB+</t>
        </is>
      </c>
      <c r="U161" t="inlineStr">
        <is>
          <t>BB+</t>
        </is>
      </c>
    </row>
    <row r="162">
      <c r="A162" t="inlineStr">
        <is>
          <t>USL5828LAB55</t>
        </is>
      </c>
      <c r="B162" t="inlineStr">
        <is>
          <t xml:space="preserve">Hold </t>
        </is>
      </c>
      <c r="C162" t="inlineStr">
        <is>
          <t>Klabin Austria Gmbh</t>
        </is>
      </c>
      <c r="D162" t="n">
        <v>4.875</v>
      </c>
      <c r="E162" t="inlineStr">
        <is>
          <t>Sr Unsecured</t>
        </is>
      </c>
      <c r="F162" t="inlineStr">
        <is>
          <t>19.09.2027</t>
        </is>
      </c>
      <c r="G162" t="inlineStr">
        <is>
          <t>Brazil</t>
        </is>
      </c>
      <c r="H162" t="inlineStr">
        <is>
          <t>Industrial</t>
        </is>
      </c>
      <c r="I162" t="n">
        <v>200</v>
      </c>
      <c r="J162" t="n">
        <v>99.386</v>
      </c>
      <c r="K162" t="n">
        <v>5.170587</v>
      </c>
      <c r="L162" t="n">
        <v>0.005879</v>
      </c>
      <c r="M162" t="n">
        <v>-0.144018</v>
      </c>
      <c r="N162" t="n">
        <v>131.3642601</v>
      </c>
      <c r="O162" t="n">
        <v>2.341045838</v>
      </c>
      <c r="P162" t="n">
        <v>15</v>
      </c>
      <c r="Q162" t="inlineStr">
        <is>
          <t>Manufactures paper containers and packaging materials</t>
        </is>
      </c>
      <c r="R162" t="inlineStr">
        <is>
          <t>USD</t>
        </is>
      </c>
      <c r="S162" t="inlineStr">
        <is>
          <t>Latin America</t>
        </is>
      </c>
      <c r="T162" t="inlineStr">
        <is>
          <t>BB+</t>
        </is>
      </c>
      <c r="U162" t="inlineStr">
        <is>
          <t>BB+</t>
        </is>
      </c>
    </row>
    <row r="163">
      <c r="A163" t="inlineStr">
        <is>
          <t>US88167AAS06</t>
        </is>
      </c>
      <c r="B163" t="inlineStr">
        <is>
          <t>Hold</t>
        </is>
      </c>
      <c r="C163" t="inlineStr">
        <is>
          <t>Teva Pharmaceuticals Ne</t>
        </is>
      </c>
      <c r="D163" t="n">
        <v>7.875</v>
      </c>
      <c r="E163" t="inlineStr">
        <is>
          <t>Sr Unsecured</t>
        </is>
      </c>
      <c r="F163" t="inlineStr">
        <is>
          <t>15.09.2029</t>
        </is>
      </c>
      <c r="G163" t="inlineStr">
        <is>
          <t>Israel</t>
        </is>
      </c>
      <c r="H163" t="inlineStr">
        <is>
          <t>Consumer, Non-cyclical</t>
        </is>
      </c>
      <c r="I163" t="n">
        <v>200</v>
      </c>
      <c r="J163" t="n">
        <v>109.367</v>
      </c>
      <c r="K163" t="n">
        <v>5.21162</v>
      </c>
      <c r="L163" t="n">
        <v>-0.065289</v>
      </c>
      <c r="M163" t="n">
        <v>-0.304101</v>
      </c>
      <c r="N163" t="n">
        <v>131.0703999</v>
      </c>
      <c r="O163" t="n">
        <v>3.552840325</v>
      </c>
      <c r="P163" t="n">
        <v>0</v>
      </c>
      <c r="Q163" t="inlineStr">
        <is>
          <t>Largest manufacturer of pharmaceutical generics</t>
        </is>
      </c>
      <c r="R163" t="inlineStr">
        <is>
          <t>USD</t>
        </is>
      </c>
      <c r="S163" t="inlineStr">
        <is>
          <t>High Yield</t>
        </is>
      </c>
      <c r="T163" t="inlineStr">
        <is>
          <t>BB</t>
        </is>
      </c>
      <c r="U163" t="inlineStr">
        <is>
          <t>BB</t>
        </is>
      </c>
    </row>
    <row r="164">
      <c r="A164" t="inlineStr">
        <is>
          <t>XS2406607098</t>
        </is>
      </c>
      <c r="B164" t="inlineStr">
        <is>
          <t>Hold</t>
        </is>
      </c>
      <c r="C164" t="inlineStr">
        <is>
          <t>Teva Pharm Fnc Nl Ii</t>
        </is>
      </c>
      <c r="D164" t="n">
        <v>3.75</v>
      </c>
      <c r="E164" t="inlineStr">
        <is>
          <t>Sr Unsecured</t>
        </is>
      </c>
      <c r="F164" t="inlineStr">
        <is>
          <t>09.05.2027</t>
        </is>
      </c>
      <c r="G164" t="inlineStr">
        <is>
          <t>Israel</t>
        </is>
      </c>
      <c r="H164" t="inlineStr">
        <is>
          <t>Consumer, Non-cyclical</t>
        </is>
      </c>
      <c r="I164" t="n">
        <v>100</v>
      </c>
      <c r="J164" t="n">
        <v>100.875</v>
      </c>
      <c r="K164" t="n">
        <v>3.204383</v>
      </c>
      <c r="L164" t="n">
        <v>-0.24728</v>
      </c>
      <c r="M164" t="n">
        <v>0.022393</v>
      </c>
      <c r="N164" t="n">
        <v>130.4783957</v>
      </c>
      <c r="O164" t="n">
        <v>1.857881022</v>
      </c>
      <c r="P164" t="n">
        <v>25</v>
      </c>
      <c r="Q164" t="inlineStr">
        <is>
          <t>Largest manufacturer of pharmaceutical generics</t>
        </is>
      </c>
      <c r="R164" t="inlineStr">
        <is>
          <t>EUR</t>
        </is>
      </c>
      <c r="S164" t="inlineStr">
        <is>
          <t>High Yield</t>
        </is>
      </c>
      <c r="T164" t="inlineStr">
        <is>
          <t>BB</t>
        </is>
      </c>
      <c r="U164" t="inlineStr">
        <is>
          <t>BB</t>
        </is>
      </c>
    </row>
    <row r="165">
      <c r="A165" t="inlineStr">
        <is>
          <t>US91911TAK97</t>
        </is>
      </c>
      <c r="B165" t="inlineStr">
        <is>
          <t xml:space="preserve">Hold </t>
        </is>
      </c>
      <c r="C165" t="inlineStr">
        <is>
          <t>Vale Overseas Limited</t>
        </is>
      </c>
      <c r="D165" t="n">
        <v>6.875</v>
      </c>
      <c r="E165" t="inlineStr">
        <is>
          <t>Sr Unsecured</t>
        </is>
      </c>
      <c r="F165" t="inlineStr">
        <is>
          <t>10.11.2039</t>
        </is>
      </c>
      <c r="G165" t="inlineStr">
        <is>
          <t>Brazil</t>
        </is>
      </c>
      <c r="H165" t="inlineStr">
        <is>
          <t>Basic Materials</t>
        </is>
      </c>
      <c r="I165" t="n">
        <v>2</v>
      </c>
      <c r="J165" t="n">
        <v>108.986</v>
      </c>
      <c r="K165" t="n">
        <v>5.934445</v>
      </c>
      <c r="L165" t="n">
        <v>-0.047377</v>
      </c>
      <c r="M165" t="n">
        <v>-0.189426</v>
      </c>
      <c r="N165" t="n">
        <v>130.1252931</v>
      </c>
      <c r="O165" t="n">
        <v>9.235755561</v>
      </c>
      <c r="P165" t="n">
        <v>30</v>
      </c>
      <c r="Q165" t="inlineStr">
        <is>
          <t>leader in iron ore and second largest producer in nickel</t>
        </is>
      </c>
      <c r="R165" t="inlineStr">
        <is>
          <t>USD</t>
        </is>
      </c>
      <c r="S165" t="inlineStr">
        <is>
          <t>Latin America</t>
        </is>
      </c>
      <c r="T165" t="inlineStr">
        <is>
          <t>BBB-</t>
        </is>
      </c>
      <c r="U165" t="inlineStr">
        <is>
          <t>BBB-</t>
        </is>
      </c>
    </row>
    <row r="166">
      <c r="A166" t="inlineStr">
        <is>
          <t>XS2598063480</t>
        </is>
      </c>
      <c r="B166" t="inlineStr">
        <is>
          <t>Hold</t>
        </is>
      </c>
      <c r="C166" t="inlineStr">
        <is>
          <t>Intesa Sanpaolo Spa</t>
        </is>
      </c>
      <c r="D166" t="n">
        <v>6.5</v>
      </c>
      <c r="E166" t="inlineStr">
        <is>
          <t>Sr Non Preferred</t>
        </is>
      </c>
      <c r="F166" t="inlineStr">
        <is>
          <t>14.03.2029</t>
        </is>
      </c>
      <c r="G166" t="inlineStr">
        <is>
          <t>Italy</t>
        </is>
      </c>
      <c r="H166" t="inlineStr">
        <is>
          <t>Financial</t>
        </is>
      </c>
      <c r="I166" t="n">
        <v>150</v>
      </c>
      <c r="J166" t="n">
        <v>104.031</v>
      </c>
      <c r="K166" t="n">
        <v>4.874992</v>
      </c>
      <c r="L166" t="n">
        <v>-0.074965</v>
      </c>
      <c r="M166" t="n">
        <v>-0.363979</v>
      </c>
      <c r="N166" t="n">
        <v>129.9778019</v>
      </c>
      <c r="O166" t="n">
        <v>2.674201638</v>
      </c>
      <c r="P166" t="n">
        <v>60</v>
      </c>
      <c r="Q166" t="inlineStr">
        <is>
          <t>One of the largest Italian banks</t>
        </is>
      </c>
      <c r="R166" t="inlineStr">
        <is>
          <t>GBP</t>
        </is>
      </c>
      <c r="S166" t="inlineStr">
        <is>
          <t>Investment Grade</t>
        </is>
      </c>
      <c r="T166" t="inlineStr">
        <is>
          <t>BBB-</t>
        </is>
      </c>
      <c r="U166" t="inlineStr">
        <is>
          <t>BBB-</t>
        </is>
      </c>
    </row>
    <row r="167">
      <c r="A167" t="inlineStr">
        <is>
          <t>XS2571922884</t>
        </is>
      </c>
      <c r="B167" t="inlineStr">
        <is>
          <t xml:space="preserve">Hold </t>
        </is>
      </c>
      <c r="C167" t="inlineStr">
        <is>
          <t>Romania</t>
        </is>
      </c>
      <c r="D167" t="n">
        <v>6.625</v>
      </c>
      <c r="E167" t="inlineStr">
        <is>
          <t>Sr Unsecured</t>
        </is>
      </c>
      <c r="F167" t="inlineStr">
        <is>
          <t>17.02.2028</t>
        </is>
      </c>
      <c r="G167" t="inlineStr">
        <is>
          <t>Romania</t>
        </is>
      </c>
      <c r="H167" t="inlineStr">
        <is>
          <t>Government</t>
        </is>
      </c>
      <c r="I167" t="n">
        <v>2</v>
      </c>
      <c r="J167" t="n">
        <v>103.608</v>
      </c>
      <c r="K167" t="n">
        <v>5.125206</v>
      </c>
      <c r="L167" t="n">
        <v>-0.139961</v>
      </c>
      <c r="M167" t="n">
        <v>-0.374922</v>
      </c>
      <c r="N167" t="n">
        <v>128.1526829</v>
      </c>
      <c r="O167" t="n">
        <v>2.676758495</v>
      </c>
      <c r="P167" t="n">
        <v>60</v>
      </c>
      <c r="Q167" t="inlineStr">
        <is>
          <t>Romanian government bond</t>
        </is>
      </c>
      <c r="R167" t="inlineStr">
        <is>
          <t>USD</t>
        </is>
      </c>
      <c r="S167" t="inlineStr">
        <is>
          <t>Investment Grade</t>
        </is>
      </c>
      <c r="T167" t="inlineStr">
        <is>
          <t>BBB-</t>
        </is>
      </c>
      <c r="U167" t="inlineStr">
        <is>
          <t>BBB-</t>
        </is>
      </c>
    </row>
    <row r="168">
      <c r="A168" t="inlineStr">
        <is>
          <t xml:space="preserve">XS2489775580 </t>
        </is>
      </c>
      <c r="B168" t="inlineStr">
        <is>
          <t xml:space="preserve">Hold </t>
        </is>
      </c>
      <c r="C168" t="inlineStr">
        <is>
          <t>Ses Sa</t>
        </is>
      </c>
      <c r="D168" t="n">
        <v>3.5</v>
      </c>
      <c r="E168" t="inlineStr">
        <is>
          <t>Sr Unsecured</t>
        </is>
      </c>
      <c r="F168" t="inlineStr">
        <is>
          <t>14.01.2029</t>
        </is>
      </c>
      <c r="G168" t="inlineStr">
        <is>
          <t>Luxembourg</t>
        </is>
      </c>
      <c r="H168" t="inlineStr">
        <is>
          <t>Communications</t>
        </is>
      </c>
      <c r="I168" t="n">
        <v>100</v>
      </c>
      <c r="J168" t="n">
        <v>100.343</v>
      </c>
      <c r="K168" t="n">
        <v>3.385774</v>
      </c>
      <c r="L168" t="n">
        <v>-0.104499</v>
      </c>
      <c r="M168" t="n">
        <v>-0.188559</v>
      </c>
      <c r="N168" t="n">
        <v>128.0997424</v>
      </c>
      <c r="O168" t="n">
        <v>3.53601709</v>
      </c>
      <c r="P168" t="n">
        <v>0</v>
      </c>
      <c r="Q168" t="inlineStr">
        <is>
          <t xml:space="preserve">Satellite services provider </t>
        </is>
      </c>
      <c r="R168" t="inlineStr">
        <is>
          <t>EUR</t>
        </is>
      </c>
      <c r="S168" t="inlineStr">
        <is>
          <t>Investment Grade</t>
        </is>
      </c>
      <c r="T168" t="inlineStr">
        <is>
          <t>BBB-</t>
        </is>
      </c>
      <c r="U168" t="inlineStr">
        <is>
          <t>BBB-</t>
        </is>
      </c>
    </row>
    <row r="169">
      <c r="A169" t="inlineStr">
        <is>
          <t>FR001400WK79</t>
        </is>
      </c>
      <c r="B169" t="inlineStr">
        <is>
          <t xml:space="preserve">Hold </t>
        </is>
      </c>
      <c r="C169" t="inlineStr">
        <is>
          <t>Credit Agricole Sa</t>
        </is>
      </c>
      <c r="D169" t="n">
        <v>5.5</v>
      </c>
      <c r="E169" t="inlineStr">
        <is>
          <t>Sr Non Preferred</t>
        </is>
      </c>
      <c r="F169" t="inlineStr">
        <is>
          <t>31.07.2032</t>
        </is>
      </c>
      <c r="G169" t="inlineStr">
        <is>
          <t>France</t>
        </is>
      </c>
      <c r="H169" t="inlineStr">
        <is>
          <t>Financial</t>
        </is>
      </c>
      <c r="I169" t="n">
        <v>100</v>
      </c>
      <c r="J169" t="n">
        <v>102.324</v>
      </c>
      <c r="K169" t="n">
        <v>4.974361</v>
      </c>
      <c r="L169" t="n">
        <v>-0.075086</v>
      </c>
      <c r="M169" t="n">
        <v>-0.277463</v>
      </c>
      <c r="N169" t="n">
        <v>127.9284524</v>
      </c>
      <c r="O169" t="n">
        <v>5.263951152</v>
      </c>
      <c r="P169" t="n">
        <v>0</v>
      </c>
      <c r="Q169" t="inlineStr">
        <is>
          <t>One of the largest retail bank in Europe</t>
        </is>
      </c>
      <c r="R169" t="inlineStr">
        <is>
          <t>GBP</t>
        </is>
      </c>
      <c r="S169" t="inlineStr">
        <is>
          <t>Investment Grade</t>
        </is>
      </c>
      <c r="T169" t="inlineStr">
        <is>
          <t>A-</t>
        </is>
      </c>
      <c r="U169" t="inlineStr">
        <is>
          <t>A-</t>
        </is>
      </c>
    </row>
    <row r="170">
      <c r="A170" t="inlineStr">
        <is>
          <t>XS2592017300</t>
        </is>
      </c>
      <c r="B170" t="inlineStr">
        <is>
          <t>Hold</t>
        </is>
      </c>
      <c r="C170" t="inlineStr">
        <is>
          <t>Deutsche Bank Ag</t>
        </is>
      </c>
      <c r="D170" t="n">
        <v>6.125</v>
      </c>
      <c r="E170" t="inlineStr">
        <is>
          <t>Sr Non Preferred</t>
        </is>
      </c>
      <c r="F170" t="inlineStr">
        <is>
          <t>12.12.2030</t>
        </is>
      </c>
      <c r="G170" t="inlineStr">
        <is>
          <t>Germany</t>
        </is>
      </c>
      <c r="H170" t="inlineStr">
        <is>
          <t>Financial</t>
        </is>
      </c>
      <c r="I170" t="n">
        <v>100</v>
      </c>
      <c r="J170" t="n">
        <v>104.504</v>
      </c>
      <c r="K170" t="n">
        <v>4.898236</v>
      </c>
      <c r="L170" t="n">
        <v>-0.08666600000000001</v>
      </c>
      <c r="M170" t="n">
        <v>-0.369058</v>
      </c>
      <c r="N170" t="n">
        <v>127.8118704</v>
      </c>
      <c r="O170" t="n">
        <v>4.042730685</v>
      </c>
      <c r="P170" t="n">
        <v>80</v>
      </c>
      <c r="Q170" t="inlineStr">
        <is>
          <t xml:space="preserve">Germany's largest universal bank </t>
        </is>
      </c>
      <c r="R170" t="inlineStr">
        <is>
          <t>GBP</t>
        </is>
      </c>
      <c r="S170" t="inlineStr">
        <is>
          <t>Investment Grade</t>
        </is>
      </c>
      <c r="T170" t="inlineStr">
        <is>
          <t>BBB+</t>
        </is>
      </c>
      <c r="U170" t="inlineStr">
        <is>
          <t>BBB+</t>
        </is>
      </c>
    </row>
    <row r="171">
      <c r="A171" t="inlineStr">
        <is>
          <t>US71647NAZ24</t>
        </is>
      </c>
      <c r="B171" t="inlineStr">
        <is>
          <t xml:space="preserve">Hold </t>
        </is>
      </c>
      <c r="C171" t="inlineStr">
        <is>
          <t>Petrobras Global Finance</t>
        </is>
      </c>
      <c r="D171" t="n">
        <v>5.75</v>
      </c>
      <c r="E171" t="inlineStr">
        <is>
          <t>Sr Unsecured</t>
        </is>
      </c>
      <c r="F171" t="inlineStr">
        <is>
          <t>01.02.2029</t>
        </is>
      </c>
      <c r="G171" t="inlineStr">
        <is>
          <t>Brazil</t>
        </is>
      </c>
      <c r="H171" t="inlineStr">
        <is>
          <t>Energy</t>
        </is>
      </c>
      <c r="I171" t="n">
        <v>2</v>
      </c>
      <c r="J171" t="n">
        <v>101.914</v>
      </c>
      <c r="K171" t="n">
        <v>5.153971</v>
      </c>
      <c r="L171" t="n">
        <v>-0.032225</v>
      </c>
      <c r="M171" t="n">
        <v>-0.128977</v>
      </c>
      <c r="N171" t="n">
        <v>127.7652374</v>
      </c>
      <c r="O171" t="n">
        <v>3.482036977</v>
      </c>
      <c r="P171" t="n">
        <v>25</v>
      </c>
      <c r="Q171" t="inlineStr">
        <is>
          <t>Largest oil company in Latin America</t>
        </is>
      </c>
      <c r="R171" t="inlineStr">
        <is>
          <t>USD</t>
        </is>
      </c>
      <c r="S171" t="inlineStr">
        <is>
          <t>Latin America</t>
        </is>
      </c>
      <c r="T171" t="inlineStr">
        <is>
          <t>BB</t>
        </is>
      </c>
      <c r="U171" t="inlineStr">
        <is>
          <t>BB</t>
        </is>
      </c>
    </row>
    <row r="172">
      <c r="A172" t="inlineStr">
        <is>
          <t>US91087BAM28</t>
        </is>
      </c>
      <c r="B172" t="inlineStr">
        <is>
          <t>Hold</t>
        </is>
      </c>
      <c r="C172" t="inlineStr">
        <is>
          <t>United Mexican States</t>
        </is>
      </c>
      <c r="D172" t="n">
        <v>2.659</v>
      </c>
      <c r="E172" t="inlineStr">
        <is>
          <t>Sr Unsecured</t>
        </is>
      </c>
      <c r="F172" t="inlineStr">
        <is>
          <t>24.05.2031</t>
        </is>
      </c>
      <c r="G172" t="inlineStr">
        <is>
          <t>Mexico</t>
        </is>
      </c>
      <c r="H172" t="inlineStr">
        <is>
          <t>Government</t>
        </is>
      </c>
      <c r="I172" t="n">
        <v>200</v>
      </c>
      <c r="J172" t="n">
        <v>86.798</v>
      </c>
      <c r="K172" t="n">
        <v>5.301767</v>
      </c>
      <c r="L172" t="n">
        <v>-0.038346</v>
      </c>
      <c r="M172" t="n">
        <v>-0.214624</v>
      </c>
      <c r="N172" t="n">
        <v>127.2680055</v>
      </c>
      <c r="O172" t="n">
        <v>5.543608993</v>
      </c>
      <c r="P172" t="n">
        <v>50</v>
      </c>
      <c r="Q172" t="inlineStr">
        <is>
          <t>Mexican Government</t>
        </is>
      </c>
      <c r="R172" t="inlineStr">
        <is>
          <t>USD</t>
        </is>
      </c>
      <c r="S172" t="inlineStr">
        <is>
          <t>Latin America</t>
        </is>
      </c>
      <c r="T172" t="inlineStr">
        <is>
          <t>BBB-</t>
        </is>
      </c>
      <c r="U172" t="inlineStr">
        <is>
          <t>BBB-</t>
        </is>
      </c>
    </row>
    <row r="173">
      <c r="A173" t="inlineStr">
        <is>
          <t>USN7163RAX19</t>
        </is>
      </c>
      <c r="B173" t="inlineStr">
        <is>
          <t xml:space="preserve">Hold </t>
        </is>
      </c>
      <c r="C173" t="inlineStr">
        <is>
          <t>Prosus Nv</t>
        </is>
      </c>
      <c r="D173" t="n">
        <v>4.193</v>
      </c>
      <c r="E173" t="inlineStr">
        <is>
          <t>Sr Unsecured</t>
        </is>
      </c>
      <c r="F173" t="inlineStr">
        <is>
          <t>19.01.2032</t>
        </is>
      </c>
      <c r="G173" t="inlineStr">
        <is>
          <t>China</t>
        </is>
      </c>
      <c r="H173" t="inlineStr">
        <is>
          <t>Communications</t>
        </is>
      </c>
      <c r="I173" t="n">
        <v>200</v>
      </c>
      <c r="J173" t="n">
        <v>93.623</v>
      </c>
      <c r="K173" t="n">
        <v>5.363155</v>
      </c>
      <c r="L173" t="n">
        <v>-0.003573</v>
      </c>
      <c r="M173" t="n">
        <v>-0.349837</v>
      </c>
      <c r="N173" t="n">
        <v>127.1744811</v>
      </c>
      <c r="O173" t="n">
        <v>5.818492447</v>
      </c>
      <c r="P173" t="n">
        <v>60</v>
      </c>
      <c r="Q173" t="inlineStr">
        <is>
          <t>Firm which invests in internet, digital media and technology companies</t>
        </is>
      </c>
      <c r="R173" t="inlineStr">
        <is>
          <t>USD</t>
        </is>
      </c>
      <c r="S173" t="inlineStr">
        <is>
          <t>Investment Grade</t>
        </is>
      </c>
      <c r="T173" t="inlineStr">
        <is>
          <t>BBB</t>
        </is>
      </c>
      <c r="U173" t="inlineStr">
        <is>
          <t>BBB</t>
        </is>
      </c>
    </row>
    <row r="174">
      <c r="A174" t="inlineStr">
        <is>
          <t>USL6401PAH66</t>
        </is>
      </c>
      <c r="B174" t="inlineStr">
        <is>
          <t>Top pick</t>
        </is>
      </c>
      <c r="C174" t="inlineStr">
        <is>
          <t>Minerva Luxembourg Sa</t>
        </is>
      </c>
      <c r="D174" t="n">
        <v>5.875</v>
      </c>
      <c r="E174" t="inlineStr">
        <is>
          <t>Sr Unsecured</t>
        </is>
      </c>
      <c r="F174" t="inlineStr">
        <is>
          <t>19.01.2028</t>
        </is>
      </c>
      <c r="G174" t="inlineStr">
        <is>
          <t>Brazil</t>
        </is>
      </c>
      <c r="H174" t="inlineStr">
        <is>
          <t>Consumer, Non-cyclical</t>
        </is>
      </c>
      <c r="I174" t="n">
        <v>200</v>
      </c>
      <c r="J174" t="n">
        <v>99.986</v>
      </c>
      <c r="K174" t="n">
        <v>5.878685</v>
      </c>
      <c r="L174" t="n">
        <v>-0.209221</v>
      </c>
      <c r="M174" t="n">
        <v>-0.0861</v>
      </c>
      <c r="N174" t="n">
        <v>127.155149</v>
      </c>
      <c r="O174" t="n">
        <v>2.622149064</v>
      </c>
      <c r="P174" t="n">
        <v>25</v>
      </c>
      <c r="Q174" t="inlineStr">
        <is>
          <t>One of Brazil's leaders in the production and sale of fresh beef</t>
        </is>
      </c>
      <c r="R174" t="inlineStr">
        <is>
          <t>USD</t>
        </is>
      </c>
      <c r="S174" t="inlineStr">
        <is>
          <t>Latin America</t>
        </is>
      </c>
      <c r="T174" t="inlineStr">
        <is>
          <t>BB</t>
        </is>
      </c>
      <c r="U174" t="inlineStr">
        <is>
          <t>BB</t>
        </is>
      </c>
    </row>
    <row r="175">
      <c r="A175" t="inlineStr">
        <is>
          <t>US46647PEC68</t>
        </is>
      </c>
      <c r="B175" t="inlineStr">
        <is>
          <t xml:space="preserve">Hold </t>
        </is>
      </c>
      <c r="C175" t="inlineStr">
        <is>
          <t>Jpmorgan Chase &amp; Co</t>
        </is>
      </c>
      <c r="D175" t="n">
        <v>5.336</v>
      </c>
      <c r="E175" t="inlineStr">
        <is>
          <t>Sr Unsecured</t>
        </is>
      </c>
      <c r="F175" t="inlineStr">
        <is>
          <t>23.01.2035</t>
        </is>
      </c>
      <c r="G175" t="inlineStr">
        <is>
          <t>United states</t>
        </is>
      </c>
      <c r="H175" t="inlineStr">
        <is>
          <t>Financial</t>
        </is>
      </c>
      <c r="I175" t="n">
        <v>2</v>
      </c>
      <c r="J175" t="n">
        <v>102.194</v>
      </c>
      <c r="K175" t="n">
        <v>5.016662</v>
      </c>
      <c r="L175" t="n">
        <v>-0.045864</v>
      </c>
      <c r="M175" t="n">
        <v>-0.212174</v>
      </c>
      <c r="N175" t="n">
        <v>127.0641274</v>
      </c>
      <c r="O175" t="n">
        <v>7.00367897</v>
      </c>
      <c r="P175" t="n">
        <v>80</v>
      </c>
      <c r="Q175" t="inlineStr">
        <is>
          <t>The largest US bank</t>
        </is>
      </c>
      <c r="R175" t="inlineStr">
        <is>
          <t>USD</t>
        </is>
      </c>
      <c r="S175" t="inlineStr">
        <is>
          <t>Investment Grade</t>
        </is>
      </c>
      <c r="T175" t="inlineStr">
        <is>
          <t>A+</t>
        </is>
      </c>
      <c r="U175" t="inlineStr">
        <is>
          <t>A+</t>
        </is>
      </c>
    </row>
    <row r="176">
      <c r="A176" t="inlineStr">
        <is>
          <t>CH1290222426</t>
        </is>
      </c>
      <c r="B176" t="inlineStr">
        <is>
          <t>Hold</t>
        </is>
      </c>
      <c r="C176" t="inlineStr">
        <is>
          <t>Temenos Ag</t>
        </is>
      </c>
      <c r="D176" t="n">
        <v>2.85</v>
      </c>
      <c r="E176" t="inlineStr">
        <is>
          <t>Sr Unsecured</t>
        </is>
      </c>
      <c r="F176" t="inlineStr">
        <is>
          <t>11.10.2028</t>
        </is>
      </c>
      <c r="G176" t="inlineStr">
        <is>
          <t>Switzerland</t>
        </is>
      </c>
      <c r="H176" t="inlineStr">
        <is>
          <t>Technology</t>
        </is>
      </c>
      <c r="I176" t="n">
        <v>5</v>
      </c>
      <c r="J176" t="n">
        <v>104.572</v>
      </c>
      <c r="K176" t="n">
        <v>1.289142</v>
      </c>
      <c r="L176" t="n">
        <v>0.012282</v>
      </c>
      <c r="M176" t="n">
        <v>0.123356</v>
      </c>
      <c r="N176" t="n">
        <v>126.5578038</v>
      </c>
      <c r="O176" t="n">
        <v>3.188756942</v>
      </c>
      <c r="P176" t="n">
        <v>85</v>
      </c>
      <c r="Q176" t="inlineStr">
        <is>
          <t>Software company for financial sector</t>
        </is>
      </c>
      <c r="R176" t="inlineStr">
        <is>
          <t>CHF</t>
        </is>
      </c>
      <c r="S176" t="inlineStr">
        <is>
          <t>Investment Grade</t>
        </is>
      </c>
      <c r="T176" t="inlineStr">
        <is>
          <t>NR</t>
        </is>
      </c>
      <c r="U176" t="inlineStr">
        <is>
          <t>NR</t>
        </is>
      </c>
    </row>
    <row r="177">
      <c r="A177" t="inlineStr">
        <is>
          <t>USP90475AB31</t>
        </is>
      </c>
      <c r="B177" t="inlineStr">
        <is>
          <t>Hold</t>
        </is>
      </c>
      <c r="C177" t="inlineStr">
        <is>
          <t>Telfon Celuar Del Paragu</t>
        </is>
      </c>
      <c r="D177" t="n">
        <v>5.875</v>
      </c>
      <c r="E177" t="inlineStr">
        <is>
          <t>Sr Unsecured</t>
        </is>
      </c>
      <c r="F177" t="inlineStr">
        <is>
          <t>15.04.2027</t>
        </is>
      </c>
      <c r="G177" t="inlineStr">
        <is>
          <t>Paraguay</t>
        </is>
      </c>
      <c r="H177" t="inlineStr">
        <is>
          <t>Communications</t>
        </is>
      </c>
      <c r="I177" t="n">
        <v>200</v>
      </c>
      <c r="J177" t="n">
        <v>99.98399999999999</v>
      </c>
      <c r="K177" t="n">
        <v>5.914754</v>
      </c>
      <c r="L177" t="n">
        <v>0.171828</v>
      </c>
      <c r="M177" t="n">
        <v>-0.033135</v>
      </c>
      <c r="N177" t="n">
        <v>125.8901753</v>
      </c>
      <c r="O177" t="n">
        <v>1.950953582</v>
      </c>
      <c r="P177" t="n">
        <v>0</v>
      </c>
      <c r="Q177" t="inlineStr">
        <is>
          <t>Telecom company</t>
        </is>
      </c>
      <c r="R177" t="inlineStr">
        <is>
          <t>USD</t>
        </is>
      </c>
      <c r="S177" t="inlineStr">
        <is>
          <t>Latin America</t>
        </is>
      </c>
      <c r="T177" t="inlineStr">
        <is>
          <t>BB</t>
        </is>
      </c>
      <c r="U177" t="inlineStr">
        <is>
          <t>BB</t>
        </is>
      </c>
    </row>
    <row r="178">
      <c r="A178" t="inlineStr">
        <is>
          <t>US71647NAY58</t>
        </is>
      </c>
      <c r="B178" t="inlineStr">
        <is>
          <t xml:space="preserve">Hold </t>
        </is>
      </c>
      <c r="C178" t="inlineStr">
        <is>
          <t>Petrobras Global Finance</t>
        </is>
      </c>
      <c r="D178" t="n">
        <v>5.999</v>
      </c>
      <c r="E178" t="inlineStr">
        <is>
          <t>Sr Unsecured</t>
        </is>
      </c>
      <c r="F178" t="inlineStr">
        <is>
          <t>27.01.2028</t>
        </is>
      </c>
      <c r="G178" t="inlineStr">
        <is>
          <t>Brazil</t>
        </is>
      </c>
      <c r="H178" t="inlineStr">
        <is>
          <t>Energy</t>
        </is>
      </c>
      <c r="I178" t="n">
        <v>2</v>
      </c>
      <c r="J178" t="n">
        <v>102.132</v>
      </c>
      <c r="K178" t="n">
        <v>5.096236</v>
      </c>
      <c r="L178" t="n">
        <v>-0.057446</v>
      </c>
      <c r="M178" t="n">
        <v>-0.1454</v>
      </c>
      <c r="N178" t="n">
        <v>125.4759493</v>
      </c>
      <c r="O178" t="n">
        <v>2.654470042</v>
      </c>
      <c r="P178" t="n">
        <v>25</v>
      </c>
      <c r="Q178" t="inlineStr">
        <is>
          <t>Largest oil company in Latin America</t>
        </is>
      </c>
      <c r="R178" t="inlineStr">
        <is>
          <t>USD</t>
        </is>
      </c>
      <c r="S178" t="inlineStr">
        <is>
          <t>Latin America</t>
        </is>
      </c>
      <c r="T178" t="inlineStr">
        <is>
          <t>BB</t>
        </is>
      </c>
      <c r="U178" t="inlineStr">
        <is>
          <t>BB</t>
        </is>
      </c>
    </row>
    <row r="179">
      <c r="A179" t="inlineStr">
        <is>
          <t>US4651387N91</t>
        </is>
      </c>
      <c r="B179" t="inlineStr">
        <is>
          <t xml:space="preserve">Not accumulate </t>
        </is>
      </c>
      <c r="C179" t="inlineStr">
        <is>
          <t>State Of Israel</t>
        </is>
      </c>
      <c r="D179" t="n">
        <v>4.5</v>
      </c>
      <c r="E179" t="inlineStr">
        <is>
          <t>Sr Unsecured</t>
        </is>
      </c>
      <c r="F179" t="inlineStr">
        <is>
          <t>30.01.2043</t>
        </is>
      </c>
      <c r="G179" t="inlineStr">
        <is>
          <t>Israel</t>
        </is>
      </c>
      <c r="H179" t="inlineStr">
        <is>
          <t>Government</t>
        </is>
      </c>
      <c r="I179" t="n">
        <v>200</v>
      </c>
      <c r="J179" t="n">
        <v>83.286</v>
      </c>
      <c r="K179" t="n">
        <v>6.058899</v>
      </c>
      <c r="L179" t="n">
        <v>-0.054361</v>
      </c>
      <c r="M179" t="n">
        <v>-0.046472</v>
      </c>
      <c r="N179" t="n">
        <v>125.188027</v>
      </c>
      <c r="O179" t="n">
        <v>11.59459183</v>
      </c>
      <c r="P179" t="n">
        <v>85</v>
      </c>
      <c r="Q179" t="inlineStr">
        <is>
          <t> </t>
        </is>
      </c>
      <c r="R179" t="inlineStr">
        <is>
          <t>USD</t>
        </is>
      </c>
      <c r="S179" t="inlineStr">
        <is>
          <t>Investment Grade</t>
        </is>
      </c>
      <c r="T179" t="inlineStr">
        <is>
          <t>A-</t>
        </is>
      </c>
      <c r="U179" t="inlineStr">
        <is>
          <t>A-</t>
        </is>
      </c>
    </row>
    <row r="180">
      <c r="A180" t="inlineStr">
        <is>
          <t>US345397F810</t>
        </is>
      </c>
      <c r="B180" t="inlineStr">
        <is>
          <t>Top Pick</t>
        </is>
      </c>
      <c r="C180" t="inlineStr">
        <is>
          <t>Ford Motor Credit Co Llc</t>
        </is>
      </c>
      <c r="D180" t="n">
        <v>5.125</v>
      </c>
      <c r="E180" t="inlineStr">
        <is>
          <t>Sr Unsecured</t>
        </is>
      </c>
      <c r="F180" t="inlineStr">
        <is>
          <t>05.11.2026</t>
        </is>
      </c>
      <c r="G180" t="inlineStr">
        <is>
          <t>United states</t>
        </is>
      </c>
      <c r="H180" t="inlineStr">
        <is>
          <t>Consumer, Cyclical</t>
        </is>
      </c>
      <c r="I180" t="n">
        <v>200</v>
      </c>
      <c r="J180" t="n">
        <v>99.89700000000001</v>
      </c>
      <c r="K180" t="n">
        <v>5.200937</v>
      </c>
      <c r="L180" t="n">
        <v>-0.082301</v>
      </c>
      <c r="M180" t="n">
        <v>-0.388855</v>
      </c>
      <c r="N180" t="n">
        <v>124.5349989</v>
      </c>
      <c r="O180" t="n">
        <v>1.589050042</v>
      </c>
      <c r="P180" t="n">
        <v>0</v>
      </c>
      <c r="Q180" t="inlineStr">
        <is>
          <t>Global automotive manufacturer</t>
        </is>
      </c>
      <c r="R180" t="inlineStr">
        <is>
          <t>USD</t>
        </is>
      </c>
      <c r="S180" t="inlineStr">
        <is>
          <t>Investment Grade</t>
        </is>
      </c>
      <c r="T180" t="inlineStr">
        <is>
          <t>BB+</t>
        </is>
      </c>
      <c r="U180" t="inlineStr">
        <is>
          <t>BB+</t>
        </is>
      </c>
    </row>
    <row r="181">
      <c r="A181" t="inlineStr">
        <is>
          <t>XS2577136109</t>
        </is>
      </c>
      <c r="B181" t="inlineStr">
        <is>
          <t>Hold</t>
        </is>
      </c>
      <c r="C181" t="inlineStr">
        <is>
          <t>Saudi International Bond</t>
        </is>
      </c>
      <c r="D181" t="n">
        <v>5</v>
      </c>
      <c r="E181" t="inlineStr">
        <is>
          <t>Sr Unsecured</t>
        </is>
      </c>
      <c r="F181" t="inlineStr">
        <is>
          <t>18.01.2053</t>
        </is>
      </c>
      <c r="G181" t="inlineStr">
        <is>
          <t>Saudi Arabia</t>
        </is>
      </c>
      <c r="H181" t="inlineStr">
        <is>
          <t>Government</t>
        </is>
      </c>
      <c r="I181" t="n">
        <v>200</v>
      </c>
      <c r="J181" t="n">
        <v>85.497</v>
      </c>
      <c r="K181" t="n">
        <v>6.09301</v>
      </c>
      <c r="L181" t="n">
        <v>-0.011407</v>
      </c>
      <c r="M181" t="n">
        <v>-0.131991</v>
      </c>
      <c r="N181" t="n">
        <v>124.3428624</v>
      </c>
      <c r="O181" t="n">
        <v>13.86138477</v>
      </c>
      <c r="P181" t="n">
        <v>80</v>
      </c>
      <c r="Q181" t="inlineStr">
        <is>
          <t>Kingdom of Saudia sovereign bond</t>
        </is>
      </c>
      <c r="R181" t="inlineStr">
        <is>
          <t>USD</t>
        </is>
      </c>
      <c r="S181" t="inlineStr">
        <is>
          <t>Investment Grade</t>
        </is>
      </c>
      <c r="T181" t="inlineStr">
        <is>
          <t>A+</t>
        </is>
      </c>
      <c r="U181" t="inlineStr">
        <is>
          <t>A+</t>
        </is>
      </c>
    </row>
    <row r="182">
      <c r="A182" t="inlineStr">
        <is>
          <t>USA08163AA41</t>
        </is>
      </c>
      <c r="B182" t="inlineStr">
        <is>
          <t xml:space="preserve">Hold </t>
        </is>
      </c>
      <c r="C182" t="inlineStr">
        <is>
          <t>Brf Gmbh</t>
        </is>
      </c>
      <c r="D182" t="n">
        <v>4.35</v>
      </c>
      <c r="E182" t="inlineStr">
        <is>
          <t>Sr Unsecured</t>
        </is>
      </c>
      <c r="F182" t="inlineStr">
        <is>
          <t>29.09.2026</t>
        </is>
      </c>
      <c r="G182" t="inlineStr">
        <is>
          <t>Brazil</t>
        </is>
      </c>
      <c r="H182" t="inlineStr">
        <is>
          <t>Consumer, Non-cyclical</t>
        </is>
      </c>
      <c r="I182" t="n">
        <v>200</v>
      </c>
      <c r="J182" t="n">
        <v>98.994</v>
      </c>
      <c r="K182" t="n">
        <v>5.202403</v>
      </c>
      <c r="L182" t="n">
        <v>0.151768</v>
      </c>
      <c r="M182" t="n">
        <v>-0.09281499999999999</v>
      </c>
      <c r="N182" t="n">
        <v>123.3130737</v>
      </c>
      <c r="O182" t="n">
        <v>1.506940344</v>
      </c>
      <c r="P182" t="n">
        <v>25</v>
      </c>
      <c r="Q182" t="inlineStr">
        <is>
          <t>Distributes food products</t>
        </is>
      </c>
      <c r="R182" t="inlineStr">
        <is>
          <t>USD</t>
        </is>
      </c>
      <c r="S182" t="inlineStr">
        <is>
          <t>Latin America</t>
        </is>
      </c>
      <c r="T182" t="inlineStr">
        <is>
          <t>BB</t>
        </is>
      </c>
      <c r="U182" t="inlineStr">
        <is>
          <t>BB</t>
        </is>
      </c>
    </row>
    <row r="183">
      <c r="A183" t="inlineStr">
        <is>
          <t>USU4328RAG93</t>
        </is>
      </c>
      <c r="B183" t="inlineStr">
        <is>
          <t>Hold</t>
        </is>
      </c>
      <c r="C183" t="inlineStr">
        <is>
          <t>Hilton Domestic Operatin</t>
        </is>
      </c>
      <c r="D183" t="n">
        <v>4</v>
      </c>
      <c r="E183" t="inlineStr">
        <is>
          <t>Sr Unsecured</t>
        </is>
      </c>
      <c r="F183" t="inlineStr">
        <is>
          <t>01.05.2031</t>
        </is>
      </c>
      <c r="G183" t="inlineStr">
        <is>
          <t>United states</t>
        </is>
      </c>
      <c r="H183" t="inlineStr">
        <is>
          <t>Consumer, Cyclical</t>
        </is>
      </c>
      <c r="I183" t="n">
        <v>2</v>
      </c>
      <c r="J183" t="n">
        <v>93.527</v>
      </c>
      <c r="K183" t="n">
        <v>5.307317</v>
      </c>
      <c r="L183" t="n">
        <v>0.08619599999999999</v>
      </c>
      <c r="M183" t="n">
        <v>-0.179767</v>
      </c>
      <c r="N183" t="n">
        <v>121.3270312</v>
      </c>
      <c r="O183" t="n">
        <v>5.291243402</v>
      </c>
      <c r="P183" t="n">
        <v>15</v>
      </c>
      <c r="Q183" t="inlineStr">
        <is>
          <t>Owns and operates hotels and motels</t>
        </is>
      </c>
      <c r="R183" t="inlineStr">
        <is>
          <t>USD</t>
        </is>
      </c>
      <c r="S183" t="inlineStr">
        <is>
          <t>High Yield</t>
        </is>
      </c>
      <c r="T183" t="inlineStr">
        <is>
          <t>BB</t>
        </is>
      </c>
      <c r="U183" t="inlineStr">
        <is>
          <t>BB</t>
        </is>
      </c>
    </row>
    <row r="184">
      <c r="A184" t="inlineStr">
        <is>
          <t>US71647NBH17</t>
        </is>
      </c>
      <c r="B184" t="inlineStr">
        <is>
          <t xml:space="preserve">Hold </t>
        </is>
      </c>
      <c r="C184" t="inlineStr">
        <is>
          <t>Petrobras Global Finance</t>
        </is>
      </c>
      <c r="D184" t="n">
        <v>5.6</v>
      </c>
      <c r="E184" t="inlineStr">
        <is>
          <t>Sr Unsecured</t>
        </is>
      </c>
      <c r="F184" t="inlineStr">
        <is>
          <t>03.01.2031</t>
        </is>
      </c>
      <c r="G184" t="inlineStr">
        <is>
          <t>Brazil</t>
        </is>
      </c>
      <c r="H184" t="inlineStr">
        <is>
          <t>Energy</t>
        </is>
      </c>
      <c r="I184" t="n">
        <v>2</v>
      </c>
      <c r="J184" t="n">
        <v>101.744</v>
      </c>
      <c r="K184" t="n">
        <v>5.21638</v>
      </c>
      <c r="L184" t="n">
        <v>-0.110675</v>
      </c>
      <c r="M184" t="n">
        <v>-0.382248</v>
      </c>
      <c r="N184" t="n">
        <v>121.2382227</v>
      </c>
      <c r="O184" t="n">
        <v>4.896842927</v>
      </c>
      <c r="P184" t="n">
        <v>0</v>
      </c>
      <c r="Q184" t="inlineStr">
        <is>
          <t>Largest oil company in Latin America</t>
        </is>
      </c>
      <c r="R184" t="inlineStr">
        <is>
          <t>USD</t>
        </is>
      </c>
      <c r="S184" t="inlineStr">
        <is>
          <t>Latin America</t>
        </is>
      </c>
      <c r="T184" t="inlineStr">
        <is>
          <t>BB</t>
        </is>
      </c>
      <c r="U184" t="inlineStr">
        <is>
          <t>BB</t>
        </is>
      </c>
    </row>
    <row r="185">
      <c r="A185" t="inlineStr">
        <is>
          <t>USU1851TAB71</t>
        </is>
      </c>
      <c r="B185" t="inlineStr">
        <is>
          <t>Hold</t>
        </is>
      </c>
      <c r="C185" t="inlineStr">
        <is>
          <t>Clearway Energy Op Llc</t>
        </is>
      </c>
      <c r="D185" t="n">
        <v>4.75</v>
      </c>
      <c r="E185" t="inlineStr">
        <is>
          <t>Sr Unsecured</t>
        </is>
      </c>
      <c r="F185" t="inlineStr">
        <is>
          <t>15.03.2028</t>
        </is>
      </c>
      <c r="G185" t="inlineStr">
        <is>
          <t>United states</t>
        </is>
      </c>
      <c r="H185" t="inlineStr">
        <is>
          <t>Utilities</t>
        </is>
      </c>
      <c r="I185" t="n">
        <v>2</v>
      </c>
      <c r="J185" t="n">
        <v>98.703</v>
      </c>
      <c r="K185" t="n">
        <v>5.271453</v>
      </c>
      <c r="L185" t="n">
        <v>0.018855</v>
      </c>
      <c r="M185" t="n">
        <v>-0.160178</v>
      </c>
      <c r="N185" t="n">
        <v>120.795569</v>
      </c>
      <c r="O185" t="n">
        <v>2.74909664</v>
      </c>
      <c r="P185" t="n">
        <v>25</v>
      </c>
      <c r="Q185" t="inlineStr">
        <is>
          <t>Provides power generation services</t>
        </is>
      </c>
      <c r="R185" t="inlineStr">
        <is>
          <t>USD</t>
        </is>
      </c>
      <c r="S185" t="inlineStr">
        <is>
          <t>High Yield</t>
        </is>
      </c>
      <c r="T185" t="inlineStr">
        <is>
          <t>BB</t>
        </is>
      </c>
      <c r="U185" t="inlineStr">
        <is>
          <t>BB</t>
        </is>
      </c>
    </row>
    <row r="186">
      <c r="A186" t="inlineStr">
        <is>
          <t>USN29505AB53</t>
        </is>
      </c>
      <c r="B186" t="inlineStr">
        <is>
          <t xml:space="preserve">Hold </t>
        </is>
      </c>
      <c r="C186" t="inlineStr">
        <is>
          <t>Embraer Netherlands Fina</t>
        </is>
      </c>
      <c r="D186" t="n">
        <v>7</v>
      </c>
      <c r="E186" t="inlineStr">
        <is>
          <t>Sr Unsecured</t>
        </is>
      </c>
      <c r="F186" t="inlineStr">
        <is>
          <t>28.07.2030</t>
        </is>
      </c>
      <c r="G186" t="inlineStr">
        <is>
          <t>Brazil</t>
        </is>
      </c>
      <c r="H186" t="inlineStr">
        <is>
          <t>Industrial</t>
        </is>
      </c>
      <c r="I186" t="n">
        <v>200</v>
      </c>
      <c r="J186" t="n">
        <v>107.856</v>
      </c>
      <c r="K186" t="n">
        <v>5.135328</v>
      </c>
      <c r="L186" t="n">
        <v>-0.06790300000000001</v>
      </c>
      <c r="M186" t="n">
        <v>-0.254073</v>
      </c>
      <c r="N186" t="n">
        <v>119.8871736</v>
      </c>
      <c r="O186" t="n">
        <v>4.320785833</v>
      </c>
      <c r="P186" t="n">
        <v>50</v>
      </c>
      <c r="Q186" t="inlineStr">
        <is>
          <t>Leading manufacturer of regional jet airplanes</t>
        </is>
      </c>
      <c r="R186" t="inlineStr">
        <is>
          <t>USD</t>
        </is>
      </c>
      <c r="S186" t="inlineStr">
        <is>
          <t>Latin America</t>
        </is>
      </c>
      <c r="T186" t="inlineStr">
        <is>
          <t>BBB-</t>
        </is>
      </c>
      <c r="U186" t="inlineStr">
        <is>
          <t>BBB-</t>
        </is>
      </c>
    </row>
    <row r="187">
      <c r="A187" t="inlineStr">
        <is>
          <t>USP56236AB16</t>
        </is>
      </c>
      <c r="B187" t="inlineStr">
        <is>
          <t xml:space="preserve">Hold </t>
        </is>
      </c>
      <c r="C187" t="inlineStr">
        <is>
          <t>Inretail Consumer</t>
        </is>
      </c>
      <c r="D187" t="n">
        <v>3.25</v>
      </c>
      <c r="E187" t="inlineStr">
        <is>
          <t>1St Lien</t>
        </is>
      </c>
      <c r="F187" t="inlineStr">
        <is>
          <t>22.03.2028</t>
        </is>
      </c>
      <c r="G187" t="inlineStr">
        <is>
          <t>Peru</t>
        </is>
      </c>
      <c r="H187" t="inlineStr">
        <is>
          <t>Consumer, Cyclical</t>
        </is>
      </c>
      <c r="I187" t="n">
        <v>200</v>
      </c>
      <c r="J187" t="n">
        <v>95.54600000000001</v>
      </c>
      <c r="K187" t="n">
        <v>5.029619</v>
      </c>
      <c r="L187" t="n">
        <v>-0.246748</v>
      </c>
      <c r="M187" t="n">
        <v>-0.531654</v>
      </c>
      <c r="N187" t="n">
        <v>119.7441902</v>
      </c>
      <c r="O187" t="n">
        <v>2.833419673</v>
      </c>
      <c r="P187" t="n">
        <v>25</v>
      </c>
      <c r="Q187" t="inlineStr">
        <is>
          <t>Operates as a multi-format retailer company</t>
        </is>
      </c>
      <c r="R187" t="inlineStr">
        <is>
          <t>USD</t>
        </is>
      </c>
      <c r="S187" t="inlineStr">
        <is>
          <t>Latin America</t>
        </is>
      </c>
      <c r="T187" t="inlineStr">
        <is>
          <t>BB+</t>
        </is>
      </c>
      <c r="U187" t="inlineStr">
        <is>
          <t>BB+</t>
        </is>
      </c>
    </row>
    <row r="188">
      <c r="A188" t="inlineStr">
        <is>
          <t xml:space="preserve">FR001400F2R8 </t>
        </is>
      </c>
      <c r="B188" t="inlineStr">
        <is>
          <t>Hold</t>
        </is>
      </c>
      <c r="C188" t="inlineStr">
        <is>
          <t>Air France-Klm</t>
        </is>
      </c>
      <c r="D188" t="n">
        <v>8.125</v>
      </c>
      <c r="E188" t="inlineStr">
        <is>
          <t>Sr Unsecured</t>
        </is>
      </c>
      <c r="F188" t="inlineStr">
        <is>
          <t>31.05.2028</t>
        </is>
      </c>
      <c r="G188" t="inlineStr">
        <is>
          <t>France</t>
        </is>
      </c>
      <c r="H188" t="inlineStr">
        <is>
          <t>Consumer, Cyclical</t>
        </is>
      </c>
      <c r="I188" t="n">
        <v>100</v>
      </c>
      <c r="J188" t="n">
        <v>112.431</v>
      </c>
      <c r="K188" t="n">
        <v>3.146846</v>
      </c>
      <c r="L188" t="n">
        <v>-0.093518</v>
      </c>
      <c r="M188" t="n">
        <v>-0.107586</v>
      </c>
      <c r="N188" t="n">
        <v>118.8798538</v>
      </c>
      <c r="O188" t="n">
        <v>2.573870998</v>
      </c>
      <c r="P188" t="n">
        <v>25</v>
      </c>
      <c r="Q188" t="inlineStr">
        <is>
          <t>Offers air transportation services</t>
        </is>
      </c>
      <c r="R188" t="inlineStr">
        <is>
          <t>EUR</t>
        </is>
      </c>
      <c r="S188" t="inlineStr">
        <is>
          <t>High Yield</t>
        </is>
      </c>
      <c r="T188" t="inlineStr">
        <is>
          <t>BB+</t>
        </is>
      </c>
      <c r="U188" t="inlineStr">
        <is>
          <t>BB+</t>
        </is>
      </c>
    </row>
    <row r="189">
      <c r="A189" t="inlineStr">
        <is>
          <t>US91911TAR41</t>
        </is>
      </c>
      <c r="B189" t="inlineStr">
        <is>
          <t xml:space="preserve">Hold </t>
        </is>
      </c>
      <c r="C189" t="inlineStr">
        <is>
          <t>Vale Overseas Limited</t>
        </is>
      </c>
      <c r="D189" t="n">
        <v>6.125</v>
      </c>
      <c r="E189" t="inlineStr">
        <is>
          <t>Sr Unsecured</t>
        </is>
      </c>
      <c r="F189" t="inlineStr">
        <is>
          <t>12.06.2033</t>
        </is>
      </c>
      <c r="G189" t="inlineStr">
        <is>
          <t>Brazil</t>
        </is>
      </c>
      <c r="H189" t="inlineStr">
        <is>
          <t>Basic Materials</t>
        </is>
      </c>
      <c r="I189" t="n">
        <v>2</v>
      </c>
      <c r="J189" t="n">
        <v>104.544</v>
      </c>
      <c r="K189" t="n">
        <v>5.394606</v>
      </c>
      <c r="L189" t="n">
        <v>-0.003529</v>
      </c>
      <c r="M189" t="n">
        <v>-0.184086</v>
      </c>
      <c r="N189" t="n">
        <v>118.8447105</v>
      </c>
      <c r="O189" t="n">
        <v>6.247878096</v>
      </c>
      <c r="P189" t="n">
        <v>0</v>
      </c>
      <c r="Q189" t="inlineStr">
        <is>
          <t>leader in iron ore and second largest producer in nickel</t>
        </is>
      </c>
      <c r="R189" t="inlineStr">
        <is>
          <t>USD</t>
        </is>
      </c>
      <c r="S189" t="inlineStr">
        <is>
          <t>Latin America</t>
        </is>
      </c>
      <c r="T189" t="inlineStr">
        <is>
          <t>BBB-</t>
        </is>
      </c>
      <c r="U189" t="inlineStr">
        <is>
          <t>BBB-</t>
        </is>
      </c>
    </row>
    <row r="190">
      <c r="A190" t="inlineStr">
        <is>
          <t>USP75744AM75</t>
        </is>
      </c>
      <c r="B190" t="inlineStr">
        <is>
          <t xml:space="preserve">Hold </t>
        </is>
      </c>
      <c r="C190" t="inlineStr">
        <is>
          <t>Republic Of Paraguay</t>
        </is>
      </c>
      <c r="D190" t="n">
        <v>5.85</v>
      </c>
      <c r="E190" t="inlineStr">
        <is>
          <t>Sr Unsecured</t>
        </is>
      </c>
      <c r="F190" t="inlineStr">
        <is>
          <t>21.08.2033</t>
        </is>
      </c>
      <c r="G190" t="inlineStr">
        <is>
          <t>Paraguay</t>
        </is>
      </c>
      <c r="H190" t="inlineStr">
        <is>
          <t>Government</t>
        </is>
      </c>
      <c r="I190" t="n">
        <v>200</v>
      </c>
      <c r="J190" t="n">
        <v>102.917</v>
      </c>
      <c r="K190" t="n">
        <v>5.390083</v>
      </c>
      <c r="L190" t="n">
        <v>-0.063426</v>
      </c>
      <c r="M190" t="n">
        <v>-0.35026</v>
      </c>
      <c r="N190" t="n">
        <v>118.71722</v>
      </c>
      <c r="O190" t="n">
        <v>6.370104829</v>
      </c>
      <c r="P190" t="n">
        <v>15</v>
      </c>
      <c r="Q190" t="inlineStr">
        <is>
          <t>Paraguay Government bond</t>
        </is>
      </c>
      <c r="R190" t="inlineStr">
        <is>
          <t>USD</t>
        </is>
      </c>
      <c r="S190" t="inlineStr">
        <is>
          <t>Latin America</t>
        </is>
      </c>
      <c r="T190" t="inlineStr">
        <is>
          <t>BB+</t>
        </is>
      </c>
      <c r="U190" t="inlineStr">
        <is>
          <t>BB+</t>
        </is>
      </c>
    </row>
    <row r="191">
      <c r="A191" t="inlineStr">
        <is>
          <t>CH1357852800</t>
        </is>
      </c>
      <c r="B191" t="inlineStr">
        <is>
          <t>Top pick</t>
        </is>
      </c>
      <c r="C191" t="inlineStr">
        <is>
          <t>Vonovia Se</t>
        </is>
      </c>
      <c r="D191" t="n">
        <v>2</v>
      </c>
      <c r="E191" t="inlineStr">
        <is>
          <t>Sr Unsecured</t>
        </is>
      </c>
      <c r="F191" t="inlineStr">
        <is>
          <t>26.08.2031</t>
        </is>
      </c>
      <c r="G191" t="inlineStr">
        <is>
          <t>Germany</t>
        </is>
      </c>
      <c r="H191" t="inlineStr">
        <is>
          <t>Financial</t>
        </is>
      </c>
      <c r="I191" t="n">
        <v>5</v>
      </c>
      <c r="J191" t="n">
        <v>103.471</v>
      </c>
      <c r="K191" t="n">
        <v>1.396982</v>
      </c>
      <c r="L191" t="n">
        <v>-0.008729000000000001</v>
      </c>
      <c r="M191" t="n">
        <v>0.077225</v>
      </c>
      <c r="N191" t="n">
        <v>118.3981174</v>
      </c>
      <c r="O191" t="n">
        <v>5.950650186</v>
      </c>
      <c r="P191" t="n">
        <v>0</v>
      </c>
      <c r="Q191" t="inlineStr">
        <is>
          <t xml:space="preserve">Germany's largest residential real estate owner </t>
        </is>
      </c>
      <c r="R191" t="inlineStr">
        <is>
          <t>CHF</t>
        </is>
      </c>
      <c r="S191" t="inlineStr">
        <is>
          <t>Investment Grade</t>
        </is>
      </c>
      <c r="T191" t="inlineStr">
        <is>
          <t>BBB+</t>
        </is>
      </c>
      <c r="U191" t="inlineStr">
        <is>
          <t>BBB+</t>
        </is>
      </c>
    </row>
    <row r="192">
      <c r="A192" t="inlineStr">
        <is>
          <t xml:space="preserve"> US06051GKY43</t>
        </is>
      </c>
      <c r="B192" t="inlineStr">
        <is>
          <t>Hold</t>
        </is>
      </c>
      <c r="C192" t="inlineStr">
        <is>
          <t>Bank Of America Corp</t>
        </is>
      </c>
      <c r="D192" t="n">
        <v>5.015</v>
      </c>
      <c r="E192" t="inlineStr">
        <is>
          <t>Sr Unsecured</t>
        </is>
      </c>
      <c r="F192" t="inlineStr">
        <is>
          <t>22.07.2033</t>
        </is>
      </c>
      <c r="G192" t="inlineStr">
        <is>
          <t>United states</t>
        </is>
      </c>
      <c r="H192" t="inlineStr">
        <is>
          <t>Financial</t>
        </is>
      </c>
      <c r="I192" t="n">
        <v>2</v>
      </c>
      <c r="J192" t="n">
        <v>100.97</v>
      </c>
      <c r="K192" t="n">
        <v>4.850319</v>
      </c>
      <c r="L192" t="n">
        <v>-0.035267</v>
      </c>
      <c r="M192" t="n">
        <v>-0.179018</v>
      </c>
      <c r="N192" t="n">
        <v>118.2215535</v>
      </c>
      <c r="O192" t="n">
        <v>6.097070639</v>
      </c>
      <c r="P192" t="n">
        <v>80</v>
      </c>
      <c r="Q192" t="inlineStr">
        <is>
          <t>One of the largest US banks</t>
        </is>
      </c>
      <c r="R192" t="inlineStr">
        <is>
          <t>USD</t>
        </is>
      </c>
      <c r="S192" t="inlineStr">
        <is>
          <t>Investment Grade</t>
        </is>
      </c>
      <c r="T192" t="inlineStr">
        <is>
          <t>A</t>
        </is>
      </c>
      <c r="U192" t="inlineStr">
        <is>
          <t>A</t>
        </is>
      </c>
    </row>
    <row r="193">
      <c r="A193" t="inlineStr">
        <is>
          <t>FR001400H1V0</t>
        </is>
      </c>
      <c r="B193" t="inlineStr">
        <is>
          <t>Hold</t>
        </is>
      </c>
      <c r="C193" t="inlineStr">
        <is>
          <t>Engie Sa</t>
        </is>
      </c>
      <c r="D193" t="n">
        <v>5.625</v>
      </c>
      <c r="E193" t="inlineStr">
        <is>
          <t>Sr Unsecured</t>
        </is>
      </c>
      <c r="F193" t="inlineStr">
        <is>
          <t>03.04.2053</t>
        </is>
      </c>
      <c r="G193" t="inlineStr">
        <is>
          <t>France</t>
        </is>
      </c>
      <c r="H193" t="inlineStr">
        <is>
          <t>Utilities</t>
        </is>
      </c>
      <c r="I193" t="n">
        <v>100</v>
      </c>
      <c r="J193" t="n">
        <v>89.456</v>
      </c>
      <c r="K193" t="n">
        <v>6.347876</v>
      </c>
      <c r="L193" t="n">
        <v>0.060048</v>
      </c>
      <c r="M193" t="n">
        <v>0.000392</v>
      </c>
      <c r="N193" t="n">
        <v>117.8692579</v>
      </c>
      <c r="O193" t="n">
        <v>12.71686947</v>
      </c>
      <c r="P193" t="n">
        <v>50</v>
      </c>
      <c r="Q193" t="inlineStr">
        <is>
          <t>French utility company specialised in renewables</t>
        </is>
      </c>
      <c r="R193" t="inlineStr">
        <is>
          <t>GBP</t>
        </is>
      </c>
      <c r="S193" t="inlineStr">
        <is>
          <t>Investment Grade</t>
        </is>
      </c>
      <c r="T193" t="inlineStr">
        <is>
          <t>BBB+</t>
        </is>
      </c>
      <c r="U193" t="inlineStr">
        <is>
          <t>BBB+</t>
        </is>
      </c>
    </row>
    <row r="194">
      <c r="A194" t="inlineStr">
        <is>
          <t>US09659X2R20</t>
        </is>
      </c>
      <c r="B194" t="inlineStr">
        <is>
          <t xml:space="preserve">Hold </t>
        </is>
      </c>
      <c r="C194" t="inlineStr">
        <is>
          <t>Bnp Paribas</t>
        </is>
      </c>
      <c r="D194" t="n">
        <v>2.159</v>
      </c>
      <c r="E194" t="inlineStr">
        <is>
          <t>Sr Non Preferred</t>
        </is>
      </c>
      <c r="F194" t="inlineStr">
        <is>
          <t>15.09.2029</t>
        </is>
      </c>
      <c r="G194" t="inlineStr">
        <is>
          <t>France</t>
        </is>
      </c>
      <c r="H194" t="inlineStr">
        <is>
          <t>Financial</t>
        </is>
      </c>
      <c r="I194" t="n">
        <v>200</v>
      </c>
      <c r="J194" t="n">
        <v>92.509</v>
      </c>
      <c r="K194" t="n">
        <v>4.717661</v>
      </c>
      <c r="L194" t="n">
        <v>0.046863</v>
      </c>
      <c r="M194" t="n">
        <v>-0.169221</v>
      </c>
      <c r="N194" t="n">
        <v>117.6698948</v>
      </c>
      <c r="O194" t="n">
        <v>3.325296708</v>
      </c>
      <c r="P194" t="n">
        <v>75</v>
      </c>
      <c r="Q194" t="inlineStr">
        <is>
          <t>France's largest bank with a world leading position</t>
        </is>
      </c>
      <c r="R194" t="inlineStr">
        <is>
          <t>USD</t>
        </is>
      </c>
      <c r="S194" t="inlineStr">
        <is>
          <t>Investment Grade</t>
        </is>
      </c>
      <c r="T194" t="inlineStr">
        <is>
          <t>A-</t>
        </is>
      </c>
      <c r="U194" t="inlineStr">
        <is>
          <t>A-</t>
        </is>
      </c>
    </row>
    <row r="195">
      <c r="A195" t="inlineStr">
        <is>
          <t>US46647PDH64</t>
        </is>
      </c>
      <c r="B195" t="inlineStr">
        <is>
          <t>Top Pick</t>
        </is>
      </c>
      <c r="C195" t="inlineStr">
        <is>
          <t>Jpmorgan Chase &amp; Co</t>
        </is>
      </c>
      <c r="D195" t="n">
        <v>4.912</v>
      </c>
      <c r="E195" t="inlineStr">
        <is>
          <t>Sr Unsecured</t>
        </is>
      </c>
      <c r="F195" t="inlineStr">
        <is>
          <t>25.07.2033</t>
        </is>
      </c>
      <c r="G195" t="inlineStr">
        <is>
          <t>United states</t>
        </is>
      </c>
      <c r="H195" t="inlineStr">
        <is>
          <t>Financial</t>
        </is>
      </c>
      <c r="I195" t="n">
        <v>2</v>
      </c>
      <c r="J195" t="n">
        <v>100.455</v>
      </c>
      <c r="K195" t="n">
        <v>4.834618</v>
      </c>
      <c r="L195" t="n">
        <v>-0.049559</v>
      </c>
      <c r="M195" t="n">
        <v>-0.19385</v>
      </c>
      <c r="N195" t="n">
        <v>116.5956083</v>
      </c>
      <c r="O195" t="n">
        <v>6.123702075</v>
      </c>
      <c r="P195" t="n">
        <v>80</v>
      </c>
      <c r="Q195" t="inlineStr">
        <is>
          <t>The largest US bank</t>
        </is>
      </c>
      <c r="R195" t="inlineStr">
        <is>
          <t>USD</t>
        </is>
      </c>
      <c r="S195" t="inlineStr">
        <is>
          <t>Investment Grade</t>
        </is>
      </c>
      <c r="T195" t="inlineStr">
        <is>
          <t>A+</t>
        </is>
      </c>
      <c r="U195" t="inlineStr">
        <is>
          <t>A+</t>
        </is>
      </c>
    </row>
    <row r="196">
      <c r="A196" t="inlineStr">
        <is>
          <t>FR001400P3E2</t>
        </is>
      </c>
      <c r="B196" t="inlineStr">
        <is>
          <t>Hold</t>
        </is>
      </c>
      <c r="C196" t="inlineStr">
        <is>
          <t>Rci Banque Sa</t>
        </is>
      </c>
      <c r="D196" t="n">
        <v>4.125</v>
      </c>
      <c r="E196" t="inlineStr">
        <is>
          <t>Sr Unsecured</t>
        </is>
      </c>
      <c r="F196" t="inlineStr">
        <is>
          <t>04.04.2031</t>
        </is>
      </c>
      <c r="G196" t="inlineStr">
        <is>
          <t>France</t>
        </is>
      </c>
      <c r="H196" t="inlineStr">
        <is>
          <t>Consumer, Cyclical</t>
        </is>
      </c>
      <c r="I196" t="n">
        <v>1</v>
      </c>
      <c r="J196" t="n">
        <v>102.686</v>
      </c>
      <c r="K196" t="n">
        <v>3.576516</v>
      </c>
      <c r="L196" t="n">
        <v>-0.133648</v>
      </c>
      <c r="M196" t="n">
        <v>-0.103741</v>
      </c>
      <c r="N196" t="n">
        <v>116.3184218</v>
      </c>
      <c r="O196" t="n">
        <v>4.96651481</v>
      </c>
      <c r="P196" t="n">
        <v>60</v>
      </c>
      <c r="Q196" t="inlineStr">
        <is>
          <t>Provider of automobile financing services for Renault</t>
        </is>
      </c>
      <c r="R196" t="inlineStr">
        <is>
          <t>EUR</t>
        </is>
      </c>
      <c r="S196" t="inlineStr">
        <is>
          <t>Investment Grade</t>
        </is>
      </c>
      <c r="T196" t="inlineStr">
        <is>
          <t>BBB</t>
        </is>
      </c>
      <c r="U196" t="inlineStr">
        <is>
          <t>BBB</t>
        </is>
      </c>
    </row>
    <row r="197">
      <c r="A197" t="inlineStr">
        <is>
          <t>DE000DL19VS4</t>
        </is>
      </c>
      <c r="B197" t="inlineStr">
        <is>
          <t>Hold</t>
        </is>
      </c>
      <c r="C197" t="inlineStr">
        <is>
          <t>Deutsche Bank Ag</t>
        </is>
      </c>
      <c r="D197" t="n">
        <v>1.75</v>
      </c>
      <c r="E197" t="inlineStr">
        <is>
          <t>Sr Non Preferred</t>
        </is>
      </c>
      <c r="F197" t="inlineStr">
        <is>
          <t>19.11.2030</t>
        </is>
      </c>
      <c r="G197" t="inlineStr">
        <is>
          <t>Germany</t>
        </is>
      </c>
      <c r="H197" t="inlineStr">
        <is>
          <t>Financial</t>
        </is>
      </c>
      <c r="I197" t="n">
        <v>100</v>
      </c>
      <c r="J197" t="n">
        <v>94.163</v>
      </c>
      <c r="K197" t="n">
        <v>3.202742</v>
      </c>
      <c r="L197" t="n">
        <v>-0.061367</v>
      </c>
      <c r="M197" t="n">
        <v>-0.177226</v>
      </c>
      <c r="N197" t="n">
        <v>116.271281</v>
      </c>
      <c r="O197" t="n">
        <v>4.408806506</v>
      </c>
      <c r="P197" t="n">
        <v>60</v>
      </c>
      <c r="Q197" t="inlineStr">
        <is>
          <t xml:space="preserve">German largest universal bank </t>
        </is>
      </c>
      <c r="R197" t="inlineStr">
        <is>
          <t>EUR</t>
        </is>
      </c>
      <c r="S197" t="inlineStr">
        <is>
          <t>Investment Grade</t>
        </is>
      </c>
      <c r="T197" t="inlineStr">
        <is>
          <t>BBB+</t>
        </is>
      </c>
      <c r="U197" t="inlineStr">
        <is>
          <t>BBB+</t>
        </is>
      </c>
    </row>
    <row r="198">
      <c r="A198" t="inlineStr">
        <is>
          <t>XS2433140113</t>
        </is>
      </c>
      <c r="B198" t="inlineStr">
        <is>
          <t xml:space="preserve">Hold </t>
        </is>
      </c>
      <c r="C198" t="inlineStr">
        <is>
          <t>Volkswagen Fin Serv Nv</t>
        </is>
      </c>
      <c r="D198" t="n">
        <v>2.125</v>
      </c>
      <c r="E198" t="inlineStr">
        <is>
          <t>Sr Unsecured</t>
        </is>
      </c>
      <c r="F198" t="inlineStr">
        <is>
          <t>18.01.2028</t>
        </is>
      </c>
      <c r="G198" t="inlineStr">
        <is>
          <t>Germany</t>
        </is>
      </c>
      <c r="H198" t="inlineStr">
        <is>
          <t>Consumer, Cyclical</t>
        </is>
      </c>
      <c r="I198" t="n">
        <v>100</v>
      </c>
      <c r="J198" t="n">
        <v>93.435</v>
      </c>
      <c r="K198" t="n">
        <v>4.885916</v>
      </c>
      <c r="L198" t="n">
        <v>0.012409</v>
      </c>
      <c r="M198" t="n">
        <v>-0.215875</v>
      </c>
      <c r="N198" t="n">
        <v>115.9283948</v>
      </c>
      <c r="O198" t="n">
        <v>2.689489718</v>
      </c>
      <c r="P198" t="n">
        <v>75</v>
      </c>
      <c r="Q198" t="inlineStr">
        <is>
          <t>Financial arm of multinational auto manufacturing company</t>
        </is>
      </c>
      <c r="R198" t="inlineStr">
        <is>
          <t>GBP</t>
        </is>
      </c>
      <c r="S198" t="inlineStr">
        <is>
          <t>Investment Grade</t>
        </is>
      </c>
      <c r="T198" t="inlineStr">
        <is>
          <t>BBB+</t>
        </is>
      </c>
      <c r="U198" t="inlineStr">
        <is>
          <t>BBB+</t>
        </is>
      </c>
    </row>
    <row r="199">
      <c r="A199" t="inlineStr">
        <is>
          <t>XS2630420268</t>
        </is>
      </c>
      <c r="B199" t="inlineStr">
        <is>
          <t>Hold</t>
        </is>
      </c>
      <c r="C199" t="inlineStr">
        <is>
          <t>Intesa Sanpaolo Spa</t>
        </is>
      </c>
      <c r="D199" t="n">
        <v>6.625</v>
      </c>
      <c r="E199" t="inlineStr">
        <is>
          <t>Sr Preferred</t>
        </is>
      </c>
      <c r="F199" t="inlineStr">
        <is>
          <t>31.05.2033</t>
        </is>
      </c>
      <c r="G199" t="inlineStr">
        <is>
          <t>Italy</t>
        </is>
      </c>
      <c r="H199" t="inlineStr">
        <is>
          <t>Financial</t>
        </is>
      </c>
      <c r="I199" t="n">
        <v>100</v>
      </c>
      <c r="J199" t="n">
        <v>107.705</v>
      </c>
      <c r="K199" t="n">
        <v>5.412085</v>
      </c>
      <c r="L199" t="n">
        <v>-0.019007</v>
      </c>
      <c r="M199" t="n">
        <v>-0.279672</v>
      </c>
      <c r="N199" t="n">
        <v>115.2917526</v>
      </c>
      <c r="O199" t="n">
        <v>6.29126822</v>
      </c>
      <c r="P199" t="n">
        <v>60</v>
      </c>
      <c r="Q199" t="inlineStr">
        <is>
          <t>One of the largest Italian banks</t>
        </is>
      </c>
      <c r="R199" t="inlineStr">
        <is>
          <t>GBP</t>
        </is>
      </c>
      <c r="S199" t="inlineStr">
        <is>
          <t>Investment Grade</t>
        </is>
      </c>
      <c r="T199" t="inlineStr">
        <is>
          <t>BBB</t>
        </is>
      </c>
      <c r="U199" t="inlineStr">
        <is>
          <t>BBB</t>
        </is>
      </c>
    </row>
    <row r="200">
      <c r="A200" t="inlineStr">
        <is>
          <t>XS2787827190</t>
        </is>
      </c>
      <c r="B200" t="inlineStr">
        <is>
          <t xml:space="preserve">Hold </t>
        </is>
      </c>
      <c r="C200" t="inlineStr">
        <is>
          <t>Stellantis Nv</t>
        </is>
      </c>
      <c r="D200" t="n">
        <v>3.5</v>
      </c>
      <c r="E200" t="inlineStr">
        <is>
          <t>Sr Unsecured</t>
        </is>
      </c>
      <c r="F200" t="inlineStr">
        <is>
          <t>19.09.2030</t>
        </is>
      </c>
      <c r="G200" t="inlineStr">
        <is>
          <t>United states</t>
        </is>
      </c>
      <c r="H200" t="inlineStr">
        <is>
          <t>Consumer, Cyclical</t>
        </is>
      </c>
      <c r="I200" t="n">
        <v>100</v>
      </c>
      <c r="J200" t="n">
        <v>100.012</v>
      </c>
      <c r="K200" t="n">
        <v>3.4955</v>
      </c>
      <c r="L200" t="n">
        <v>-0.187047</v>
      </c>
      <c r="M200" t="n">
        <v>-0.166791</v>
      </c>
      <c r="N200" t="n">
        <v>115.0694219</v>
      </c>
      <c r="O200" t="n">
        <v>4.907506277</v>
      </c>
      <c r="P200" t="n">
        <v>80</v>
      </c>
      <c r="Q200" t="inlineStr">
        <is>
          <t>One of largest auto maker in the world</t>
        </is>
      </c>
      <c r="R200" t="inlineStr">
        <is>
          <t>EUR</t>
        </is>
      </c>
      <c r="S200" t="inlineStr">
        <is>
          <t>Investment Grade</t>
        </is>
      </c>
      <c r="T200" t="inlineStr">
        <is>
          <t>BBB</t>
        </is>
      </c>
      <c r="U200" t="inlineStr">
        <is>
          <t>BBB+</t>
        </is>
      </c>
    </row>
    <row r="201">
      <c r="A201" t="inlineStr">
        <is>
          <t>XS2582814385</t>
        </is>
      </c>
      <c r="B201" t="inlineStr">
        <is>
          <t>Hold</t>
        </is>
      </c>
      <c r="C201" t="inlineStr">
        <is>
          <t>British Telecommunicatio</t>
        </is>
      </c>
      <c r="D201" t="n">
        <v>5.75</v>
      </c>
      <c r="E201" t="inlineStr">
        <is>
          <t>Sr Unsecured</t>
        </is>
      </c>
      <c r="F201" t="inlineStr">
        <is>
          <t>13.02.2041</t>
        </is>
      </c>
      <c r="G201" t="inlineStr">
        <is>
          <t>United Kingdom</t>
        </is>
      </c>
      <c r="H201" t="inlineStr">
        <is>
          <t>Communications</t>
        </is>
      </c>
      <c r="I201" t="n">
        <v>100</v>
      </c>
      <c r="J201" t="n">
        <v>95.75</v>
      </c>
      <c r="K201" t="n">
        <v>6.085695</v>
      </c>
      <c r="L201" t="n">
        <v>0.048794</v>
      </c>
      <c r="M201" t="n">
        <v>-0.02653</v>
      </c>
      <c r="N201" t="n">
        <v>114.5687048</v>
      </c>
      <c r="O201" t="n">
        <v>10.13494275</v>
      </c>
      <c r="P201" t="n">
        <v>50</v>
      </c>
      <c r="Q201" t="inlineStr">
        <is>
          <t>UK telecom company</t>
        </is>
      </c>
      <c r="R201" t="inlineStr">
        <is>
          <t>GBP</t>
        </is>
      </c>
      <c r="S201" t="inlineStr">
        <is>
          <t>Investment Grade</t>
        </is>
      </c>
      <c r="T201" t="inlineStr">
        <is>
          <t>BBB</t>
        </is>
      </c>
      <c r="U201" t="inlineStr">
        <is>
          <t>BBB</t>
        </is>
      </c>
    </row>
    <row r="202">
      <c r="A202" t="inlineStr">
        <is>
          <t xml:space="preserve"> USP93077AC28</t>
        </is>
      </c>
      <c r="B202" t="inlineStr">
        <is>
          <t xml:space="preserve">Hold </t>
        </is>
      </c>
      <c r="C202" t="inlineStr">
        <is>
          <t>Transprtdra De Gas Intl</t>
        </is>
      </c>
      <c r="D202" t="n">
        <v>5.55</v>
      </c>
      <c r="E202" t="inlineStr">
        <is>
          <t>Sr Unsecured</t>
        </is>
      </c>
      <c r="F202" t="inlineStr">
        <is>
          <t>01.11.2028</t>
        </is>
      </c>
      <c r="G202" t="inlineStr">
        <is>
          <t>Colombia</t>
        </is>
      </c>
      <c r="H202" t="inlineStr">
        <is>
          <t>Energy</t>
        </is>
      </c>
      <c r="I202" t="n">
        <v>200</v>
      </c>
      <c r="J202" t="n">
        <v>101.459</v>
      </c>
      <c r="K202" t="n">
        <v>5.030167</v>
      </c>
      <c r="L202" t="n">
        <v>0.006296</v>
      </c>
      <c r="M202" t="n">
        <v>-0.07036000000000001</v>
      </c>
      <c r="N202" t="n">
        <v>114.083991</v>
      </c>
      <c r="O202" t="n">
        <v>3.242917651</v>
      </c>
      <c r="P202" t="n">
        <v>0</v>
      </c>
      <c r="Q202" t="inlineStr">
        <is>
          <t xml:space="preserve">Gas midstream company </t>
        </is>
      </c>
      <c r="R202" t="inlineStr">
        <is>
          <t>USD</t>
        </is>
      </c>
      <c r="S202" t="inlineStr">
        <is>
          <t>Latin America</t>
        </is>
      </c>
      <c r="T202" t="inlineStr">
        <is>
          <t>BBB-</t>
        </is>
      </c>
      <c r="U202" t="inlineStr">
        <is>
          <t>BBB-</t>
        </is>
      </c>
    </row>
    <row r="203">
      <c r="A203" t="inlineStr">
        <is>
          <t xml:space="preserve"> US17327CAT09</t>
        </is>
      </c>
      <c r="B203" t="inlineStr">
        <is>
          <t>Top pick</t>
        </is>
      </c>
      <c r="C203" t="inlineStr">
        <is>
          <t>Citigroup Inc</t>
        </is>
      </c>
      <c r="D203" t="n">
        <v>4.542</v>
      </c>
      <c r="E203" t="inlineStr">
        <is>
          <t>Sr Unsecured</t>
        </is>
      </c>
      <c r="F203" t="inlineStr">
        <is>
          <t>19.09.2030</t>
        </is>
      </c>
      <c r="G203" t="inlineStr">
        <is>
          <t>United states</t>
        </is>
      </c>
      <c r="H203" t="inlineStr">
        <is>
          <t>Financial</t>
        </is>
      </c>
      <c r="I203" t="n">
        <v>1</v>
      </c>
      <c r="J203" t="n">
        <v>99.45</v>
      </c>
      <c r="K203" t="n">
        <v>4.686338</v>
      </c>
      <c r="L203" t="n">
        <v>-0.01578</v>
      </c>
      <c r="M203" t="n">
        <v>-0.171061</v>
      </c>
      <c r="N203" t="n">
        <v>113.8685487</v>
      </c>
      <c r="O203" t="n">
        <v>3.998156426</v>
      </c>
      <c r="P203" t="n">
        <v>0</v>
      </c>
      <c r="Q203" t="inlineStr">
        <is>
          <t>One of the largest US banks</t>
        </is>
      </c>
      <c r="R203" t="inlineStr">
        <is>
          <t>USD</t>
        </is>
      </c>
      <c r="S203" t="inlineStr">
        <is>
          <t>Investment Grade</t>
        </is>
      </c>
      <c r="T203" t="inlineStr">
        <is>
          <t>A-</t>
        </is>
      </c>
      <c r="U203" t="inlineStr">
        <is>
          <t>A-</t>
        </is>
      </c>
    </row>
    <row r="204">
      <c r="A204" t="inlineStr">
        <is>
          <t xml:space="preserve"> US38141GC365</t>
        </is>
      </c>
      <c r="B204" t="inlineStr">
        <is>
          <t>Top Pick</t>
        </is>
      </c>
      <c r="C204" t="inlineStr">
        <is>
          <t>Goldman Sachs Group Inc</t>
        </is>
      </c>
      <c r="D204" t="n">
        <v>5.207</v>
      </c>
      <c r="E204" t="inlineStr">
        <is>
          <t>Sr Unsecured</t>
        </is>
      </c>
      <c r="F204" t="inlineStr">
        <is>
          <t>28.01.2031</t>
        </is>
      </c>
      <c r="G204" t="inlineStr">
        <is>
          <t>United states</t>
        </is>
      </c>
      <c r="H204" t="inlineStr">
        <is>
          <t>Financial</t>
        </is>
      </c>
      <c r="I204" t="n">
        <v>1</v>
      </c>
      <c r="J204" t="n">
        <v>102.087</v>
      </c>
      <c r="K204" t="n">
        <v>4.691982</v>
      </c>
      <c r="L204" t="n">
        <v>0.01323</v>
      </c>
      <c r="M204" t="n">
        <v>-0.143259</v>
      </c>
      <c r="N204" t="n">
        <v>113.2727237</v>
      </c>
      <c r="O204" t="n">
        <v>4.293056421</v>
      </c>
      <c r="P204" t="n">
        <v>0</v>
      </c>
      <c r="Q204" t="inlineStr">
        <is>
          <t>One of the largest US investment banks</t>
        </is>
      </c>
      <c r="R204" t="inlineStr">
        <is>
          <t>USD</t>
        </is>
      </c>
      <c r="S204" t="inlineStr">
        <is>
          <t>Investment Grade</t>
        </is>
      </c>
      <c r="T204" t="inlineStr">
        <is>
          <t>A-</t>
        </is>
      </c>
      <c r="U204" t="inlineStr">
        <is>
          <t>A-</t>
        </is>
      </c>
    </row>
    <row r="205">
      <c r="A205" t="inlineStr">
        <is>
          <t>FR001400KHX5</t>
        </is>
      </c>
      <c r="B205" t="inlineStr">
        <is>
          <t>Not accumulate</t>
        </is>
      </c>
      <c r="C205" t="inlineStr">
        <is>
          <t>Kering</t>
        </is>
      </c>
      <c r="D205" t="n">
        <v>3.875</v>
      </c>
      <c r="E205" t="inlineStr">
        <is>
          <t>Sr Unsecured</t>
        </is>
      </c>
      <c r="F205" t="inlineStr">
        <is>
          <t>05.09.2035</t>
        </is>
      </c>
      <c r="G205" t="inlineStr">
        <is>
          <t>France</t>
        </is>
      </c>
      <c r="H205" t="inlineStr">
        <is>
          <t>Consumer, Cyclical</t>
        </is>
      </c>
      <c r="I205" t="n">
        <v>100</v>
      </c>
      <c r="J205" t="n">
        <v>98.79600000000001</v>
      </c>
      <c r="K205" t="n">
        <v>4.02051</v>
      </c>
      <c r="L205" t="n">
        <v>-0.092263</v>
      </c>
      <c r="M205" t="n">
        <v>0.091184</v>
      </c>
      <c r="N205" t="n">
        <v>113.18562</v>
      </c>
      <c r="O205" t="n">
        <v>8.230255975</v>
      </c>
      <c r="P205" t="n">
        <v>85</v>
      </c>
      <c r="Q205" t="inlineStr">
        <is>
          <t>Designs, manufactures, and markets fashion and leather goods</t>
        </is>
      </c>
      <c r="R205" t="inlineStr">
        <is>
          <t>EUR</t>
        </is>
      </c>
      <c r="S205" t="inlineStr">
        <is>
          <t>Investment Grade</t>
        </is>
      </c>
      <c r="T205" t="inlineStr">
        <is>
          <t>NR</t>
        </is>
      </c>
      <c r="U205" t="inlineStr">
        <is>
          <t>NR</t>
        </is>
      </c>
    </row>
    <row r="206">
      <c r="A206" t="inlineStr">
        <is>
          <t>US23636BBH15</t>
        </is>
      </c>
      <c r="B206" t="inlineStr">
        <is>
          <t>Top Pick</t>
        </is>
      </c>
      <c r="C206" t="inlineStr">
        <is>
          <t>Danske Bank A/S</t>
        </is>
      </c>
      <c r="D206" t="n">
        <v>5.705</v>
      </c>
      <c r="E206" t="inlineStr">
        <is>
          <t>Sr Non Preferred</t>
        </is>
      </c>
      <c r="F206" t="inlineStr">
        <is>
          <t>01.03.2030</t>
        </is>
      </c>
      <c r="G206" t="inlineStr">
        <is>
          <t>Denmark</t>
        </is>
      </c>
      <c r="H206" t="inlineStr">
        <is>
          <t>Financial</t>
        </is>
      </c>
      <c r="I206" t="n">
        <v>200</v>
      </c>
      <c r="J206" t="n">
        <v>103.439</v>
      </c>
      <c r="K206" t="n">
        <v>4.666579</v>
      </c>
      <c r="L206" t="n">
        <v>0.041806</v>
      </c>
      <c r="M206" t="n">
        <v>-0.115666</v>
      </c>
      <c r="N206" t="n">
        <v>112.5440941</v>
      </c>
      <c r="O206" t="n">
        <v>3.478021328</v>
      </c>
      <c r="P206" t="n">
        <v>0</v>
      </c>
      <c r="Q206" t="inlineStr">
        <is>
          <t>One of the largest banks in Danmark</t>
        </is>
      </c>
      <c r="R206" t="inlineStr">
        <is>
          <t>USD</t>
        </is>
      </c>
      <c r="S206" t="inlineStr">
        <is>
          <t>Investment Grade</t>
        </is>
      </c>
      <c r="T206" t="inlineStr">
        <is>
          <t>A-</t>
        </is>
      </c>
      <c r="U206" t="inlineStr">
        <is>
          <t>A-</t>
        </is>
      </c>
    </row>
    <row r="207">
      <c r="A207" t="inlineStr">
        <is>
          <t>XS2898290916</t>
        </is>
      </c>
      <c r="B207" t="inlineStr">
        <is>
          <t>Top Pick</t>
        </is>
      </c>
      <c r="C207" t="inlineStr">
        <is>
          <t>Digital Dutch Finco Bv</t>
        </is>
      </c>
      <c r="D207" t="n">
        <v>3.875</v>
      </c>
      <c r="E207" t="inlineStr">
        <is>
          <t>Sr Unsecured</t>
        </is>
      </c>
      <c r="F207" t="inlineStr">
        <is>
          <t>13.09.2033</t>
        </is>
      </c>
      <c r="G207" t="inlineStr">
        <is>
          <t>United states</t>
        </is>
      </c>
      <c r="H207" t="inlineStr">
        <is>
          <t>Financial</t>
        </is>
      </c>
      <c r="I207" t="n">
        <v>100</v>
      </c>
      <c r="J207" t="n">
        <v>100.354</v>
      </c>
      <c r="K207" t="n">
        <v>3.822881</v>
      </c>
      <c r="L207" t="n">
        <v>-0.006669</v>
      </c>
      <c r="M207" t="n">
        <v>-0.009766</v>
      </c>
      <c r="N207" t="n">
        <v>112.2053439</v>
      </c>
      <c r="O207" t="n">
        <v>6.877537687</v>
      </c>
      <c r="P207" t="n">
        <v>0</v>
      </c>
      <c r="Q207" t="inlineStr">
        <is>
          <t>Owns and operates data centres</t>
        </is>
      </c>
      <c r="R207" t="inlineStr">
        <is>
          <t>EUR</t>
        </is>
      </c>
      <c r="S207" t="inlineStr">
        <is>
          <t>Investment Grade</t>
        </is>
      </c>
      <c r="T207" t="inlineStr">
        <is>
          <t>BBB</t>
        </is>
      </c>
      <c r="U207" t="inlineStr">
        <is>
          <t>BBB</t>
        </is>
      </c>
    </row>
    <row r="208">
      <c r="A208" t="inlineStr">
        <is>
          <t>US731011AW25</t>
        </is>
      </c>
      <c r="B208" t="inlineStr">
        <is>
          <t>Hold</t>
        </is>
      </c>
      <c r="C208" t="inlineStr">
        <is>
          <t>Republic Of Poland</t>
        </is>
      </c>
      <c r="D208" t="n">
        <v>5.5</v>
      </c>
      <c r="E208" t="inlineStr">
        <is>
          <t>Sr Unsecured</t>
        </is>
      </c>
      <c r="F208" t="inlineStr">
        <is>
          <t>04.04.2053</t>
        </is>
      </c>
      <c r="G208" t="inlineStr">
        <is>
          <t>Poland</t>
        </is>
      </c>
      <c r="H208" t="inlineStr">
        <is>
          <t>Government</t>
        </is>
      </c>
      <c r="I208" t="n">
        <v>1</v>
      </c>
      <c r="J208" t="n">
        <v>93.54900000000001</v>
      </c>
      <c r="K208" t="n">
        <v>5.978422</v>
      </c>
      <c r="L208" t="n">
        <v>-0.031797</v>
      </c>
      <c r="M208" t="n">
        <v>-0.186436</v>
      </c>
      <c r="N208" t="n">
        <v>112.1488937</v>
      </c>
      <c r="O208" t="n">
        <v>13.47132839</v>
      </c>
      <c r="P208" t="n">
        <v>60</v>
      </c>
      <c r="Q208" t="inlineStr">
        <is>
          <t xml:space="preserve">Poland government bond </t>
        </is>
      </c>
      <c r="R208" t="inlineStr">
        <is>
          <t>USD</t>
        </is>
      </c>
      <c r="S208" t="inlineStr">
        <is>
          <t>Investment Grade</t>
        </is>
      </c>
      <c r="T208" t="inlineStr">
        <is>
          <t>A-</t>
        </is>
      </c>
      <c r="U208" t="inlineStr">
        <is>
          <t>A-</t>
        </is>
      </c>
    </row>
    <row r="209">
      <c r="A209" t="inlineStr">
        <is>
          <t>US86964WAF95</t>
        </is>
      </c>
      <c r="B209" t="inlineStr">
        <is>
          <t>Top Pick</t>
        </is>
      </c>
      <c r="C209" t="inlineStr">
        <is>
          <t>Suzano Austria Gmbh</t>
        </is>
      </c>
      <c r="D209" t="n">
        <v>6</v>
      </c>
      <c r="E209" t="inlineStr">
        <is>
          <t>Sr Unsecured</t>
        </is>
      </c>
      <c r="F209" t="inlineStr">
        <is>
          <t>15.01.2029</t>
        </is>
      </c>
      <c r="G209" t="inlineStr">
        <is>
          <t>Brazil</t>
        </is>
      </c>
      <c r="H209" t="inlineStr">
        <is>
          <t>Basic Materials</t>
        </is>
      </c>
      <c r="I209" t="n">
        <v>200</v>
      </c>
      <c r="J209" t="n">
        <v>102.971</v>
      </c>
      <c r="K209" t="n">
        <v>5.005773</v>
      </c>
      <c r="L209" t="n">
        <v>-0.030406</v>
      </c>
      <c r="M209" t="n">
        <v>-0.30854</v>
      </c>
      <c r="N209" t="n">
        <v>111.5692401</v>
      </c>
      <c r="O209" t="n">
        <v>3.227936902</v>
      </c>
      <c r="P209" t="n">
        <v>0</v>
      </c>
      <c r="Q209" t="inlineStr">
        <is>
          <t>World's leading pulp producer</t>
        </is>
      </c>
      <c r="R209" t="inlineStr">
        <is>
          <t>USD</t>
        </is>
      </c>
      <c r="S209" t="inlineStr">
        <is>
          <t>Latin America</t>
        </is>
      </c>
      <c r="T209" t="inlineStr">
        <is>
          <t>BBB-</t>
        </is>
      </c>
      <c r="U209" t="inlineStr">
        <is>
          <t>BBB-</t>
        </is>
      </c>
    </row>
    <row r="210">
      <c r="A210" t="inlineStr">
        <is>
          <t>XS2747270556</t>
        </is>
      </c>
      <c r="B210" t="inlineStr">
        <is>
          <t>Hold</t>
        </is>
      </c>
      <c r="C210" t="inlineStr">
        <is>
          <t>General Motors Finl Co</t>
        </is>
      </c>
      <c r="D210" t="n">
        <v>5.5</v>
      </c>
      <c r="E210" t="inlineStr">
        <is>
          <t>Sr Unsecured</t>
        </is>
      </c>
      <c r="F210" t="inlineStr">
        <is>
          <t>12.01.2030</t>
        </is>
      </c>
      <c r="G210" t="inlineStr">
        <is>
          <t>United states</t>
        </is>
      </c>
      <c r="H210" t="inlineStr">
        <is>
          <t>Consumer, Cyclical</t>
        </is>
      </c>
      <c r="I210" t="n">
        <v>100</v>
      </c>
      <c r="J210" t="n">
        <v>101.602</v>
      </c>
      <c r="K210" t="n">
        <v>5.012365</v>
      </c>
      <c r="L210" t="n">
        <v>-0.012304</v>
      </c>
      <c r="M210" t="n">
        <v>-0.269682</v>
      </c>
      <c r="N210" t="n">
        <v>111.2406601</v>
      </c>
      <c r="O210" t="n">
        <v>4.03920569</v>
      </c>
      <c r="P210" t="n">
        <v>0</v>
      </c>
      <c r="Q210" t="inlineStr">
        <is>
          <t>World's third largest automaker owning Chevrolet, Buick and Cadillac</t>
        </is>
      </c>
      <c r="R210" t="inlineStr">
        <is>
          <t>GBP</t>
        </is>
      </c>
      <c r="S210" t="inlineStr">
        <is>
          <t>Investment Grade</t>
        </is>
      </c>
      <c r="T210" t="inlineStr">
        <is>
          <t>BBB</t>
        </is>
      </c>
      <c r="U210" t="inlineStr">
        <is>
          <t>BBB</t>
        </is>
      </c>
    </row>
    <row r="211">
      <c r="A211" t="inlineStr">
        <is>
          <t>XS2580269426</t>
        </is>
      </c>
      <c r="B211" t="inlineStr">
        <is>
          <t>Hold</t>
        </is>
      </c>
      <c r="C211" t="inlineStr">
        <is>
          <t>Republic Of Serbia</t>
        </is>
      </c>
      <c r="D211" t="n">
        <v>6.25</v>
      </c>
      <c r="E211" t="inlineStr">
        <is>
          <t>Sr Unsecured</t>
        </is>
      </c>
      <c r="F211" t="inlineStr">
        <is>
          <t>26.05.2028</t>
        </is>
      </c>
      <c r="G211" t="inlineStr">
        <is>
          <t>Serbia</t>
        </is>
      </c>
      <c r="H211" t="inlineStr">
        <is>
          <t>Government</t>
        </is>
      </c>
      <c r="I211" t="n">
        <v>200</v>
      </c>
      <c r="J211" t="n">
        <v>103.48</v>
      </c>
      <c r="K211" t="n">
        <v>4.936541</v>
      </c>
      <c r="L211" t="n">
        <v>-0.003313</v>
      </c>
      <c r="M211" t="n">
        <v>-0.219089</v>
      </c>
      <c r="N211" t="n">
        <v>111.0472518</v>
      </c>
      <c r="O211" t="n">
        <v>2.879387173</v>
      </c>
      <c r="P211" t="n">
        <v>10</v>
      </c>
      <c r="Q211" t="inlineStr">
        <is>
          <t>Serbian government bond</t>
        </is>
      </c>
      <c r="R211" t="inlineStr">
        <is>
          <t>USD</t>
        </is>
      </c>
      <c r="S211" t="inlineStr">
        <is>
          <t>High Yield</t>
        </is>
      </c>
      <c r="T211" t="inlineStr">
        <is>
          <t>BB+</t>
        </is>
      </c>
      <c r="U211" t="inlineStr">
        <is>
          <t>BB+</t>
        </is>
      </c>
    </row>
    <row r="212">
      <c r="A212" t="inlineStr">
        <is>
          <t>FR001400EHG3</t>
        </is>
      </c>
      <c r="B212" t="inlineStr">
        <is>
          <t>Hold</t>
        </is>
      </c>
      <c r="C212" t="inlineStr">
        <is>
          <t>Societe Generale</t>
        </is>
      </c>
      <c r="D212" t="n">
        <v>4.25</v>
      </c>
      <c r="E212" t="inlineStr">
        <is>
          <t>Sr Non Preferred</t>
        </is>
      </c>
      <c r="F212" t="inlineStr">
        <is>
          <t>06.12.2030</t>
        </is>
      </c>
      <c r="G212" t="inlineStr">
        <is>
          <t>France</t>
        </is>
      </c>
      <c r="H212" t="inlineStr">
        <is>
          <t>Financial</t>
        </is>
      </c>
      <c r="I212" t="n">
        <v>100</v>
      </c>
      <c r="J212" t="n">
        <v>104.46</v>
      </c>
      <c r="K212" t="n">
        <v>3.147338</v>
      </c>
      <c r="L212" t="n">
        <v>-0.05436</v>
      </c>
      <c r="M212" t="n">
        <v>-0.141022</v>
      </c>
      <c r="N212" t="n">
        <v>111.0292039</v>
      </c>
      <c r="O212" t="n">
        <v>4.250944589</v>
      </c>
      <c r="P212" t="n">
        <v>60</v>
      </c>
      <c r="Q212" t="inlineStr">
        <is>
          <t>One of the largest banks in Europe</t>
        </is>
      </c>
      <c r="R212" t="inlineStr">
        <is>
          <t>EUR</t>
        </is>
      </c>
      <c r="S212" t="inlineStr">
        <is>
          <t>Investment Grade</t>
        </is>
      </c>
      <c r="T212" t="inlineStr">
        <is>
          <t>BBB</t>
        </is>
      </c>
      <c r="U212" t="inlineStr">
        <is>
          <t>BBB</t>
        </is>
      </c>
    </row>
    <row r="213">
      <c r="A213" t="inlineStr">
        <is>
          <t>XS2689127467</t>
        </is>
      </c>
      <c r="B213" t="inlineStr">
        <is>
          <t>Top Pick</t>
        </is>
      </c>
      <c r="C213" t="inlineStr">
        <is>
          <t>Veralto Corp</t>
        </is>
      </c>
      <c r="D213" t="n">
        <v>4.15</v>
      </c>
      <c r="E213" t="inlineStr">
        <is>
          <t>Sr Unsecured</t>
        </is>
      </c>
      <c r="F213" t="inlineStr">
        <is>
          <t>19.09.2031</t>
        </is>
      </c>
      <c r="G213" t="inlineStr">
        <is>
          <t>United states</t>
        </is>
      </c>
      <c r="H213" t="inlineStr">
        <is>
          <t>Industrial</t>
        </is>
      </c>
      <c r="I213" t="n">
        <v>100</v>
      </c>
      <c r="J213" t="n">
        <v>102.998</v>
      </c>
      <c r="K213" t="n">
        <v>3.581124</v>
      </c>
      <c r="L213" t="n">
        <v>-0.031224</v>
      </c>
      <c r="M213" t="n">
        <v>-0.020289</v>
      </c>
      <c r="N213" t="n">
        <v>110.8725264</v>
      </c>
      <c r="O213" t="n">
        <v>5.41108019</v>
      </c>
      <c r="P213" t="n">
        <v>75</v>
      </c>
      <c r="Q213" t="inlineStr">
        <is>
          <t xml:space="preserve">Spinoff from Danaher, acting within the water treatment industry. </t>
        </is>
      </c>
      <c r="R213" t="inlineStr">
        <is>
          <t>EUR</t>
        </is>
      </c>
      <c r="S213" t="inlineStr">
        <is>
          <t>Investment Grade</t>
        </is>
      </c>
      <c r="T213" t="inlineStr">
        <is>
          <t>BBB</t>
        </is>
      </c>
      <c r="U213" t="inlineStr">
        <is>
          <t>BBB</t>
        </is>
      </c>
    </row>
    <row r="214">
      <c r="A214" t="inlineStr">
        <is>
          <t>US86964WAJ18</t>
        </is>
      </c>
      <c r="B214" t="inlineStr">
        <is>
          <t>Top Pick</t>
        </is>
      </c>
      <c r="C214" t="inlineStr">
        <is>
          <t>Suzano Austria Gmbh</t>
        </is>
      </c>
      <c r="D214" t="n">
        <v>3.75</v>
      </c>
      <c r="E214" t="inlineStr">
        <is>
          <t>Sr Unsecured</t>
        </is>
      </c>
      <c r="F214" t="inlineStr">
        <is>
          <t>15.01.2031</t>
        </is>
      </c>
      <c r="G214" t="inlineStr">
        <is>
          <t>Brazil</t>
        </is>
      </c>
      <c r="H214" t="inlineStr">
        <is>
          <t>Basic Materials</t>
        </is>
      </c>
      <c r="I214" t="n">
        <v>1</v>
      </c>
      <c r="J214" t="n">
        <v>93.54600000000001</v>
      </c>
      <c r="K214" t="n">
        <v>5.106417</v>
      </c>
      <c r="L214" t="n">
        <v>-0.09815699999999999</v>
      </c>
      <c r="M214" t="n">
        <v>-0.478391</v>
      </c>
      <c r="N214" t="n">
        <v>110.771147</v>
      </c>
      <c r="O214" t="n">
        <v>5.140549004</v>
      </c>
      <c r="P214" t="n">
        <v>0</v>
      </c>
      <c r="Q214" t="inlineStr">
        <is>
          <t>World's leading pulp producer</t>
        </is>
      </c>
      <c r="R214" t="inlineStr">
        <is>
          <t>USD</t>
        </is>
      </c>
      <c r="S214" t="inlineStr">
        <is>
          <t>Latin America</t>
        </is>
      </c>
      <c r="T214" t="inlineStr">
        <is>
          <t>BBB-</t>
        </is>
      </c>
      <c r="U214" t="inlineStr">
        <is>
          <t>BBB-</t>
        </is>
      </c>
    </row>
    <row r="215">
      <c r="A215" t="inlineStr">
        <is>
          <t>US29273VAY65</t>
        </is>
      </c>
      <c r="B215" t="inlineStr">
        <is>
          <t>Hold</t>
        </is>
      </c>
      <c r="C215" t="inlineStr">
        <is>
          <t>Energy Transfer Lp</t>
        </is>
      </c>
      <c r="D215" t="n">
        <v>5.55</v>
      </c>
      <c r="E215" t="inlineStr">
        <is>
          <t>Sr Unsecured</t>
        </is>
      </c>
      <c r="F215" t="inlineStr">
        <is>
          <t>15.05.2034</t>
        </is>
      </c>
      <c r="G215" t="inlineStr">
        <is>
          <t>United states</t>
        </is>
      </c>
      <c r="H215" t="inlineStr">
        <is>
          <t>Energy</t>
        </is>
      </c>
      <c r="I215" t="n">
        <v>2</v>
      </c>
      <c r="J215" t="n">
        <v>101.084</v>
      </c>
      <c r="K215" t="n">
        <v>5.3906</v>
      </c>
      <c r="L215" t="n">
        <v>-0.043527</v>
      </c>
      <c r="M215" t="n">
        <v>-0.208447</v>
      </c>
      <c r="N215" t="n">
        <v>110.4122426</v>
      </c>
      <c r="O215" t="n">
        <v>7.040478744</v>
      </c>
      <c r="P215" t="n">
        <v>0</v>
      </c>
      <c r="Q215" t="inlineStr">
        <is>
          <t xml:space="preserve">US midstream in pipeline and storage </t>
        </is>
      </c>
      <c r="R215" t="inlineStr">
        <is>
          <t>USD</t>
        </is>
      </c>
      <c r="S215" t="inlineStr">
        <is>
          <t>Investment Grade</t>
        </is>
      </c>
      <c r="T215" t="inlineStr">
        <is>
          <t>BBB</t>
        </is>
      </c>
      <c r="U215" t="inlineStr">
        <is>
          <t>BBB</t>
        </is>
      </c>
    </row>
    <row r="216">
      <c r="A216" t="inlineStr">
        <is>
          <t>US86964WAH51</t>
        </is>
      </c>
      <c r="B216" t="inlineStr">
        <is>
          <t>Top Pick</t>
        </is>
      </c>
      <c r="C216" t="inlineStr">
        <is>
          <t>Suzano Austria Gmbh</t>
        </is>
      </c>
      <c r="D216" t="n">
        <v>5</v>
      </c>
      <c r="E216" t="inlineStr">
        <is>
          <t>Sr Unsecured</t>
        </is>
      </c>
      <c r="F216" t="inlineStr">
        <is>
          <t>15.01.2030</t>
        </is>
      </c>
      <c r="G216" t="inlineStr">
        <is>
          <t>Brazil</t>
        </is>
      </c>
      <c r="H216" t="inlineStr">
        <is>
          <t>Basic Materials</t>
        </is>
      </c>
      <c r="I216" t="n">
        <v>200</v>
      </c>
      <c r="J216" t="n">
        <v>99.84099999999999</v>
      </c>
      <c r="K216" t="n">
        <v>5.039362</v>
      </c>
      <c r="L216" t="n">
        <v>-0.045719</v>
      </c>
      <c r="M216" t="n">
        <v>-0.431138</v>
      </c>
      <c r="N216" t="n">
        <v>109.1666678</v>
      </c>
      <c r="O216" t="n">
        <v>4.255186627</v>
      </c>
      <c r="P216" t="n">
        <v>0</v>
      </c>
      <c r="Q216" t="inlineStr">
        <is>
          <t>World's leading pulp producer</t>
        </is>
      </c>
      <c r="R216" t="inlineStr">
        <is>
          <t>USD</t>
        </is>
      </c>
      <c r="S216" t="inlineStr">
        <is>
          <t>Latin America</t>
        </is>
      </c>
      <c r="T216" t="inlineStr">
        <is>
          <t>BBB-</t>
        </is>
      </c>
      <c r="U216" t="inlineStr">
        <is>
          <t>BBB-</t>
        </is>
      </c>
    </row>
    <row r="217">
      <c r="A217" t="inlineStr">
        <is>
          <t>XS1221677120</t>
        </is>
      </c>
      <c r="B217" t="inlineStr">
        <is>
          <t xml:space="preserve">Hold </t>
        </is>
      </c>
      <c r="C217" t="inlineStr">
        <is>
          <t>Office Cherifien Des Pho</t>
        </is>
      </c>
      <c r="D217" t="n">
        <v>4.5</v>
      </c>
      <c r="E217" t="inlineStr">
        <is>
          <t>Sr Unsecured</t>
        </is>
      </c>
      <c r="F217" t="inlineStr">
        <is>
          <t>22.10.2025</t>
        </is>
      </c>
      <c r="G217" t="inlineStr">
        <is>
          <t>Morocco</t>
        </is>
      </c>
      <c r="H217" t="inlineStr">
        <is>
          <t>Basic Materials</t>
        </is>
      </c>
      <c r="I217" t="n">
        <v>200</v>
      </c>
      <c r="J217" t="n">
        <v>99.727</v>
      </c>
      <c r="K217" t="n">
        <v>5.418588</v>
      </c>
      <c r="L217" t="n">
        <v>-0.102334</v>
      </c>
      <c r="M217" t="n">
        <v>-0.253217</v>
      </c>
      <c r="N217" t="n">
        <v>109.0606448</v>
      </c>
      <c r="O217" t="n">
        <v>0.633483157</v>
      </c>
      <c r="P217" t="n">
        <v>25</v>
      </c>
      <c r="Q217" t="inlineStr">
        <is>
          <t xml:space="preserve">Moroccan state-owned fertiliser company </t>
        </is>
      </c>
      <c r="R217" t="inlineStr">
        <is>
          <t>USD</t>
        </is>
      </c>
      <c r="S217" t="inlineStr">
        <is>
          <t>High Yield</t>
        </is>
      </c>
      <c r="T217" t="inlineStr">
        <is>
          <t>BB+</t>
        </is>
      </c>
      <c r="U217" t="inlineStr">
        <is>
          <t>BB+</t>
        </is>
      </c>
    </row>
    <row r="218">
      <c r="A218" t="inlineStr">
        <is>
          <t>FR0013535150</t>
        </is>
      </c>
      <c r="B218" t="inlineStr">
        <is>
          <t>Hold</t>
        </is>
      </c>
      <c r="C218" t="inlineStr">
        <is>
          <t>Praemia Healthcare Saca</t>
        </is>
      </c>
      <c r="D218" t="n">
        <v>1.375</v>
      </c>
      <c r="E218" t="inlineStr">
        <is>
          <t>Sr Unsecured</t>
        </is>
      </c>
      <c r="F218" t="inlineStr">
        <is>
          <t>17.09.2030</t>
        </is>
      </c>
      <c r="G218" t="inlineStr">
        <is>
          <t>France</t>
        </is>
      </c>
      <c r="H218" t="inlineStr">
        <is>
          <t>Financial</t>
        </is>
      </c>
      <c r="I218" t="n">
        <v>100</v>
      </c>
      <c r="J218" t="n">
        <v>90.38800000000001</v>
      </c>
      <c r="K218" t="n">
        <v>3.42653</v>
      </c>
      <c r="L218" t="n">
        <v>-0.058093</v>
      </c>
      <c r="M218" t="n">
        <v>-0.06597500000000001</v>
      </c>
      <c r="N218" t="n">
        <v>108.5589988</v>
      </c>
      <c r="O218" t="n">
        <v>5.163290005</v>
      </c>
      <c r="P218" t="n">
        <v>60</v>
      </c>
      <c r="Q218" t="inlineStr">
        <is>
          <t>Hospital operator</t>
        </is>
      </c>
      <c r="R218" t="inlineStr">
        <is>
          <t>EUR</t>
        </is>
      </c>
      <c r="S218" t="inlineStr">
        <is>
          <t>Investment Grade</t>
        </is>
      </c>
      <c r="T218" t="inlineStr">
        <is>
          <t>NR</t>
        </is>
      </c>
      <c r="U218" t="inlineStr">
        <is>
          <t>NR</t>
        </is>
      </c>
    </row>
    <row r="219">
      <c r="A219" t="inlineStr">
        <is>
          <t xml:space="preserve"> US42824CBV00</t>
        </is>
      </c>
      <c r="B219" t="inlineStr">
        <is>
          <t>Hold</t>
        </is>
      </c>
      <c r="C219" t="inlineStr">
        <is>
          <t>Hp Enterprise Co</t>
        </is>
      </c>
      <c r="D219" t="n">
        <v>5</v>
      </c>
      <c r="E219" t="inlineStr">
        <is>
          <t>Sr Unsecured</t>
        </is>
      </c>
      <c r="F219" t="inlineStr">
        <is>
          <t>15.10.2034</t>
        </is>
      </c>
      <c r="G219" t="inlineStr">
        <is>
          <t>United states</t>
        </is>
      </c>
      <c r="H219" t="inlineStr">
        <is>
          <t>Technology</t>
        </is>
      </c>
      <c r="I219" t="n">
        <v>2</v>
      </c>
      <c r="J219" t="n">
        <v>97.117</v>
      </c>
      <c r="K219" t="n">
        <v>5.398178</v>
      </c>
      <c r="L219" t="n">
        <v>0.16962</v>
      </c>
      <c r="M219" t="n">
        <v>-0.008706999999999999</v>
      </c>
      <c r="N219" t="n">
        <v>108.3226419</v>
      </c>
      <c r="O219" t="n">
        <v>7.385758543</v>
      </c>
      <c r="P219" t="n">
        <v>0</v>
      </c>
      <c r="Q219" t="inlineStr">
        <is>
          <t xml:space="preserve">Hewlett Packard Entreprises sells software </t>
        </is>
      </c>
      <c r="R219" t="inlineStr">
        <is>
          <t>USD</t>
        </is>
      </c>
      <c r="S219" t="inlineStr">
        <is>
          <t>Investment Grade</t>
        </is>
      </c>
      <c r="T219" t="inlineStr">
        <is>
          <t>BBB</t>
        </is>
      </c>
      <c r="U219" t="inlineStr">
        <is>
          <t>BBB</t>
        </is>
      </c>
    </row>
    <row r="220">
      <c r="A220" t="inlineStr">
        <is>
          <t>XS1298711729</t>
        </is>
      </c>
      <c r="B220" t="inlineStr">
        <is>
          <t>Hold</t>
        </is>
      </c>
      <c r="C220" t="inlineStr">
        <is>
          <t>Turkcell Iletisim Hizmet</t>
        </is>
      </c>
      <c r="D220" t="n">
        <v>5.75</v>
      </c>
      <c r="E220" t="inlineStr">
        <is>
          <t>Sr Unsecured</t>
        </is>
      </c>
      <c r="F220" t="inlineStr">
        <is>
          <t>15.10.2025</t>
        </is>
      </c>
      <c r="G220" t="inlineStr">
        <is>
          <t>Turkey</t>
        </is>
      </c>
      <c r="H220" t="inlineStr">
        <is>
          <t>Communications</t>
        </is>
      </c>
      <c r="I220" t="n">
        <v>200</v>
      </c>
      <c r="J220" t="n">
        <v>100.069</v>
      </c>
      <c r="K220" t="n">
        <v>5.414864</v>
      </c>
      <c r="L220" t="n">
        <v>0.28003</v>
      </c>
      <c r="M220" t="n">
        <v>0.131099</v>
      </c>
      <c r="N220" t="n">
        <v>108.1658085</v>
      </c>
      <c r="O220" t="n">
        <v>0.611043183</v>
      </c>
      <c r="P220" t="n">
        <v>10</v>
      </c>
      <c r="Q220" t="inlineStr">
        <is>
          <t>Turkish telecom company</t>
        </is>
      </c>
      <c r="R220" t="inlineStr">
        <is>
          <t>USD</t>
        </is>
      </c>
      <c r="S220" t="inlineStr">
        <is>
          <t>High Yield</t>
        </is>
      </c>
      <c r="T220" t="inlineStr">
        <is>
          <t>BB-</t>
        </is>
      </c>
      <c r="U220" t="inlineStr">
        <is>
          <t>BB-</t>
        </is>
      </c>
    </row>
    <row r="221">
      <c r="A221" t="inlineStr">
        <is>
          <t>US91911TAE38</t>
        </is>
      </c>
      <c r="B221" t="inlineStr">
        <is>
          <t xml:space="preserve">Hold </t>
        </is>
      </c>
      <c r="C221" t="inlineStr">
        <is>
          <t>Vale Overseas Limited</t>
        </is>
      </c>
      <c r="D221" t="n">
        <v>8.25</v>
      </c>
      <c r="E221" t="inlineStr">
        <is>
          <t>Sr Unsecured</t>
        </is>
      </c>
      <c r="F221" t="inlineStr">
        <is>
          <t>17.01.2034</t>
        </is>
      </c>
      <c r="G221" t="inlineStr">
        <is>
          <t>Brazil</t>
        </is>
      </c>
      <c r="H221" t="inlineStr">
        <is>
          <t>Basic Materials</t>
        </is>
      </c>
      <c r="I221" t="n">
        <v>2</v>
      </c>
      <c r="J221" t="n">
        <v>119.979</v>
      </c>
      <c r="K221" t="n">
        <v>5.305636</v>
      </c>
      <c r="L221" t="n">
        <v>-0.037504</v>
      </c>
      <c r="M221" t="n">
        <v>-0.155823</v>
      </c>
      <c r="N221" t="n">
        <v>107.562545</v>
      </c>
      <c r="O221" t="n">
        <v>6.450530196</v>
      </c>
      <c r="P221" t="n">
        <v>30</v>
      </c>
      <c r="Q221" t="inlineStr">
        <is>
          <t>leader in iron ore and second largest producer in nickel</t>
        </is>
      </c>
      <c r="R221" t="inlineStr">
        <is>
          <t>USD</t>
        </is>
      </c>
      <c r="S221" t="inlineStr">
        <is>
          <t>Latin America</t>
        </is>
      </c>
      <c r="T221" t="inlineStr">
        <is>
          <t>BBB-</t>
        </is>
      </c>
      <c r="U221" t="inlineStr">
        <is>
          <t>BBB-</t>
        </is>
      </c>
    </row>
    <row r="222">
      <c r="A222" t="inlineStr">
        <is>
          <t>US06406RBZ91</t>
        </is>
      </c>
      <c r="B222" t="inlineStr">
        <is>
          <t>Top Pick</t>
        </is>
      </c>
      <c r="C222" t="inlineStr">
        <is>
          <t>Bank Of Ny Mellon Corp</t>
        </is>
      </c>
      <c r="D222" t="n">
        <v>5.06</v>
      </c>
      <c r="E222" t="inlineStr">
        <is>
          <t>Sr Unsecured</t>
        </is>
      </c>
      <c r="F222" t="inlineStr">
        <is>
          <t>22.07.2032</t>
        </is>
      </c>
      <c r="G222" t="inlineStr">
        <is>
          <t>United states</t>
        </is>
      </c>
      <c r="H222" t="inlineStr">
        <is>
          <t>Financial</t>
        </is>
      </c>
      <c r="I222" t="n">
        <v>2</v>
      </c>
      <c r="J222" t="n">
        <v>101.936</v>
      </c>
      <c r="K222" t="n">
        <v>4.687677</v>
      </c>
      <c r="L222" t="n">
        <v>0.021989</v>
      </c>
      <c r="M222" t="n">
        <v>-0.172701</v>
      </c>
      <c r="N222" t="n">
        <v>107.2256398</v>
      </c>
      <c r="O222" t="n">
        <v>5.407116384</v>
      </c>
      <c r="P222" t="n">
        <v>0</v>
      </c>
      <c r="Q222" t="inlineStr">
        <is>
          <t xml:space="preserve">The largest custodian bank globally </t>
        </is>
      </c>
      <c r="R222" t="inlineStr">
        <is>
          <t>USD</t>
        </is>
      </c>
      <c r="S222" t="inlineStr">
        <is>
          <t>Investment Grade</t>
        </is>
      </c>
      <c r="T222" t="inlineStr">
        <is>
          <t>A+</t>
        </is>
      </c>
      <c r="U222" t="inlineStr">
        <is>
          <t>A+</t>
        </is>
      </c>
    </row>
    <row r="223">
      <c r="A223" t="inlineStr">
        <is>
          <t>USP6629MAC66</t>
        </is>
      </c>
      <c r="B223" t="inlineStr">
        <is>
          <t xml:space="preserve">Hold </t>
        </is>
      </c>
      <c r="C223" t="inlineStr">
        <is>
          <t>Mexico City Arpt Trust</t>
        </is>
      </c>
      <c r="D223" t="n">
        <v>3.875</v>
      </c>
      <c r="E223" t="inlineStr">
        <is>
          <t>1St Lien</t>
        </is>
      </c>
      <c r="F223" t="inlineStr">
        <is>
          <t>30.04.2028</t>
        </is>
      </c>
      <c r="G223" t="inlineStr">
        <is>
          <t>Mexico</t>
        </is>
      </c>
      <c r="H223" t="inlineStr">
        <is>
          <t>Industrial</t>
        </is>
      </c>
      <c r="I223" t="n">
        <v>200</v>
      </c>
      <c r="J223" t="n">
        <v>97.283</v>
      </c>
      <c r="K223" t="n">
        <v>4.919193</v>
      </c>
      <c r="L223" t="n">
        <v>-0.058534</v>
      </c>
      <c r="M223" t="n">
        <v>-0.298505</v>
      </c>
      <c r="N223" t="n">
        <v>107.1489696</v>
      </c>
      <c r="O223" t="n">
        <v>2.911125577</v>
      </c>
      <c r="P223" t="n">
        <v>85</v>
      </c>
      <c r="Q223" t="inlineStr">
        <is>
          <t>Airport operator</t>
        </is>
      </c>
      <c r="R223" t="inlineStr">
        <is>
          <t>USD</t>
        </is>
      </c>
      <c r="S223" t="inlineStr">
        <is>
          <t>Latin America</t>
        </is>
      </c>
      <c r="T223" t="inlineStr">
        <is>
          <t>BBB-</t>
        </is>
      </c>
      <c r="U223" t="inlineStr">
        <is>
          <t>BBB-</t>
        </is>
      </c>
    </row>
    <row r="224">
      <c r="A224" t="inlineStr">
        <is>
          <t>XS2010026305</t>
        </is>
      </c>
      <c r="B224" t="inlineStr">
        <is>
          <t xml:space="preserve">Hold </t>
        </is>
      </c>
      <c r="C224" t="inlineStr">
        <is>
          <t>Hungary</t>
        </is>
      </c>
      <c r="D224" t="n">
        <v>5.25</v>
      </c>
      <c r="E224" t="inlineStr">
        <is>
          <t>Sr Unsecured</t>
        </is>
      </c>
      <c r="F224" t="inlineStr">
        <is>
          <t>16.06.2029</t>
        </is>
      </c>
      <c r="G224" t="inlineStr">
        <is>
          <t>Hungary</t>
        </is>
      </c>
      <c r="H224" t="inlineStr">
        <is>
          <t>Government</t>
        </is>
      </c>
      <c r="I224" t="n">
        <v>200</v>
      </c>
      <c r="J224" t="n">
        <v>101.041</v>
      </c>
      <c r="K224" t="n">
        <v>4.954497</v>
      </c>
      <c r="L224" t="n">
        <v>-0.09289799999999999</v>
      </c>
      <c r="M224" t="n">
        <v>-0.044368</v>
      </c>
      <c r="N224" t="n">
        <v>106.7983873</v>
      </c>
      <c r="O224" t="n">
        <v>3.772064543</v>
      </c>
      <c r="P224" t="n">
        <v>80</v>
      </c>
      <c r="Q224" t="inlineStr">
        <is>
          <t>Hungary government bnnd</t>
        </is>
      </c>
      <c r="R224" t="inlineStr">
        <is>
          <t>USD</t>
        </is>
      </c>
      <c r="S224" t="inlineStr">
        <is>
          <t>Investment Grade</t>
        </is>
      </c>
      <c r="T224" t="inlineStr">
        <is>
          <t>BBB-</t>
        </is>
      </c>
      <c r="U224" t="inlineStr">
        <is>
          <t>BBB-</t>
        </is>
      </c>
    </row>
    <row r="225">
      <c r="A225" t="inlineStr">
        <is>
          <t xml:space="preserve"> US65535HBA68 </t>
        </is>
      </c>
      <c r="B225" t="inlineStr">
        <is>
          <t>Hold</t>
        </is>
      </c>
      <c r="C225" t="inlineStr">
        <is>
          <t>Nomura Holdings Inc</t>
        </is>
      </c>
      <c r="D225" t="n">
        <v>2.999</v>
      </c>
      <c r="E225" t="inlineStr">
        <is>
          <t>Sr Unsecured</t>
        </is>
      </c>
      <c r="F225" t="inlineStr">
        <is>
          <t>22.01.2032</t>
        </is>
      </c>
      <c r="G225" t="inlineStr">
        <is>
          <t>Japan</t>
        </is>
      </c>
      <c r="H225" t="inlineStr">
        <is>
          <t>Financial</t>
        </is>
      </c>
      <c r="I225" t="n">
        <v>200</v>
      </c>
      <c r="J225" t="n">
        <v>88.155</v>
      </c>
      <c r="K225" t="n">
        <v>5.155725</v>
      </c>
      <c r="L225" t="n">
        <v>0.025811</v>
      </c>
      <c r="M225" t="n">
        <v>-0.132971</v>
      </c>
      <c r="N225" t="n">
        <v>106.5867545</v>
      </c>
      <c r="O225" t="n">
        <v>6.061888291</v>
      </c>
      <c r="P225" t="n">
        <v>0</v>
      </c>
      <c r="Q225" t="inlineStr">
        <is>
          <t>Japanese financial holding company</t>
        </is>
      </c>
      <c r="R225" t="inlineStr">
        <is>
          <t>USD</t>
        </is>
      </c>
      <c r="S225" t="inlineStr">
        <is>
          <t>Investment Grade</t>
        </is>
      </c>
      <c r="T225" t="inlineStr">
        <is>
          <t>BBB+</t>
        </is>
      </c>
      <c r="U225" t="inlineStr">
        <is>
          <t>BBB+</t>
        </is>
      </c>
    </row>
    <row r="226">
      <c r="A226" t="inlineStr">
        <is>
          <t xml:space="preserve">  XS2791972248</t>
        </is>
      </c>
      <c r="B226" t="inlineStr">
        <is>
          <t>Hold</t>
        </is>
      </c>
      <c r="C226" t="inlineStr">
        <is>
          <t>Jpmorgan Chase &amp; Co</t>
        </is>
      </c>
      <c r="D226" t="n">
        <v>3.761</v>
      </c>
      <c r="E226" t="inlineStr">
        <is>
          <t>Sr Unsecured</t>
        </is>
      </c>
      <c r="F226" t="inlineStr">
        <is>
          <t>21.03.2034</t>
        </is>
      </c>
      <c r="G226" t="inlineStr">
        <is>
          <t>United states</t>
        </is>
      </c>
      <c r="H226" t="inlineStr">
        <is>
          <t>Financial</t>
        </is>
      </c>
      <c r="I226" t="n">
        <v>100</v>
      </c>
      <c r="J226" t="n">
        <v>102.509</v>
      </c>
      <c r="K226" t="n">
        <v>3.344889</v>
      </c>
      <c r="L226" t="n">
        <v>-0.054727</v>
      </c>
      <c r="M226" t="n">
        <v>-0.066757</v>
      </c>
      <c r="N226" t="n">
        <v>106.4994585</v>
      </c>
      <c r="O226" t="n">
        <v>6.658631455</v>
      </c>
      <c r="P226" t="n">
        <v>0</v>
      </c>
      <c r="Q226" t="inlineStr">
        <is>
          <t xml:space="preserve">The largest US bank </t>
        </is>
      </c>
      <c r="R226" t="inlineStr">
        <is>
          <t>EUR</t>
        </is>
      </c>
      <c r="S226" t="inlineStr">
        <is>
          <t>Investment Grade</t>
        </is>
      </c>
      <c r="T226" t="inlineStr">
        <is>
          <t>A+</t>
        </is>
      </c>
      <c r="U226" t="inlineStr">
        <is>
          <t>A+</t>
        </is>
      </c>
    </row>
    <row r="227">
      <c r="A227" t="inlineStr">
        <is>
          <t>XS2892321501</t>
        </is>
      </c>
      <c r="B227" t="inlineStr">
        <is>
          <t>Top Pick</t>
        </is>
      </c>
      <c r="C227" t="inlineStr">
        <is>
          <t>Equinix Eu 2 Financing C</t>
        </is>
      </c>
      <c r="D227" t="n">
        <v>3.65</v>
      </c>
      <c r="E227" t="inlineStr">
        <is>
          <t>Sr Unsecured</t>
        </is>
      </c>
      <c r="F227" t="inlineStr">
        <is>
          <t>03.09.2033</t>
        </is>
      </c>
      <c r="G227" t="inlineStr">
        <is>
          <t>United states</t>
        </is>
      </c>
      <c r="H227" t="inlineStr">
        <is>
          <t>Financial</t>
        </is>
      </c>
      <c r="I227" t="n">
        <v>100</v>
      </c>
      <c r="J227" t="n">
        <v>99.246</v>
      </c>
      <c r="K227" t="n">
        <v>3.757882</v>
      </c>
      <c r="L227" t="n">
        <v>0.052994</v>
      </c>
      <c r="M227" t="n">
        <v>0.087898</v>
      </c>
      <c r="N227" t="n">
        <v>106.0783073</v>
      </c>
      <c r="O227" t="n">
        <v>7.096785826</v>
      </c>
      <c r="P227" t="n">
        <v>0</v>
      </c>
      <c r="Q227" t="inlineStr">
        <is>
          <t xml:space="preserve">Owns and operate data centres </t>
        </is>
      </c>
      <c r="R227" t="inlineStr">
        <is>
          <t>EUR</t>
        </is>
      </c>
      <c r="S227" t="inlineStr">
        <is>
          <t>Investment Grade</t>
        </is>
      </c>
      <c r="T227" t="inlineStr">
        <is>
          <t>BBB</t>
        </is>
      </c>
      <c r="U227" t="inlineStr">
        <is>
          <t>BBB</t>
        </is>
      </c>
    </row>
    <row r="228">
      <c r="A228" t="inlineStr">
        <is>
          <t>USU9094LAC29</t>
        </is>
      </c>
      <c r="B228" t="inlineStr">
        <is>
          <t xml:space="preserve">Hold </t>
        </is>
      </c>
      <c r="C228" t="inlineStr">
        <is>
          <t>United Airlines Inc</t>
        </is>
      </c>
      <c r="D228" t="n">
        <v>4.375</v>
      </c>
      <c r="E228" t="inlineStr">
        <is>
          <t>1St Lien</t>
        </is>
      </c>
      <c r="F228" t="inlineStr">
        <is>
          <t>15.04.2026</t>
        </is>
      </c>
      <c r="G228" t="inlineStr">
        <is>
          <t>United states</t>
        </is>
      </c>
      <c r="H228" t="inlineStr">
        <is>
          <t>Consumer, Cyclical</t>
        </is>
      </c>
      <c r="I228" t="n">
        <v>2</v>
      </c>
      <c r="J228" t="n">
        <v>99.381</v>
      </c>
      <c r="K228" t="n">
        <v>5.196043</v>
      </c>
      <c r="L228" t="n">
        <v>0.015237</v>
      </c>
      <c r="M228" t="n">
        <v>-0.262811</v>
      </c>
      <c r="N228" t="n">
        <v>105.9149303</v>
      </c>
      <c r="O228" t="n">
        <v>1.088489665</v>
      </c>
      <c r="P228" t="n">
        <v>0</v>
      </c>
      <c r="Q228" t="inlineStr">
        <is>
          <t xml:space="preserve">US airline </t>
        </is>
      </c>
      <c r="R228" t="inlineStr">
        <is>
          <t>USD</t>
        </is>
      </c>
      <c r="S228" t="inlineStr">
        <is>
          <t>High Yield</t>
        </is>
      </c>
      <c r="T228" t="inlineStr">
        <is>
          <t>BB+</t>
        </is>
      </c>
      <c r="U228" t="inlineStr">
        <is>
          <t>BB+</t>
        </is>
      </c>
    </row>
    <row r="229">
      <c r="A229" t="inlineStr">
        <is>
          <t>XS2662538425</t>
        </is>
      </c>
      <c r="B229" t="inlineStr">
        <is>
          <t>Top Pick</t>
        </is>
      </c>
      <c r="C229" t="inlineStr">
        <is>
          <t>Barclays Plc</t>
        </is>
      </c>
      <c r="D229" t="n">
        <v>4.918</v>
      </c>
      <c r="E229" t="inlineStr">
        <is>
          <t>Sr Unsecured</t>
        </is>
      </c>
      <c r="F229" t="inlineStr">
        <is>
          <t>08.08.2030</t>
        </is>
      </c>
      <c r="G229" t="inlineStr">
        <is>
          <t>United Kingdom</t>
        </is>
      </c>
      <c r="H229" t="inlineStr">
        <is>
          <t>Financial</t>
        </is>
      </c>
      <c r="I229" t="n">
        <v>100</v>
      </c>
      <c r="J229" t="n">
        <v>107.034</v>
      </c>
      <c r="K229" t="n">
        <v>3.05748</v>
      </c>
      <c r="L229" t="n">
        <v>-0.079915</v>
      </c>
      <c r="M229" t="n">
        <v>-0.089546</v>
      </c>
      <c r="N229" t="n">
        <v>105.9098108</v>
      </c>
      <c r="O229" t="n">
        <v>3.898072968</v>
      </c>
      <c r="P229" t="n">
        <v>60</v>
      </c>
      <c r="Q229" t="inlineStr">
        <is>
          <t>One of the largest UK banks</t>
        </is>
      </c>
      <c r="R229" t="inlineStr">
        <is>
          <t>EUR</t>
        </is>
      </c>
      <c r="S229" t="inlineStr">
        <is>
          <t>Investment Grade</t>
        </is>
      </c>
      <c r="T229" t="inlineStr">
        <is>
          <t>BBB+</t>
        </is>
      </c>
      <c r="U229" t="inlineStr">
        <is>
          <t>BBB+</t>
        </is>
      </c>
    </row>
    <row r="230">
      <c r="A230" t="inlineStr">
        <is>
          <t>XS2592302330</t>
        </is>
      </c>
      <c r="B230" t="inlineStr">
        <is>
          <t>Hold</t>
        </is>
      </c>
      <c r="C230" t="inlineStr">
        <is>
          <t>Tesco Corp Treasury Serv</t>
        </is>
      </c>
      <c r="D230" t="n">
        <v>5.5</v>
      </c>
      <c r="E230" t="inlineStr">
        <is>
          <t>Sr Unsecured</t>
        </is>
      </c>
      <c r="F230" t="inlineStr">
        <is>
          <t>27.02.2035</t>
        </is>
      </c>
      <c r="G230" t="inlineStr">
        <is>
          <t>United Kingdom</t>
        </is>
      </c>
      <c r="H230" t="inlineStr">
        <is>
          <t>Consumer, Non-cyclical</t>
        </is>
      </c>
      <c r="I230" t="n">
        <v>100</v>
      </c>
      <c r="J230" t="n">
        <v>99.13800000000001</v>
      </c>
      <c r="K230" t="n">
        <v>5.537179</v>
      </c>
      <c r="L230" t="n">
        <v>0.047531</v>
      </c>
      <c r="M230" t="n">
        <v>-0.264518</v>
      </c>
      <c r="N230" t="n">
        <v>105.6846693</v>
      </c>
      <c r="O230" t="n">
        <v>7.110476266</v>
      </c>
      <c r="P230" t="n">
        <v>30</v>
      </c>
      <c r="Q230" t="inlineStr">
        <is>
          <t>Largest player in the UK grocery industry</t>
        </is>
      </c>
      <c r="R230" t="inlineStr">
        <is>
          <t>GBP</t>
        </is>
      </c>
      <c r="S230" t="inlineStr">
        <is>
          <t>Investment Grade</t>
        </is>
      </c>
      <c r="T230" t="inlineStr">
        <is>
          <t>BBB-</t>
        </is>
      </c>
      <c r="U230" t="inlineStr">
        <is>
          <t>BBB-</t>
        </is>
      </c>
    </row>
    <row r="231">
      <c r="A231" t="inlineStr">
        <is>
          <t>US03938LBG86</t>
        </is>
      </c>
      <c r="B231" t="inlineStr">
        <is>
          <t xml:space="preserve">Hold </t>
        </is>
      </c>
      <c r="C231" t="inlineStr">
        <is>
          <t>Arcelormittal Sa</t>
        </is>
      </c>
      <c r="D231" t="n">
        <v>6</v>
      </c>
      <c r="E231" t="inlineStr">
        <is>
          <t>Sr Unsecured</t>
        </is>
      </c>
      <c r="F231" t="inlineStr">
        <is>
          <t>17.06.2034</t>
        </is>
      </c>
      <c r="G231" t="inlineStr">
        <is>
          <t>Luxembourg</t>
        </is>
      </c>
      <c r="H231" t="inlineStr">
        <is>
          <t>Basic Materials</t>
        </is>
      </c>
      <c r="I231" t="n">
        <v>2</v>
      </c>
      <c r="J231" t="n">
        <v>104.559</v>
      </c>
      <c r="K231" t="n">
        <v>5.337894</v>
      </c>
      <c r="L231" t="n">
        <v>-0.010051</v>
      </c>
      <c r="M231" t="n">
        <v>-0.199788</v>
      </c>
      <c r="N231" t="n">
        <v>105.5154706</v>
      </c>
      <c r="O231" t="n">
        <v>6.887025465</v>
      </c>
      <c r="P231" t="n">
        <v>60</v>
      </c>
      <c r="Q231" t="inlineStr">
        <is>
          <t>World's largest producer of steel</t>
        </is>
      </c>
      <c r="R231" t="inlineStr">
        <is>
          <t>USD</t>
        </is>
      </c>
      <c r="S231" t="inlineStr">
        <is>
          <t>Investment Grade</t>
        </is>
      </c>
      <c r="T231" t="inlineStr">
        <is>
          <t>BBB-</t>
        </is>
      </c>
      <c r="U231" t="inlineStr">
        <is>
          <t>BBB-</t>
        </is>
      </c>
    </row>
    <row r="232">
      <c r="A232" t="inlineStr">
        <is>
          <t xml:space="preserve"> XS2286303495</t>
        </is>
      </c>
      <c r="B232" t="inlineStr">
        <is>
          <t xml:space="preserve">Hold </t>
        </is>
      </c>
      <c r="C232" t="inlineStr">
        <is>
          <t>Dae Funding Llc</t>
        </is>
      </c>
      <c r="D232" t="n">
        <v>3.375</v>
      </c>
      <c r="E232" t="inlineStr">
        <is>
          <t>Sr Unsecured</t>
        </is>
      </c>
      <c r="F232" t="inlineStr">
        <is>
          <t>20.03.2028</t>
        </is>
      </c>
      <c r="G232" t="inlineStr">
        <is>
          <t>U.A.E</t>
        </is>
      </c>
      <c r="H232" t="inlineStr">
        <is>
          <t>Industrial</t>
        </is>
      </c>
      <c r="I232" t="n">
        <v>200</v>
      </c>
      <c r="J232" t="n">
        <v>96.211</v>
      </c>
      <c r="K232" t="n">
        <v>4.889371</v>
      </c>
      <c r="L232" t="n">
        <v>0.086398</v>
      </c>
      <c r="M232" s="41" t="n">
        <v>-4.4e-05</v>
      </c>
      <c r="N232" t="n">
        <v>105.4347214</v>
      </c>
      <c r="O232" t="n">
        <v>2.820723321</v>
      </c>
      <c r="P232" t="n">
        <v>85</v>
      </c>
      <c r="Q232" t="inlineStr">
        <is>
          <t>Dubai fully state-owned aircraft leasing</t>
        </is>
      </c>
      <c r="R232" t="inlineStr">
        <is>
          <t>USD</t>
        </is>
      </c>
      <c r="S232" t="inlineStr">
        <is>
          <t>Investment Grade</t>
        </is>
      </c>
      <c r="T232" t="inlineStr">
        <is>
          <t>BBB</t>
        </is>
      </c>
      <c r="U232" t="inlineStr">
        <is>
          <t>BBB</t>
        </is>
      </c>
    </row>
    <row r="233">
      <c r="A233" t="inlineStr">
        <is>
          <t>USU37818BD92</t>
        </is>
      </c>
      <c r="B233" t="inlineStr">
        <is>
          <t>Hold</t>
        </is>
      </c>
      <c r="C233" t="inlineStr">
        <is>
          <t>Glencore Funding Llc</t>
        </is>
      </c>
      <c r="D233" t="n">
        <v>3.375</v>
      </c>
      <c r="E233" t="inlineStr">
        <is>
          <t>Sr Unsecured</t>
        </is>
      </c>
      <c r="F233" t="inlineStr">
        <is>
          <t>23.09.2051</t>
        </is>
      </c>
      <c r="G233" t="inlineStr">
        <is>
          <t>Australia</t>
        </is>
      </c>
      <c r="H233" t="inlineStr">
        <is>
          <t>Basic Materials</t>
        </is>
      </c>
      <c r="I233" t="n">
        <v>2</v>
      </c>
      <c r="J233" t="n">
        <v>66.11799999999999</v>
      </c>
      <c r="K233" t="n">
        <v>5.940585</v>
      </c>
      <c r="L233" t="n">
        <v>-0.055217</v>
      </c>
      <c r="M233" t="n">
        <v>-0.106239</v>
      </c>
      <c r="N233" t="n">
        <v>105.0803186</v>
      </c>
      <c r="O233" t="n">
        <v>14.73959082</v>
      </c>
      <c r="P233" t="n">
        <v>45</v>
      </c>
      <c r="Q233" t="inlineStr">
        <is>
          <t>Diversified natural resources company</t>
        </is>
      </c>
      <c r="R233" t="inlineStr">
        <is>
          <t>USD</t>
        </is>
      </c>
      <c r="S233" t="inlineStr">
        <is>
          <t>Investment Grade</t>
        </is>
      </c>
      <c r="T233" t="inlineStr">
        <is>
          <t>BBB+</t>
        </is>
      </c>
      <c r="U233" t="inlineStr">
        <is>
          <t>BBB+</t>
        </is>
      </c>
    </row>
    <row r="234">
      <c r="A234" t="inlineStr">
        <is>
          <t>USU5521TAG77</t>
        </is>
      </c>
      <c r="B234" t="inlineStr">
        <is>
          <t>Top Pick</t>
        </is>
      </c>
      <c r="C234" t="inlineStr">
        <is>
          <t>Msci Inc</t>
        </is>
      </c>
      <c r="D234" t="n">
        <v>3.625</v>
      </c>
      <c r="E234" t="inlineStr">
        <is>
          <t>Sr Unsecured</t>
        </is>
      </c>
      <c r="F234" t="inlineStr">
        <is>
          <t>01.09.2030</t>
        </is>
      </c>
      <c r="G234" t="inlineStr">
        <is>
          <t>United states</t>
        </is>
      </c>
      <c r="H234" t="inlineStr">
        <is>
          <t>Technology</t>
        </is>
      </c>
      <c r="I234" t="n">
        <v>2</v>
      </c>
      <c r="J234" t="n">
        <v>93.599</v>
      </c>
      <c r="K234" t="n">
        <v>5.051884</v>
      </c>
      <c r="L234" t="n">
        <v>0.055291</v>
      </c>
      <c r="M234" t="n">
        <v>-0.180473</v>
      </c>
      <c r="N234" t="n">
        <v>105.0698688</v>
      </c>
      <c r="O234" t="n">
        <v>4.815157084</v>
      </c>
      <c r="P234" t="n">
        <v>60</v>
      </c>
      <c r="Q234" t="inlineStr">
        <is>
          <t>Global provider of financial indices, data and analytics</t>
        </is>
      </c>
      <c r="R234" t="inlineStr">
        <is>
          <t>USD</t>
        </is>
      </c>
      <c r="S234" t="inlineStr">
        <is>
          <t>Investment Grade</t>
        </is>
      </c>
      <c r="T234" t="inlineStr">
        <is>
          <t>BBB-</t>
        </is>
      </c>
      <c r="U234" t="inlineStr">
        <is>
          <t>BBB-</t>
        </is>
      </c>
    </row>
    <row r="235">
      <c r="A235" t="inlineStr">
        <is>
          <t>XS2384288747</t>
        </is>
      </c>
      <c r="B235" t="inlineStr">
        <is>
          <t>Hold</t>
        </is>
      </c>
      <c r="C235" t="inlineStr">
        <is>
          <t>General Motors Finl Co</t>
        </is>
      </c>
      <c r="D235" t="n">
        <v>1.55</v>
      </c>
      <c r="E235" t="inlineStr">
        <is>
          <t>Sr Unsecured</t>
        </is>
      </c>
      <c r="F235" t="inlineStr">
        <is>
          <t>30.07.2027</t>
        </is>
      </c>
      <c r="G235" t="inlineStr">
        <is>
          <t>United states</t>
        </is>
      </c>
      <c r="H235" t="inlineStr">
        <is>
          <t>Consumer, Cyclical</t>
        </is>
      </c>
      <c r="I235" t="n">
        <v>100</v>
      </c>
      <c r="J235" t="n">
        <v>93.742</v>
      </c>
      <c r="K235" t="n">
        <v>4.760166</v>
      </c>
      <c r="L235" t="n">
        <v>-0.042285</v>
      </c>
      <c r="M235" t="n">
        <v>-0.30137</v>
      </c>
      <c r="N235" t="n">
        <v>104.9668947</v>
      </c>
      <c r="O235" t="n">
        <v>2.268599128</v>
      </c>
      <c r="P235" t="n">
        <v>75</v>
      </c>
      <c r="Q235" t="inlineStr">
        <is>
          <t>World's third largest automaker owning Chevrolet, Buick and Cadillac</t>
        </is>
      </c>
      <c r="R235" t="inlineStr">
        <is>
          <t>GBP</t>
        </is>
      </c>
      <c r="S235" t="inlineStr">
        <is>
          <t>Investment Grade</t>
        </is>
      </c>
      <c r="T235" t="inlineStr">
        <is>
          <t>BBB</t>
        </is>
      </c>
      <c r="U235" t="inlineStr">
        <is>
          <t>BBB</t>
        </is>
      </c>
    </row>
    <row r="236">
      <c r="A236" t="inlineStr">
        <is>
          <t>XS2894908768</t>
        </is>
      </c>
      <c r="B236" t="inlineStr">
        <is>
          <t>Hold</t>
        </is>
      </c>
      <c r="C236" t="inlineStr">
        <is>
          <t>Cez As</t>
        </is>
      </c>
      <c r="D236" t="n">
        <v>4.125</v>
      </c>
      <c r="E236" t="inlineStr">
        <is>
          <t>Sr Unsecured</t>
        </is>
      </c>
      <c r="F236" t="inlineStr">
        <is>
          <t>05.09.2031</t>
        </is>
      </c>
      <c r="G236" t="inlineStr">
        <is>
          <t>Czech Republic</t>
        </is>
      </c>
      <c r="H236" t="inlineStr">
        <is>
          <t>Utilities</t>
        </is>
      </c>
      <c r="I236" t="n">
        <v>100</v>
      </c>
      <c r="J236" t="n">
        <v>103.351</v>
      </c>
      <c r="K236" t="n">
        <v>3.508889</v>
      </c>
      <c r="L236" t="n">
        <v>-0.118257</v>
      </c>
      <c r="M236" t="n">
        <v>-0.150279</v>
      </c>
      <c r="N236" t="n">
        <v>104.8985379</v>
      </c>
      <c r="O236" t="n">
        <v>5.552928524</v>
      </c>
      <c r="P236" t="n">
        <v>0</v>
      </c>
      <c r="Q236" t="inlineStr">
        <is>
          <t>70% state-owned utility company in Czech Republic</t>
        </is>
      </c>
      <c r="R236" t="inlineStr">
        <is>
          <t>EUR</t>
        </is>
      </c>
      <c r="S236" t="inlineStr">
        <is>
          <t>Investment Grade</t>
        </is>
      </c>
      <c r="T236" t="inlineStr">
        <is>
          <t>BBB+</t>
        </is>
      </c>
      <c r="U236" t="inlineStr">
        <is>
          <t>BBB+</t>
        </is>
      </c>
    </row>
    <row r="237">
      <c r="A237" t="inlineStr">
        <is>
          <t>XS2983840518</t>
        </is>
      </c>
      <c r="B237" t="inlineStr">
        <is>
          <t xml:space="preserve">Top Pick </t>
        </is>
      </c>
      <c r="C237" t="inlineStr">
        <is>
          <t>Goldman Sachs Group Inc</t>
        </is>
      </c>
      <c r="D237" t="n">
        <v>3.5</v>
      </c>
      <c r="E237" t="inlineStr">
        <is>
          <t>Sr Unsecured</t>
        </is>
      </c>
      <c r="F237" t="inlineStr">
        <is>
          <t>23.01.2033</t>
        </is>
      </c>
      <c r="G237" t="inlineStr">
        <is>
          <t>United states</t>
        </is>
      </c>
      <c r="H237" t="inlineStr">
        <is>
          <t>Financial</t>
        </is>
      </c>
      <c r="I237" t="n">
        <v>1</v>
      </c>
      <c r="J237" t="n">
        <v>101.277</v>
      </c>
      <c r="K237" t="n">
        <v>3.264649</v>
      </c>
      <c r="L237" t="n">
        <v>-0.075376</v>
      </c>
      <c r="M237" t="n">
        <v>-0.125086</v>
      </c>
      <c r="N237" t="n">
        <v>104.8305557</v>
      </c>
      <c r="O237" t="n">
        <v>6.039738412</v>
      </c>
      <c r="P237" t="n">
        <v>0</v>
      </c>
      <c r="Q237" t="inlineStr">
        <is>
          <t>One of the largest US investment banks</t>
        </is>
      </c>
      <c r="R237" t="inlineStr">
        <is>
          <t>EUR</t>
        </is>
      </c>
      <c r="S237" t="inlineStr">
        <is>
          <t>Investment Grade</t>
        </is>
      </c>
      <c r="T237" t="inlineStr">
        <is>
          <t>A-</t>
        </is>
      </c>
      <c r="U237" t="inlineStr">
        <is>
          <t>A-</t>
        </is>
      </c>
    </row>
    <row r="238">
      <c r="A238" t="inlineStr">
        <is>
          <t>US47233JGT97</t>
        </is>
      </c>
      <c r="B238" t="inlineStr">
        <is>
          <t xml:space="preserve">Hold </t>
        </is>
      </c>
      <c r="C238" t="inlineStr">
        <is>
          <t>Jefferies Fin Group Inc</t>
        </is>
      </c>
      <c r="D238" t="n">
        <v>2.625</v>
      </c>
      <c r="E238" t="inlineStr">
        <is>
          <t>Sr Unsecured</t>
        </is>
      </c>
      <c r="F238" t="inlineStr">
        <is>
          <t>15.10.2031</t>
        </is>
      </c>
      <c r="G238" t="inlineStr">
        <is>
          <t>United states</t>
        </is>
      </c>
      <c r="H238" t="inlineStr">
        <is>
          <t>Financial</t>
        </is>
      </c>
      <c r="I238" t="n">
        <v>5</v>
      </c>
      <c r="J238" t="n">
        <v>86.791</v>
      </c>
      <c r="K238" t="n">
        <v>5.113435</v>
      </c>
      <c r="L238" t="n">
        <v>0.016995</v>
      </c>
      <c r="M238" t="n">
        <v>-0.297023</v>
      </c>
      <c r="N238" t="n">
        <v>104.5027326</v>
      </c>
      <c r="O238" t="n">
        <v>5.870662717</v>
      </c>
      <c r="P238" t="n">
        <v>60</v>
      </c>
      <c r="Q238" t="inlineStr">
        <is>
          <t xml:space="preserve">US investment bank </t>
        </is>
      </c>
      <c r="R238" t="inlineStr">
        <is>
          <t>USD</t>
        </is>
      </c>
      <c r="S238" t="inlineStr">
        <is>
          <t>Investment Grade</t>
        </is>
      </c>
      <c r="T238" t="inlineStr">
        <is>
          <t>BBB</t>
        </is>
      </c>
      <c r="U238" t="inlineStr">
        <is>
          <t>BBB</t>
        </is>
      </c>
    </row>
    <row r="239">
      <c r="A239" t="inlineStr">
        <is>
          <t>XS2595028452</t>
        </is>
      </c>
      <c r="B239" t="inlineStr">
        <is>
          <t>Top pick</t>
        </is>
      </c>
      <c r="C239" t="inlineStr">
        <is>
          <t>Kingdom Of Morocco</t>
        </is>
      </c>
      <c r="D239" t="n">
        <v>5.95</v>
      </c>
      <c r="E239" t="inlineStr">
        <is>
          <t>Sr Unsecured</t>
        </is>
      </c>
      <c r="F239" t="inlineStr">
        <is>
          <t>08.03.2028</t>
        </is>
      </c>
      <c r="G239" t="inlineStr">
        <is>
          <t>Morocco</t>
        </is>
      </c>
      <c r="H239" t="inlineStr">
        <is>
          <t>Government</t>
        </is>
      </c>
      <c r="I239" t="n">
        <v>200</v>
      </c>
      <c r="J239" t="n">
        <v>102.641</v>
      </c>
      <c r="K239" t="n">
        <v>4.877564</v>
      </c>
      <c r="L239" t="n">
        <v>-0.059779</v>
      </c>
      <c r="M239" t="n">
        <v>-0.240104</v>
      </c>
      <c r="N239" t="n">
        <v>104.3745605</v>
      </c>
      <c r="O239" t="n">
        <v>2.679224787</v>
      </c>
      <c r="P239" t="n">
        <v>25</v>
      </c>
      <c r="Q239" t="inlineStr">
        <is>
          <t>Kingdom Of Morocco</t>
        </is>
      </c>
      <c r="R239" t="inlineStr">
        <is>
          <t>USD</t>
        </is>
      </c>
      <c r="S239" t="inlineStr">
        <is>
          <t>High Yield</t>
        </is>
      </c>
      <c r="T239" t="inlineStr">
        <is>
          <t>NR</t>
        </is>
      </c>
      <c r="U239" t="inlineStr">
        <is>
          <t>NR</t>
        </is>
      </c>
    </row>
    <row r="240">
      <c r="A240" t="inlineStr">
        <is>
          <t>XS2811096267</t>
        </is>
      </c>
      <c r="B240" t="inlineStr">
        <is>
          <t>Hold</t>
        </is>
      </c>
      <c r="C240" t="inlineStr">
        <is>
          <t>Glencore Cap Fin Dac</t>
        </is>
      </c>
      <c r="D240" t="n">
        <v>4.154</v>
      </c>
      <c r="E240" t="inlineStr">
        <is>
          <t>Sr Unsecured</t>
        </is>
      </c>
      <c r="F240" t="inlineStr">
        <is>
          <t>29.04.2031</t>
        </is>
      </c>
      <c r="G240" t="inlineStr">
        <is>
          <t>Australia</t>
        </is>
      </c>
      <c r="H240" t="inlineStr">
        <is>
          <t>Basic Materials</t>
        </is>
      </c>
      <c r="I240" t="n">
        <v>100</v>
      </c>
      <c r="J240" t="n">
        <v>103.452</v>
      </c>
      <c r="K240" t="n">
        <v>3.460001</v>
      </c>
      <c r="L240" t="n">
        <v>-0.017929</v>
      </c>
      <c r="M240" t="n">
        <v>-0.00741</v>
      </c>
      <c r="N240" t="n">
        <v>104.2083233</v>
      </c>
      <c r="O240" t="n">
        <v>5.034904003</v>
      </c>
      <c r="P240" t="n">
        <v>60</v>
      </c>
      <c r="Q240" t="inlineStr">
        <is>
          <t>Diversified natural resources company</t>
        </is>
      </c>
      <c r="R240" t="inlineStr">
        <is>
          <t>EUR</t>
        </is>
      </c>
      <c r="S240" t="inlineStr">
        <is>
          <t>Investment Grade</t>
        </is>
      </c>
      <c r="T240" t="inlineStr">
        <is>
          <t>BBB+</t>
        </is>
      </c>
      <c r="U240" t="inlineStr">
        <is>
          <t>BBB+</t>
        </is>
      </c>
    </row>
    <row r="241">
      <c r="A241" t="inlineStr">
        <is>
          <t>XS2049548527</t>
        </is>
      </c>
      <c r="B241" t="inlineStr">
        <is>
          <t>Hold</t>
        </is>
      </c>
      <c r="C241" t="inlineStr">
        <is>
          <t>General Motors Finl Co</t>
        </is>
      </c>
      <c r="D241" t="n">
        <v>2.35</v>
      </c>
      <c r="E241" t="inlineStr">
        <is>
          <t>Sr Unsecured</t>
        </is>
      </c>
      <c r="F241" t="inlineStr">
        <is>
          <t>03.09.2025</t>
        </is>
      </c>
      <c r="G241" t="inlineStr">
        <is>
          <t>United states</t>
        </is>
      </c>
      <c r="H241" t="inlineStr">
        <is>
          <t>Consumer, Cyclical</t>
        </is>
      </c>
      <c r="I241" t="n">
        <v>100</v>
      </c>
      <c r="J241" t="n">
        <v>99.604</v>
      </c>
      <c r="K241" t="n">
        <v>4.897968</v>
      </c>
      <c r="L241" t="n">
        <v>-0.013041</v>
      </c>
      <c r="M241" t="n">
        <v>-0.216263</v>
      </c>
      <c r="N241" t="n">
        <v>103.9002531</v>
      </c>
      <c r="O241" t="n">
        <v>0.510343647</v>
      </c>
      <c r="P241" t="n">
        <v>80</v>
      </c>
      <c r="Q241" t="inlineStr">
        <is>
          <t>World's third largest automaker owning Chevrolet, Buick and Cadillac</t>
        </is>
      </c>
      <c r="R241" t="inlineStr">
        <is>
          <t>GBP</t>
        </is>
      </c>
      <c r="S241" t="inlineStr">
        <is>
          <t>Investment Grade</t>
        </is>
      </c>
      <c r="T241" t="inlineStr">
        <is>
          <t>BBB</t>
        </is>
      </c>
      <c r="U241" t="inlineStr">
        <is>
          <t>BBB</t>
        </is>
      </c>
    </row>
    <row r="242">
      <c r="A242" t="inlineStr">
        <is>
          <t>XS2191362859</t>
        </is>
      </c>
      <c r="B242" t="inlineStr">
        <is>
          <t>Top Pick</t>
        </is>
      </c>
      <c r="C242" t="inlineStr">
        <is>
          <t>Digital Dutch Finco Bv</t>
        </is>
      </c>
      <c r="D242" t="n">
        <v>1.25</v>
      </c>
      <c r="E242" t="inlineStr">
        <is>
          <t>Sr Unsecured</t>
        </is>
      </c>
      <c r="F242" t="inlineStr">
        <is>
          <t>01.02.2031</t>
        </is>
      </c>
      <c r="G242" t="inlineStr">
        <is>
          <t>United states</t>
        </is>
      </c>
      <c r="H242" t="inlineStr">
        <is>
          <t>Financial</t>
        </is>
      </c>
      <c r="I242" t="n">
        <v>100</v>
      </c>
      <c r="J242" t="n">
        <v>89.077</v>
      </c>
      <c r="K242" t="n">
        <v>3.438328</v>
      </c>
      <c r="L242" t="n">
        <v>-0.021136</v>
      </c>
      <c r="M242" t="n">
        <v>0.019949</v>
      </c>
      <c r="N242" t="n">
        <v>103.5715716</v>
      </c>
      <c r="O242" t="n">
        <v>5.545434071</v>
      </c>
      <c r="P242" t="n">
        <v>60</v>
      </c>
      <c r="Q242" t="inlineStr">
        <is>
          <t>Owns and operates data centres</t>
        </is>
      </c>
      <c r="R242" t="inlineStr">
        <is>
          <t>EUR</t>
        </is>
      </c>
      <c r="S242" t="inlineStr">
        <is>
          <t>Investment Grade</t>
        </is>
      </c>
      <c r="T242" t="inlineStr">
        <is>
          <t>BBB</t>
        </is>
      </c>
      <c r="U242" t="inlineStr">
        <is>
          <t>BBB</t>
        </is>
      </c>
    </row>
    <row r="243">
      <c r="A243" t="inlineStr">
        <is>
          <t>FR0013523602</t>
        </is>
      </c>
      <c r="B243" t="inlineStr">
        <is>
          <t>Hold</t>
        </is>
      </c>
      <c r="C243" t="inlineStr">
        <is>
          <t>Credit Agricole Assrnces</t>
        </is>
      </c>
      <c r="D243" t="n">
        <v>2</v>
      </c>
      <c r="E243" t="inlineStr">
        <is>
          <t>Subordinated</t>
        </is>
      </c>
      <c r="F243" t="inlineStr">
        <is>
          <t>17.07.2030</t>
        </is>
      </c>
      <c r="G243" t="inlineStr">
        <is>
          <t>France</t>
        </is>
      </c>
      <c r="H243" t="inlineStr">
        <is>
          <t>Financial</t>
        </is>
      </c>
      <c r="I243" t="n">
        <v>100</v>
      </c>
      <c r="J243" t="n">
        <v>93.90900000000001</v>
      </c>
      <c r="K243" t="n">
        <v>3.337513</v>
      </c>
      <c r="L243" t="n">
        <v>-0.083092</v>
      </c>
      <c r="M243" t="n">
        <v>-0.123566</v>
      </c>
      <c r="N243" t="n">
        <v>103.1689156</v>
      </c>
      <c r="O243" t="n">
        <v>4.917841596</v>
      </c>
      <c r="P243" t="n">
        <v>60</v>
      </c>
      <c r="Q243" t="inlineStr">
        <is>
          <t>Credit Agricole's insurance arm</t>
        </is>
      </c>
      <c r="R243" t="inlineStr">
        <is>
          <t>EUR</t>
        </is>
      </c>
      <c r="S243" t="inlineStr">
        <is>
          <t>Investment Grade</t>
        </is>
      </c>
      <c r="T243" t="inlineStr">
        <is>
          <t>NR</t>
        </is>
      </c>
      <c r="U243" t="inlineStr">
        <is>
          <t>NR</t>
        </is>
      </c>
    </row>
    <row r="244">
      <c r="A244" t="inlineStr">
        <is>
          <t>CH1244319450</t>
        </is>
      </c>
      <c r="B244" t="inlineStr">
        <is>
          <t>Hold</t>
        </is>
      </c>
      <c r="C244" t="inlineStr">
        <is>
          <t>Deutsche Bank Ag</t>
        </is>
      </c>
      <c r="D244" t="n">
        <v>3.645</v>
      </c>
      <c r="E244" t="inlineStr">
        <is>
          <t>Sr Non Preferred</t>
        </is>
      </c>
      <c r="F244" t="inlineStr">
        <is>
          <t>27.01.2029</t>
        </is>
      </c>
      <c r="G244" t="inlineStr">
        <is>
          <t>Germany</t>
        </is>
      </c>
      <c r="H244" t="inlineStr">
        <is>
          <t>Financial</t>
        </is>
      </c>
      <c r="I244" t="n">
        <v>200</v>
      </c>
      <c r="J244" t="n">
        <v>106.438</v>
      </c>
      <c r="K244" t="n">
        <v>1.07028</v>
      </c>
      <c r="L244" t="n">
        <v>0.044051</v>
      </c>
      <c r="M244" t="n">
        <v>0.185669</v>
      </c>
      <c r="N244" t="n">
        <v>103.0648748</v>
      </c>
      <c r="O244" t="n">
        <v>2.793096567</v>
      </c>
      <c r="P244" t="n">
        <v>85</v>
      </c>
      <c r="Q244" t="inlineStr">
        <is>
          <t xml:space="preserve">Germany's largest universal bank </t>
        </is>
      </c>
      <c r="R244" t="inlineStr">
        <is>
          <t>CHF</t>
        </is>
      </c>
      <c r="S244" t="inlineStr">
        <is>
          <t>Investment Grade</t>
        </is>
      </c>
      <c r="T244" t="inlineStr">
        <is>
          <t>BBB+</t>
        </is>
      </c>
      <c r="U244" t="inlineStr">
        <is>
          <t>BBB+</t>
        </is>
      </c>
    </row>
    <row r="245">
      <c r="A245" t="inlineStr">
        <is>
          <t>US65535HBK41</t>
        </is>
      </c>
      <c r="B245" t="inlineStr">
        <is>
          <t>Hold</t>
        </is>
      </c>
      <c r="C245" t="inlineStr">
        <is>
          <t>Nomura Holdings Inc</t>
        </is>
      </c>
      <c r="D245" t="n">
        <v>6.181</v>
      </c>
      <c r="E245" t="inlineStr">
        <is>
          <t>Sr Unsecured</t>
        </is>
      </c>
      <c r="F245" t="inlineStr">
        <is>
          <t>18.01.2033</t>
        </is>
      </c>
      <c r="G245" t="inlineStr">
        <is>
          <t>Japan</t>
        </is>
      </c>
      <c r="H245" t="inlineStr">
        <is>
          <t>Financial</t>
        </is>
      </c>
      <c r="I245" t="n">
        <v>200</v>
      </c>
      <c r="J245" t="n">
        <v>106.124</v>
      </c>
      <c r="K245" t="n">
        <v>5.187688</v>
      </c>
      <c r="L245" t="n">
        <v>0.006953</v>
      </c>
      <c r="M245" t="n">
        <v>-0.168589</v>
      </c>
      <c r="N245" t="n">
        <v>102.4231373</v>
      </c>
      <c r="O245" t="n">
        <v>6.21086395</v>
      </c>
      <c r="P245" t="n">
        <v>60</v>
      </c>
      <c r="Q245" t="inlineStr">
        <is>
          <t>Japanese financial holding company</t>
        </is>
      </c>
      <c r="R245" t="inlineStr">
        <is>
          <t>USD</t>
        </is>
      </c>
      <c r="S245" t="inlineStr">
        <is>
          <t>Investment Grade</t>
        </is>
      </c>
      <c r="T245" t="inlineStr">
        <is>
          <t>BBB+</t>
        </is>
      </c>
      <c r="U245" t="inlineStr">
        <is>
          <t>BBB+</t>
        </is>
      </c>
    </row>
    <row r="246">
      <c r="A246" t="inlineStr">
        <is>
          <t>USY5257YAJ65</t>
        </is>
      </c>
      <c r="B246" t="inlineStr">
        <is>
          <t>Top pick</t>
        </is>
      </c>
      <c r="C246" t="inlineStr">
        <is>
          <t>Lenovo Group Ltd</t>
        </is>
      </c>
      <c r="D246" t="n">
        <v>3.421</v>
      </c>
      <c r="E246" t="inlineStr">
        <is>
          <t>Sr Unsecured</t>
        </is>
      </c>
      <c r="F246" t="inlineStr">
        <is>
          <t>02.11.2030</t>
        </is>
      </c>
      <c r="G246" t="inlineStr">
        <is>
          <t>China</t>
        </is>
      </c>
      <c r="H246" t="inlineStr">
        <is>
          <t>Technology</t>
        </is>
      </c>
      <c r="I246" t="n">
        <v>200</v>
      </c>
      <c r="J246" t="n">
        <v>92.72</v>
      </c>
      <c r="K246" t="n">
        <v>4.99605</v>
      </c>
      <c r="L246" t="n">
        <v>0.057749</v>
      </c>
      <c r="M246" t="n">
        <v>-0.04397</v>
      </c>
      <c r="N246" t="n">
        <v>102.1279717</v>
      </c>
      <c r="O246" t="n">
        <v>5.006266227</v>
      </c>
      <c r="P246" t="n">
        <v>60</v>
      </c>
      <c r="Q246" t="inlineStr">
        <is>
          <t>Largest manufacturer of personal computers.</t>
        </is>
      </c>
      <c r="R246" t="inlineStr">
        <is>
          <t>USD</t>
        </is>
      </c>
      <c r="S246" t="inlineStr">
        <is>
          <t>Investment Grade</t>
        </is>
      </c>
      <c r="T246" t="inlineStr">
        <is>
          <t>BBB</t>
        </is>
      </c>
      <c r="U246" t="inlineStr">
        <is>
          <t>BBB</t>
        </is>
      </c>
    </row>
    <row r="247">
      <c r="A247" t="inlineStr">
        <is>
          <t>US74736KAH41</t>
        </is>
      </c>
      <c r="B247" t="inlineStr">
        <is>
          <t>Hold</t>
        </is>
      </c>
      <c r="C247" t="inlineStr">
        <is>
          <t>Qorvo Inc</t>
        </is>
      </c>
      <c r="D247" t="n">
        <v>4.375</v>
      </c>
      <c r="E247" t="inlineStr">
        <is>
          <t>Sr Unsecured</t>
        </is>
      </c>
      <c r="F247" t="inlineStr">
        <is>
          <t>15.10.2029</t>
        </is>
      </c>
      <c r="G247" t="inlineStr">
        <is>
          <t>United states</t>
        </is>
      </c>
      <c r="H247" t="inlineStr">
        <is>
          <t>Technology</t>
        </is>
      </c>
      <c r="I247" t="n">
        <v>2</v>
      </c>
      <c r="J247" t="n">
        <v>97.324</v>
      </c>
      <c r="K247" t="n">
        <v>5.078279</v>
      </c>
      <c r="L247" t="n">
        <v>-0.044425</v>
      </c>
      <c r="M247" t="n">
        <v>-0.246071</v>
      </c>
      <c r="N247" t="n">
        <v>101.8824242</v>
      </c>
      <c r="O247" t="n">
        <v>4.064334174</v>
      </c>
      <c r="P247" t="n">
        <v>25</v>
      </c>
      <c r="Q247" t="inlineStr">
        <is>
          <t>Designs semiconductor solutions for connectivity and power applications</t>
        </is>
      </c>
      <c r="R247" t="inlineStr">
        <is>
          <t>USD</t>
        </is>
      </c>
      <c r="S247" t="inlineStr">
        <is>
          <t>Investment Grade</t>
        </is>
      </c>
      <c r="T247" t="inlineStr">
        <is>
          <t>BBB-</t>
        </is>
      </c>
      <c r="U247" t="inlineStr">
        <is>
          <t>BBB-</t>
        </is>
      </c>
    </row>
    <row r="248">
      <c r="A248" t="inlineStr">
        <is>
          <t>FR0013447125</t>
        </is>
      </c>
      <c r="B248" t="inlineStr">
        <is>
          <t>Hold</t>
        </is>
      </c>
      <c r="C248" t="inlineStr">
        <is>
          <t>Caisse Nat Reassurance</t>
        </is>
      </c>
      <c r="D248" t="n">
        <v>2.125</v>
      </c>
      <c r="E248" t="inlineStr">
        <is>
          <t>Subordinated</t>
        </is>
      </c>
      <c r="F248" t="inlineStr">
        <is>
          <t>16.09.2029</t>
        </is>
      </c>
      <c r="G248" t="inlineStr">
        <is>
          <t>France</t>
        </is>
      </c>
      <c r="H248" t="inlineStr">
        <is>
          <t>Financial</t>
        </is>
      </c>
      <c r="I248" t="n">
        <v>100</v>
      </c>
      <c r="J248" t="n">
        <v>95.833</v>
      </c>
      <c r="K248" t="n">
        <v>3.202573</v>
      </c>
      <c r="L248" t="n">
        <v>-0.118308</v>
      </c>
      <c r="M248" t="n">
        <v>-0.206768</v>
      </c>
      <c r="N248" t="n">
        <v>101.7914967</v>
      </c>
      <c r="O248" t="n">
        <v>4.207684788</v>
      </c>
      <c r="P248" t="n">
        <v>75</v>
      </c>
      <c r="Q248" t="inlineStr">
        <is>
          <t>French Global Insurer</t>
        </is>
      </c>
      <c r="R248" t="inlineStr">
        <is>
          <t>EUR</t>
        </is>
      </c>
      <c r="S248" t="inlineStr">
        <is>
          <t>Investment Grade</t>
        </is>
      </c>
      <c r="T248" t="inlineStr">
        <is>
          <t>NR</t>
        </is>
      </c>
      <c r="U248" t="inlineStr">
        <is>
          <t>NR</t>
        </is>
      </c>
    </row>
    <row r="249">
      <c r="A249" t="inlineStr">
        <is>
          <t>XS2403428472</t>
        </is>
      </c>
      <c r="B249" t="inlineStr">
        <is>
          <t xml:space="preserve">Hold </t>
        </is>
      </c>
      <c r="C249" t="inlineStr">
        <is>
          <t>Rexel Sa</t>
        </is>
      </c>
      <c r="D249" t="n">
        <v>2.125</v>
      </c>
      <c r="E249" t="inlineStr">
        <is>
          <t>Sr Unsecured</t>
        </is>
      </c>
      <c r="F249" t="inlineStr">
        <is>
          <t>15.12.2028</t>
        </is>
      </c>
      <c r="G249" t="inlineStr">
        <is>
          <t>France</t>
        </is>
      </c>
      <c r="H249" t="inlineStr">
        <is>
          <t>Consumer, Cyclical</t>
        </is>
      </c>
      <c r="I249" t="n">
        <v>100</v>
      </c>
      <c r="J249" t="n">
        <v>96.943</v>
      </c>
      <c r="K249" t="n">
        <v>3.09337</v>
      </c>
      <c r="L249" t="n">
        <v>0.035618</v>
      </c>
      <c r="M249" t="n">
        <v>-0.051589</v>
      </c>
      <c r="N249" t="n">
        <v>101.4475204</v>
      </c>
      <c r="O249" t="n">
        <v>3.603448353</v>
      </c>
      <c r="P249" t="n">
        <v>25</v>
      </c>
      <c r="Q249" t="inlineStr">
        <is>
          <t xml:space="preserve">Provides a wide range of electrical supplies </t>
        </is>
      </c>
      <c r="R249" t="inlineStr">
        <is>
          <t>EUR</t>
        </is>
      </c>
      <c r="S249" t="inlineStr">
        <is>
          <t>High Yield</t>
        </is>
      </c>
      <c r="T249" t="inlineStr">
        <is>
          <t>BB+</t>
        </is>
      </c>
      <c r="U249" t="inlineStr">
        <is>
          <t>BB+</t>
        </is>
      </c>
    </row>
    <row r="250">
      <c r="A250" t="inlineStr">
        <is>
          <t>XS2304340693</t>
        </is>
      </c>
      <c r="B250" t="inlineStr">
        <is>
          <t>Top Pick</t>
        </is>
      </c>
      <c r="C250" t="inlineStr">
        <is>
          <t>Equinix Inc</t>
        </is>
      </c>
      <c r="D250" t="n">
        <v>1</v>
      </c>
      <c r="E250" t="inlineStr">
        <is>
          <t>Sr Unsecured</t>
        </is>
      </c>
      <c r="F250" t="inlineStr">
        <is>
          <t>15.03.2033</t>
        </is>
      </c>
      <c r="G250" t="inlineStr">
        <is>
          <t>United states</t>
        </is>
      </c>
      <c r="H250" t="inlineStr">
        <is>
          <t>Financial</t>
        </is>
      </c>
      <c r="I250" t="n">
        <v>100</v>
      </c>
      <c r="J250" t="n">
        <v>82.33199999999999</v>
      </c>
      <c r="K250" t="n">
        <v>3.681708</v>
      </c>
      <c r="L250" t="n">
        <v>0.058489</v>
      </c>
      <c r="M250" t="n">
        <v>0.092636</v>
      </c>
      <c r="N250" t="n">
        <v>101.4227115</v>
      </c>
      <c r="O250" t="n">
        <v>7.393658378</v>
      </c>
      <c r="P250" t="n">
        <v>60</v>
      </c>
      <c r="Q250" t="inlineStr">
        <is>
          <t xml:space="preserve">Owns and operate data centres </t>
        </is>
      </c>
      <c r="R250" t="inlineStr">
        <is>
          <t>EUR</t>
        </is>
      </c>
      <c r="S250" t="inlineStr">
        <is>
          <t>Investment Grade</t>
        </is>
      </c>
      <c r="T250" t="inlineStr">
        <is>
          <t>BBB</t>
        </is>
      </c>
      <c r="U250" t="inlineStr">
        <is>
          <t>BBB</t>
        </is>
      </c>
    </row>
    <row r="251">
      <c r="A251" t="inlineStr">
        <is>
          <t>US74947MAE21</t>
        </is>
      </c>
      <c r="B251" t="inlineStr">
        <is>
          <t xml:space="preserve">Hold </t>
        </is>
      </c>
      <c r="C251" t="inlineStr">
        <is>
          <t>Rec Ltd</t>
        </is>
      </c>
      <c r="D251" t="n">
        <v>4.75</v>
      </c>
      <c r="E251" t="inlineStr">
        <is>
          <t>Sr Unsecured</t>
        </is>
      </c>
      <c r="F251" t="inlineStr">
        <is>
          <t>27.09.2029</t>
        </is>
      </c>
      <c r="G251" t="inlineStr">
        <is>
          <t>India</t>
        </is>
      </c>
      <c r="H251" t="inlineStr">
        <is>
          <t>Financial</t>
        </is>
      </c>
      <c r="I251" t="n">
        <v>200</v>
      </c>
      <c r="J251" t="n">
        <v>99.374</v>
      </c>
      <c r="K251" t="n">
        <v>4.914331</v>
      </c>
      <c r="L251" t="n">
        <v>0.017016</v>
      </c>
      <c r="M251" t="n">
        <v>-0.180706</v>
      </c>
      <c r="N251" t="n">
        <v>101.4045967</v>
      </c>
      <c r="O251" t="n">
        <v>3.999557779</v>
      </c>
      <c r="P251" t="n">
        <v>0</v>
      </c>
      <c r="Q251" t="inlineStr">
        <is>
          <t>Partially state-owned financial institution in India</t>
        </is>
      </c>
      <c r="R251" t="inlineStr">
        <is>
          <t>USD</t>
        </is>
      </c>
      <c r="S251" t="inlineStr">
        <is>
          <t>Investment Grade</t>
        </is>
      </c>
      <c r="T251" t="inlineStr">
        <is>
          <t>BBB-</t>
        </is>
      </c>
      <c r="U251" t="inlineStr">
        <is>
          <t>BBB-</t>
        </is>
      </c>
    </row>
    <row r="252">
      <c r="A252" t="inlineStr">
        <is>
          <t>CH1159841340</t>
        </is>
      </c>
      <c r="B252" t="inlineStr">
        <is>
          <t>Hold</t>
        </is>
      </c>
      <c r="C252" t="inlineStr">
        <is>
          <t>Societe Generale</t>
        </is>
      </c>
      <c r="D252" t="n">
        <v>0.745</v>
      </c>
      <c r="E252" t="inlineStr">
        <is>
          <t>Sr Non Preferred</t>
        </is>
      </c>
      <c r="F252" t="inlineStr">
        <is>
          <t>26.01.2029</t>
        </is>
      </c>
      <c r="G252" t="inlineStr">
        <is>
          <t>France</t>
        </is>
      </c>
      <c r="H252" t="inlineStr">
        <is>
          <t>Financial</t>
        </is>
      </c>
      <c r="I252" t="n">
        <v>200</v>
      </c>
      <c r="J252" t="n">
        <v>98.911</v>
      </c>
      <c r="K252" t="n">
        <v>1.059291</v>
      </c>
      <c r="L252" t="n">
        <v>0.022513</v>
      </c>
      <c r="M252" t="n">
        <v>0.123994</v>
      </c>
      <c r="N252" t="n">
        <v>101.3221668</v>
      </c>
      <c r="O252" t="n">
        <v>3.832513979</v>
      </c>
      <c r="P252" t="n">
        <v>85</v>
      </c>
      <c r="Q252" t="inlineStr">
        <is>
          <t xml:space="preserve">One of the largest banks in Europe </t>
        </is>
      </c>
      <c r="R252" t="inlineStr">
        <is>
          <t>CHF</t>
        </is>
      </c>
      <c r="S252" t="inlineStr">
        <is>
          <t>Investment Grade</t>
        </is>
      </c>
      <c r="T252" t="inlineStr">
        <is>
          <t>BBB</t>
        </is>
      </c>
      <c r="U252" t="inlineStr">
        <is>
          <t>BBB</t>
        </is>
      </c>
    </row>
    <row r="253">
      <c r="A253" t="inlineStr">
        <is>
          <t>USU57619AG08</t>
        </is>
      </c>
      <c r="B253" t="inlineStr">
        <is>
          <t>Top Pick</t>
        </is>
      </c>
      <c r="C253" t="inlineStr">
        <is>
          <t>Mattel Inc</t>
        </is>
      </c>
      <c r="D253" t="n">
        <v>3.75</v>
      </c>
      <c r="E253" t="inlineStr">
        <is>
          <t>Sr Unsecured</t>
        </is>
      </c>
      <c r="F253" t="inlineStr">
        <is>
          <t>01.04.2029</t>
        </is>
      </c>
      <c r="G253" t="inlineStr">
        <is>
          <t>United states</t>
        </is>
      </c>
      <c r="H253" t="inlineStr">
        <is>
          <t>Consumer, Cyclical</t>
        </is>
      </c>
      <c r="I253" t="n">
        <v>2</v>
      </c>
      <c r="J253" t="n">
        <v>95.943</v>
      </c>
      <c r="K253" t="n">
        <v>4.952745</v>
      </c>
      <c r="L253" t="n">
        <v>-0.069079</v>
      </c>
      <c r="M253" t="n">
        <v>-0.385948</v>
      </c>
      <c r="N253" t="n">
        <v>100.8826726</v>
      </c>
      <c r="O253" t="n">
        <v>3.689121394</v>
      </c>
      <c r="P253" t="n">
        <v>60</v>
      </c>
      <c r="Q253" t="inlineStr">
        <is>
          <t>Leading global toy company</t>
        </is>
      </c>
      <c r="R253" t="inlineStr">
        <is>
          <t>USD</t>
        </is>
      </c>
      <c r="S253" t="inlineStr">
        <is>
          <t>Investment Grade</t>
        </is>
      </c>
      <c r="T253" t="inlineStr">
        <is>
          <t>BBB-</t>
        </is>
      </c>
      <c r="U253" t="inlineStr">
        <is>
          <t>BBB-</t>
        </is>
      </c>
    </row>
    <row r="254">
      <c r="A254" t="inlineStr">
        <is>
          <t>US46647PEV40</t>
        </is>
      </c>
      <c r="B254" t="inlineStr">
        <is>
          <t>Top Pick</t>
        </is>
      </c>
      <c r="C254" t="inlineStr">
        <is>
          <t>Jpmorgan Chase &amp; Co</t>
        </is>
      </c>
      <c r="D254" t="n">
        <v>5.14</v>
      </c>
      <c r="E254" t="inlineStr">
        <is>
          <t>Sr Unsecured</t>
        </is>
      </c>
      <c r="F254" t="inlineStr">
        <is>
          <t>24.01.2031</t>
        </is>
      </c>
      <c r="G254" t="inlineStr">
        <is>
          <t>United states</t>
        </is>
      </c>
      <c r="H254" t="inlineStr">
        <is>
          <t>Financial</t>
        </is>
      </c>
      <c r="I254" t="n">
        <v>2</v>
      </c>
      <c r="J254" t="n">
        <v>102.332</v>
      </c>
      <c r="K254" t="n">
        <v>4.565501</v>
      </c>
      <c r="L254" t="n">
        <v>-0.008165</v>
      </c>
      <c r="M254" t="n">
        <v>-0.194737</v>
      </c>
      <c r="N254" t="n">
        <v>100.6601257</v>
      </c>
      <c r="O254" t="n">
        <v>4.291203917</v>
      </c>
      <c r="P254" t="n">
        <v>0</v>
      </c>
      <c r="Q254" t="inlineStr">
        <is>
          <t>The largest US bank</t>
        </is>
      </c>
      <c r="R254" t="inlineStr">
        <is>
          <t>USD</t>
        </is>
      </c>
      <c r="S254" t="inlineStr">
        <is>
          <t>Investment Grade</t>
        </is>
      </c>
      <c r="T254" t="inlineStr">
        <is>
          <t>A+</t>
        </is>
      </c>
      <c r="U254" t="inlineStr">
        <is>
          <t>A+</t>
        </is>
      </c>
    </row>
    <row r="255">
      <c r="A255" t="inlineStr">
        <is>
          <t>XS2597110027</t>
        </is>
      </c>
      <c r="B255" t="inlineStr">
        <is>
          <t>Hold</t>
        </is>
      </c>
      <c r="C255" t="inlineStr">
        <is>
          <t>Stellantis Nv</t>
        </is>
      </c>
      <c r="D255" t="n">
        <v>4.375</v>
      </c>
      <c r="E255" t="inlineStr">
        <is>
          <t>Sr Unsecured</t>
        </is>
      </c>
      <c r="F255" t="inlineStr">
        <is>
          <t>14.03.2030</t>
        </is>
      </c>
      <c r="G255" t="inlineStr">
        <is>
          <t>United states</t>
        </is>
      </c>
      <c r="H255" t="inlineStr">
        <is>
          <t>Consumer, Cyclical</t>
        </is>
      </c>
      <c r="I255" t="n">
        <v>100</v>
      </c>
      <c r="J255" t="n">
        <v>104.586</v>
      </c>
      <c r="K255" t="n">
        <v>3.246714</v>
      </c>
      <c r="L255" t="n">
        <v>-0.229609</v>
      </c>
      <c r="M255" t="n">
        <v>-0.185284</v>
      </c>
      <c r="N255" t="n">
        <v>100.2924084</v>
      </c>
      <c r="O255" t="n">
        <v>4.130415519</v>
      </c>
      <c r="P255" t="n">
        <v>80</v>
      </c>
      <c r="Q255" t="inlineStr">
        <is>
          <t>One of largest auto maker in the world</t>
        </is>
      </c>
      <c r="R255" t="inlineStr">
        <is>
          <t>EUR</t>
        </is>
      </c>
      <c r="S255" t="inlineStr">
        <is>
          <t>Investment Grade</t>
        </is>
      </c>
      <c r="T255" t="inlineStr">
        <is>
          <t>BBB</t>
        </is>
      </c>
      <c r="U255" t="inlineStr">
        <is>
          <t>BBB+</t>
        </is>
      </c>
    </row>
    <row r="256">
      <c r="A256" t="inlineStr">
        <is>
          <t>XS1732146938</t>
        </is>
      </c>
      <c r="B256" t="inlineStr">
        <is>
          <t>Hold</t>
        </is>
      </c>
      <c r="C256" t="inlineStr">
        <is>
          <t>Tritax Big Box Reit Plc</t>
        </is>
      </c>
      <c r="D256" t="n">
        <v>3.125</v>
      </c>
      <c r="E256" t="inlineStr">
        <is>
          <t>Sr Unsecured</t>
        </is>
      </c>
      <c r="F256" t="inlineStr">
        <is>
          <t>14.12.2031</t>
        </is>
      </c>
      <c r="G256" t="inlineStr">
        <is>
          <t>United Kingdom</t>
        </is>
      </c>
      <c r="H256" t="inlineStr">
        <is>
          <t>Financial</t>
        </is>
      </c>
      <c r="I256" t="n">
        <v>100</v>
      </c>
      <c r="J256" t="n">
        <v>89.116</v>
      </c>
      <c r="K256" t="n">
        <v>5.133316</v>
      </c>
      <c r="L256" t="n">
        <v>-0.000507</v>
      </c>
      <c r="M256" t="n">
        <v>-0.219293</v>
      </c>
      <c r="N256" t="n">
        <v>100.2628189</v>
      </c>
      <c r="O256" t="n">
        <v>5.930141118</v>
      </c>
      <c r="P256" t="n">
        <v>0</v>
      </c>
      <c r="Q256" t="inlineStr">
        <is>
          <t xml:space="preserve">UK logistic real estate </t>
        </is>
      </c>
      <c r="R256" t="inlineStr">
        <is>
          <t>GBP</t>
        </is>
      </c>
      <c r="S256" t="inlineStr">
        <is>
          <t>Investment Grade</t>
        </is>
      </c>
      <c r="T256" t="inlineStr">
        <is>
          <t>NR</t>
        </is>
      </c>
      <c r="U256" t="inlineStr">
        <is>
          <t>NR</t>
        </is>
      </c>
    </row>
    <row r="257">
      <c r="A257" t="inlineStr">
        <is>
          <t>XS1047788523</t>
        </is>
      </c>
      <c r="B257" t="inlineStr">
        <is>
          <t>Top Pick</t>
        </is>
      </c>
      <c r="C257" t="inlineStr">
        <is>
          <t>Gatwick Funding Limited</t>
        </is>
      </c>
      <c r="D257" t="n">
        <v>4.625</v>
      </c>
      <c r="E257" t="inlineStr">
        <is>
          <t>1St Lien</t>
        </is>
      </c>
      <c r="F257" t="inlineStr">
        <is>
          <t>27.03.2034</t>
        </is>
      </c>
      <c r="G257" t="inlineStr">
        <is>
          <t>United Kingdom</t>
        </is>
      </c>
      <c r="H257" t="inlineStr">
        <is>
          <t>Industrial</t>
        </is>
      </c>
      <c r="I257" t="n">
        <v>100</v>
      </c>
      <c r="J257" t="n">
        <v>94.352</v>
      </c>
      <c r="K257" t="n">
        <v>5.380587</v>
      </c>
      <c r="L257" t="n">
        <v>0.043441</v>
      </c>
      <c r="M257" t="n">
        <v>-0.144437</v>
      </c>
      <c r="N257" t="n">
        <v>100.2472994</v>
      </c>
      <c r="O257" t="n">
        <v>6.861793365</v>
      </c>
      <c r="P257" t="n">
        <v>50</v>
      </c>
      <c r="Q257" t="inlineStr">
        <is>
          <t>Second largest airport in the UK</t>
        </is>
      </c>
      <c r="R257" t="inlineStr">
        <is>
          <t>GBP</t>
        </is>
      </c>
      <c r="S257" t="inlineStr">
        <is>
          <t>Investment Grade</t>
        </is>
      </c>
      <c r="T257" t="inlineStr">
        <is>
          <t>BBB+</t>
        </is>
      </c>
      <c r="U257" t="inlineStr">
        <is>
          <t>BBB</t>
        </is>
      </c>
    </row>
    <row r="258">
      <c r="A258" t="inlineStr">
        <is>
          <t>US46514BRA79</t>
        </is>
      </c>
      <c r="B258" t="inlineStr">
        <is>
          <t xml:space="preserve">Not accumulate </t>
        </is>
      </c>
      <c r="C258" t="inlineStr">
        <is>
          <t>State Of Israel</t>
        </is>
      </c>
      <c r="D258" t="n">
        <v>4.5</v>
      </c>
      <c r="E258" t="inlineStr">
        <is>
          <t>Sr Unsecured</t>
        </is>
      </c>
      <c r="F258" t="inlineStr">
        <is>
          <t>17.01.2033</t>
        </is>
      </c>
      <c r="G258" t="inlineStr">
        <is>
          <t>Israel</t>
        </is>
      </c>
      <c r="H258" t="inlineStr">
        <is>
          <t>Government</t>
        </is>
      </c>
      <c r="I258" t="n">
        <v>200</v>
      </c>
      <c r="J258" t="n">
        <v>95.852</v>
      </c>
      <c r="K258" t="n">
        <v>5.172313</v>
      </c>
      <c r="L258" t="n">
        <v>-0.09993</v>
      </c>
      <c r="M258" t="n">
        <v>-0.304313</v>
      </c>
      <c r="N258" t="n">
        <v>99.88819083999999</v>
      </c>
      <c r="O258" t="n">
        <v>6.481348728</v>
      </c>
      <c r="P258" t="n">
        <v>85</v>
      </c>
      <c r="Q258" t="inlineStr">
        <is>
          <t>State of Israel</t>
        </is>
      </c>
      <c r="R258" t="inlineStr">
        <is>
          <t>USD</t>
        </is>
      </c>
      <c r="S258" t="inlineStr">
        <is>
          <t>Investment Grade</t>
        </is>
      </c>
      <c r="T258" t="inlineStr">
        <is>
          <t>A-</t>
        </is>
      </c>
      <c r="U258" t="inlineStr">
        <is>
          <t>A-</t>
        </is>
      </c>
    </row>
    <row r="259">
      <c r="A259" t="inlineStr">
        <is>
          <t>XS2793255162</t>
        </is>
      </c>
      <c r="B259" t="inlineStr">
        <is>
          <t>Top Pick</t>
        </is>
      </c>
      <c r="C259" t="inlineStr">
        <is>
          <t>Jt Intl Fin Services Bv</t>
        </is>
      </c>
      <c r="D259" t="n">
        <v>3.625</v>
      </c>
      <c r="E259" t="inlineStr">
        <is>
          <t>Sr Unsecured</t>
        </is>
      </c>
      <c r="F259" t="inlineStr">
        <is>
          <t>11.04.2034</t>
        </is>
      </c>
      <c r="G259" t="inlineStr">
        <is>
          <t>Japan</t>
        </is>
      </c>
      <c r="H259" t="inlineStr">
        <is>
          <t>Consumer, Non-cyclical</t>
        </is>
      </c>
      <c r="I259" t="n">
        <v>100</v>
      </c>
      <c r="J259" t="n">
        <v>99.10599999999999</v>
      </c>
      <c r="K259" t="n">
        <v>3.74497</v>
      </c>
      <c r="L259" t="n">
        <v>-0.009932</v>
      </c>
      <c r="M259" t="n">
        <v>0.018965</v>
      </c>
      <c r="N259" t="n">
        <v>99.39520549</v>
      </c>
      <c r="O259" t="n">
        <v>7.425275079</v>
      </c>
      <c r="P259" t="n">
        <v>80</v>
      </c>
      <c r="Q259" t="inlineStr">
        <is>
          <t>One of the largest tobacco producers</t>
        </is>
      </c>
      <c r="R259" t="inlineStr">
        <is>
          <t>EUR</t>
        </is>
      </c>
      <c r="S259" t="inlineStr">
        <is>
          <t>Investment Grade</t>
        </is>
      </c>
      <c r="T259" t="inlineStr">
        <is>
          <t>A</t>
        </is>
      </c>
      <c r="U259" t="inlineStr">
        <is>
          <t>A</t>
        </is>
      </c>
    </row>
    <row r="260">
      <c r="A260" t="inlineStr">
        <is>
          <t>XS2024535036</t>
        </is>
      </c>
      <c r="B260" t="inlineStr">
        <is>
          <t>Hold</t>
        </is>
      </c>
      <c r="C260" t="inlineStr">
        <is>
          <t>Marks &amp; Spencer Plc</t>
        </is>
      </c>
      <c r="D260" t="n">
        <v>3.25</v>
      </c>
      <c r="E260" t="inlineStr">
        <is>
          <t>Sr Unsecured</t>
        </is>
      </c>
      <c r="F260" t="inlineStr">
        <is>
          <t>10.07.2027</t>
        </is>
      </c>
      <c r="G260" t="inlineStr">
        <is>
          <t>United Kingdom</t>
        </is>
      </c>
      <c r="H260" t="inlineStr">
        <is>
          <t>Consumer, Cyclical</t>
        </is>
      </c>
      <c r="I260" t="n">
        <v>100</v>
      </c>
      <c r="J260" t="n">
        <v>97.182</v>
      </c>
      <c r="K260" t="n">
        <v>4.70498</v>
      </c>
      <c r="L260" t="n">
        <v>-0.012646</v>
      </c>
      <c r="M260" t="n">
        <v>-0.240871</v>
      </c>
      <c r="N260" t="n">
        <v>99.14675182000001</v>
      </c>
      <c r="O260" t="n">
        <v>2.173857939</v>
      </c>
      <c r="P260" t="n">
        <v>20</v>
      </c>
      <c r="Q260" t="inlineStr">
        <is>
          <t>Leading United Kingdom clothing and food retailer</t>
        </is>
      </c>
      <c r="R260" t="inlineStr">
        <is>
          <t>GBP</t>
        </is>
      </c>
      <c r="S260" t="inlineStr">
        <is>
          <t>High Yield</t>
        </is>
      </c>
      <c r="T260" t="inlineStr">
        <is>
          <t>BBB-</t>
        </is>
      </c>
      <c r="U260" t="inlineStr">
        <is>
          <t>BBB-</t>
        </is>
      </c>
    </row>
    <row r="261">
      <c r="A261" t="inlineStr">
        <is>
          <t>CH1291809916</t>
        </is>
      </c>
      <c r="B261" t="inlineStr">
        <is>
          <t>Hold</t>
        </is>
      </c>
      <c r="C261" t="inlineStr">
        <is>
          <t>Electricite De France Sa</t>
        </is>
      </c>
      <c r="D261" t="n">
        <v>2.55</v>
      </c>
      <c r="E261" t="inlineStr">
        <is>
          <t>Sr Unsecured</t>
        </is>
      </c>
      <c r="F261" t="inlineStr">
        <is>
          <t>12.09.2031</t>
        </is>
      </c>
      <c r="G261" t="inlineStr">
        <is>
          <t>France</t>
        </is>
      </c>
      <c r="H261" t="inlineStr">
        <is>
          <t>Utilities</t>
        </is>
      </c>
      <c r="I261" t="n">
        <v>5</v>
      </c>
      <c r="J261" t="n">
        <v>107.988</v>
      </c>
      <c r="K261" t="n">
        <v>1.199773</v>
      </c>
      <c r="L261" t="n">
        <v>0.01751</v>
      </c>
      <c r="M261" t="n">
        <v>0.145989</v>
      </c>
      <c r="N261" t="n">
        <v>98.68780525</v>
      </c>
      <c r="O261" t="n">
        <v>5.992745867</v>
      </c>
      <c r="P261" t="n">
        <v>60</v>
      </c>
      <c r="Q261" t="inlineStr">
        <is>
          <t>French utility company fully owned by the State</t>
        </is>
      </c>
      <c r="R261" t="inlineStr">
        <is>
          <t>CHF</t>
        </is>
      </c>
      <c r="S261" t="inlineStr">
        <is>
          <t>Investment Grade</t>
        </is>
      </c>
      <c r="T261" t="inlineStr">
        <is>
          <t>BBB</t>
        </is>
      </c>
      <c r="U261" t="inlineStr">
        <is>
          <t>BBB</t>
        </is>
      </c>
    </row>
    <row r="262">
      <c r="A262" t="inlineStr">
        <is>
          <t>FR001400KHI6</t>
        </is>
      </c>
      <c r="B262" t="inlineStr">
        <is>
          <t>Hold</t>
        </is>
      </c>
      <c r="C262" t="inlineStr">
        <is>
          <t>Engie Sa</t>
        </is>
      </c>
      <c r="D262" t="n">
        <v>4.5</v>
      </c>
      <c r="E262" t="inlineStr">
        <is>
          <t>Sr Unsecured</t>
        </is>
      </c>
      <c r="F262" t="inlineStr">
        <is>
          <t>06.09.2042</t>
        </is>
      </c>
      <c r="G262" t="inlineStr">
        <is>
          <t>France</t>
        </is>
      </c>
      <c r="H262" t="inlineStr">
        <is>
          <t>Utilities</t>
        </is>
      </c>
      <c r="I262" t="n">
        <v>100</v>
      </c>
      <c r="J262" t="n">
        <v>103.255</v>
      </c>
      <c r="K262" t="n">
        <v>4.226433</v>
      </c>
      <c r="L262" t="n">
        <v>-0.035764</v>
      </c>
      <c r="M262" t="n">
        <v>0.0006310000000000001</v>
      </c>
      <c r="N262" t="n">
        <v>98.46281197</v>
      </c>
      <c r="O262" t="n">
        <v>11.80643142</v>
      </c>
      <c r="P262" t="n">
        <v>60</v>
      </c>
      <c r="Q262" t="inlineStr">
        <is>
          <t xml:space="preserve">French utility company specialised in renewables </t>
        </is>
      </c>
      <c r="R262" t="inlineStr">
        <is>
          <t>EUR</t>
        </is>
      </c>
      <c r="S262" t="inlineStr">
        <is>
          <t>Investment Grade</t>
        </is>
      </c>
      <c r="T262" t="inlineStr">
        <is>
          <t>BBB+</t>
        </is>
      </c>
      <c r="U262" t="inlineStr">
        <is>
          <t>BBB+</t>
        </is>
      </c>
    </row>
    <row r="263">
      <c r="A263" t="inlineStr">
        <is>
          <t>XS2288109676</t>
        </is>
      </c>
      <c r="B263" t="inlineStr">
        <is>
          <t>Hold</t>
        </is>
      </c>
      <c r="C263" t="inlineStr">
        <is>
          <t>Telecom Italia Spa</t>
        </is>
      </c>
      <c r="D263" t="n">
        <v>1.625</v>
      </c>
      <c r="E263" t="inlineStr">
        <is>
          <t>Sr Unsecured</t>
        </is>
      </c>
      <c r="F263" t="inlineStr">
        <is>
          <t>18.01.2029</t>
        </is>
      </c>
      <c r="G263" t="inlineStr">
        <is>
          <t>Italy</t>
        </is>
      </c>
      <c r="H263" t="inlineStr">
        <is>
          <t>Communications</t>
        </is>
      </c>
      <c r="I263" t="n">
        <v>100</v>
      </c>
      <c r="J263" t="n">
        <v>95.221</v>
      </c>
      <c r="K263" t="n">
        <v>3.072719</v>
      </c>
      <c r="L263" t="n">
        <v>-0.046374</v>
      </c>
      <c r="M263" t="n">
        <v>0.045971</v>
      </c>
      <c r="N263" t="n">
        <v>98.43739076999999</v>
      </c>
      <c r="O263" t="n">
        <v>3.67576865</v>
      </c>
      <c r="P263" t="n">
        <v>25</v>
      </c>
      <c r="Q263" t="inlineStr">
        <is>
          <t>Italy's largest telecom company</t>
        </is>
      </c>
      <c r="R263" t="inlineStr">
        <is>
          <t>EUR</t>
        </is>
      </c>
      <c r="S263" t="inlineStr">
        <is>
          <t>High Yield</t>
        </is>
      </c>
      <c r="T263" t="inlineStr">
        <is>
          <t>BB</t>
        </is>
      </c>
      <c r="U263" t="inlineStr">
        <is>
          <t>BB-</t>
        </is>
      </c>
    </row>
    <row r="264">
      <c r="A264" t="inlineStr">
        <is>
          <t>FR001400KHW7</t>
        </is>
      </c>
      <c r="B264" t="inlineStr">
        <is>
          <t>Not accumulate</t>
        </is>
      </c>
      <c r="C264" t="inlineStr">
        <is>
          <t>Kering</t>
        </is>
      </c>
      <c r="D264" t="n">
        <v>3.625</v>
      </c>
      <c r="E264" t="inlineStr">
        <is>
          <t>Sr Unsecured</t>
        </is>
      </c>
      <c r="F264" t="inlineStr">
        <is>
          <t>05.09.2031</t>
        </is>
      </c>
      <c r="G264" t="inlineStr">
        <is>
          <t>France</t>
        </is>
      </c>
      <c r="H264" t="inlineStr">
        <is>
          <t>Consumer, Cyclical</t>
        </is>
      </c>
      <c r="I264" t="n">
        <v>100</v>
      </c>
      <c r="J264" t="n">
        <v>100.875</v>
      </c>
      <c r="K264" t="n">
        <v>3.459299</v>
      </c>
      <c r="L264" t="n">
        <v>-0.106262</v>
      </c>
      <c r="M264" t="n">
        <v>0.08381</v>
      </c>
      <c r="N264" t="n">
        <v>98.2175689</v>
      </c>
      <c r="O264" t="n">
        <v>5.459515488</v>
      </c>
      <c r="P264" t="n">
        <v>85</v>
      </c>
      <c r="Q264" t="inlineStr">
        <is>
          <t>Designs, manufactures, and markets fashion and leather goods</t>
        </is>
      </c>
      <c r="R264" t="inlineStr">
        <is>
          <t>EUR</t>
        </is>
      </c>
      <c r="S264" t="inlineStr">
        <is>
          <t>Investment Grade</t>
        </is>
      </c>
      <c r="T264" t="inlineStr">
        <is>
          <t>NR</t>
        </is>
      </c>
      <c r="U264" t="inlineStr">
        <is>
          <t>NR</t>
        </is>
      </c>
    </row>
    <row r="265">
      <c r="A265" t="inlineStr">
        <is>
          <t>XS2386886803</t>
        </is>
      </c>
      <c r="B265" t="inlineStr">
        <is>
          <t xml:space="preserve">Hold </t>
        </is>
      </c>
      <c r="C265" t="inlineStr">
        <is>
          <t>Volkswagen Fin Serv Nv</t>
        </is>
      </c>
      <c r="D265" t="n">
        <v>1.375</v>
      </c>
      <c r="E265" t="inlineStr">
        <is>
          <t>Sr Unsecured</t>
        </is>
      </c>
      <c r="F265" t="inlineStr">
        <is>
          <t>14.09.2028</t>
        </is>
      </c>
      <c r="G265" t="inlineStr">
        <is>
          <t>Germany</t>
        </is>
      </c>
      <c r="H265" t="inlineStr">
        <is>
          <t>Consumer, Cyclical</t>
        </is>
      </c>
      <c r="I265" t="n">
        <v>100</v>
      </c>
      <c r="J265" t="n">
        <v>90.105</v>
      </c>
      <c r="K265" t="n">
        <v>4.743105</v>
      </c>
      <c r="L265" t="n">
        <v>-0.007206</v>
      </c>
      <c r="M265" t="n">
        <v>-0.258081</v>
      </c>
      <c r="N265" t="n">
        <v>98.18015114000001</v>
      </c>
      <c r="O265" t="n">
        <v>3.290809428</v>
      </c>
      <c r="P265" t="n">
        <v>75</v>
      </c>
      <c r="Q265" t="inlineStr">
        <is>
          <t>Financial arm of multinational auto manufacturing company</t>
        </is>
      </c>
      <c r="R265" t="inlineStr">
        <is>
          <t>GBP</t>
        </is>
      </c>
      <c r="S265" t="inlineStr">
        <is>
          <t>Investment Grade</t>
        </is>
      </c>
      <c r="T265" t="inlineStr">
        <is>
          <t>BBB+</t>
        </is>
      </c>
      <c r="U265" t="inlineStr">
        <is>
          <t>BBB+</t>
        </is>
      </c>
    </row>
    <row r="266">
      <c r="A266" t="inlineStr">
        <is>
          <t>FR001400I7U8</t>
        </is>
      </c>
      <c r="B266" t="inlineStr">
        <is>
          <t xml:space="preserve">Hold </t>
        </is>
      </c>
      <c r="C266" t="inlineStr">
        <is>
          <t>Bnp Paribas</t>
        </is>
      </c>
      <c r="D266" t="n">
        <v>6</v>
      </c>
      <c r="E266" t="inlineStr">
        <is>
          <t>Sr Preferred</t>
        </is>
      </c>
      <c r="F266" t="inlineStr">
        <is>
          <t>18.08.2029</t>
        </is>
      </c>
      <c r="G266" t="inlineStr">
        <is>
          <t>France</t>
        </is>
      </c>
      <c r="H266" t="inlineStr">
        <is>
          <t>Financial</t>
        </is>
      </c>
      <c r="I266" t="n">
        <v>100</v>
      </c>
      <c r="J266" t="n">
        <v>104.146</v>
      </c>
      <c r="K266" t="n">
        <v>4.553525</v>
      </c>
      <c r="L266" t="n">
        <v>-0.057225</v>
      </c>
      <c r="M266" t="n">
        <v>-0.346431</v>
      </c>
      <c r="N266" t="n">
        <v>97.78388362</v>
      </c>
      <c r="O266" t="n">
        <v>3.119170337</v>
      </c>
      <c r="P266" t="n">
        <v>85</v>
      </c>
      <c r="Q266" t="inlineStr">
        <is>
          <t>France's largest bank with a world leading position</t>
        </is>
      </c>
      <c r="R266" t="inlineStr">
        <is>
          <t>GBP</t>
        </is>
      </c>
      <c r="S266" t="inlineStr">
        <is>
          <t>Investment Grade</t>
        </is>
      </c>
      <c r="T266" t="inlineStr">
        <is>
          <t>A+</t>
        </is>
      </c>
      <c r="U266" t="inlineStr">
        <is>
          <t>A+</t>
        </is>
      </c>
    </row>
    <row r="267">
      <c r="A267" t="inlineStr">
        <is>
          <t xml:space="preserve"> USU5521TAH50</t>
        </is>
      </c>
      <c r="B267" t="inlineStr">
        <is>
          <t>Top Pick</t>
        </is>
      </c>
      <c r="C267" t="inlineStr">
        <is>
          <t>Msci Inc</t>
        </is>
      </c>
      <c r="D267" t="n">
        <v>3.875</v>
      </c>
      <c r="E267" t="inlineStr">
        <is>
          <t>Sr Unsecured</t>
        </is>
      </c>
      <c r="F267" t="inlineStr">
        <is>
          <t>15.02.2031</t>
        </is>
      </c>
      <c r="G267" t="inlineStr">
        <is>
          <t>United states</t>
        </is>
      </c>
      <c r="H267" t="inlineStr">
        <is>
          <t>Technology</t>
        </is>
      </c>
      <c r="I267" t="n">
        <v>2</v>
      </c>
      <c r="J267" t="n">
        <v>94.255</v>
      </c>
      <c r="K267" t="n">
        <v>5.06561</v>
      </c>
      <c r="L267" t="n">
        <v>-0.009846000000000001</v>
      </c>
      <c r="M267" t="n">
        <v>-0.172764</v>
      </c>
      <c r="N267" t="n">
        <v>97.77335428000001</v>
      </c>
      <c r="O267" t="n">
        <v>5.179824861</v>
      </c>
      <c r="P267" t="n">
        <v>60</v>
      </c>
      <c r="Q267" t="inlineStr">
        <is>
          <t>Global provider of financial indices, data and analytics</t>
        </is>
      </c>
      <c r="R267" t="inlineStr">
        <is>
          <t>USD</t>
        </is>
      </c>
      <c r="S267" t="inlineStr">
        <is>
          <t>Investment Grade</t>
        </is>
      </c>
      <c r="T267" t="inlineStr">
        <is>
          <t>BBB-</t>
        </is>
      </c>
      <c r="U267" t="inlineStr">
        <is>
          <t>BBB-</t>
        </is>
      </c>
    </row>
    <row r="268">
      <c r="A268" t="inlineStr">
        <is>
          <t>XS2562941927</t>
        </is>
      </c>
      <c r="B268" t="inlineStr">
        <is>
          <t xml:space="preserve">Hold </t>
        </is>
      </c>
      <c r="C268" t="inlineStr">
        <is>
          <t>Volkswagen Fin Serv Nv</t>
        </is>
      </c>
      <c r="D268" t="n">
        <v>5.5</v>
      </c>
      <c r="E268" t="inlineStr">
        <is>
          <t>Sr Unsecured</t>
        </is>
      </c>
      <c r="F268" t="inlineStr">
        <is>
          <t>07.12.2026</t>
        </is>
      </c>
      <c r="G268" t="inlineStr">
        <is>
          <t>Germany</t>
        </is>
      </c>
      <c r="H268" t="inlineStr">
        <is>
          <t>Consumer, Cyclical</t>
        </is>
      </c>
      <c r="I268" t="n">
        <v>100</v>
      </c>
      <c r="J268" t="n">
        <v>100.928</v>
      </c>
      <c r="K268" t="n">
        <v>4.726365</v>
      </c>
      <c r="L268" t="n">
        <v>-0.06938900000000001</v>
      </c>
      <c r="M268" t="n">
        <v>-0.246701</v>
      </c>
      <c r="N268" t="n">
        <v>97.21381744</v>
      </c>
      <c r="O268" t="n">
        <v>1.645274543</v>
      </c>
      <c r="P268" t="n">
        <v>75</v>
      </c>
      <c r="Q268" t="inlineStr">
        <is>
          <t>Financial arm of multinational auto manufacturing company</t>
        </is>
      </c>
      <c r="R268" t="inlineStr">
        <is>
          <t>GBP</t>
        </is>
      </c>
      <c r="S268" t="inlineStr">
        <is>
          <t>Investment Grade</t>
        </is>
      </c>
      <c r="T268" t="inlineStr">
        <is>
          <t>BBB+</t>
        </is>
      </c>
      <c r="U268" t="inlineStr">
        <is>
          <t>BBB+</t>
        </is>
      </c>
    </row>
    <row r="269">
      <c r="A269" t="inlineStr">
        <is>
          <t>US88167AAQ40</t>
        </is>
      </c>
      <c r="B269" t="inlineStr">
        <is>
          <t>Hold</t>
        </is>
      </c>
      <c r="C269" t="inlineStr">
        <is>
          <t>Teva Pharmaceuticals Ne</t>
        </is>
      </c>
      <c r="D269" t="n">
        <v>5.125</v>
      </c>
      <c r="E269" t="inlineStr">
        <is>
          <t>Sr Unsecured</t>
        </is>
      </c>
      <c r="F269" t="inlineStr">
        <is>
          <t>09.05.2029</t>
        </is>
      </c>
      <c r="G269" t="inlineStr">
        <is>
          <t>Israel</t>
        </is>
      </c>
      <c r="H269" t="inlineStr">
        <is>
          <t>Consumer, Non-cyclical</t>
        </is>
      </c>
      <c r="I269" t="n">
        <v>200</v>
      </c>
      <c r="J269" t="n">
        <v>100.775</v>
      </c>
      <c r="K269" t="n">
        <v>4.886684</v>
      </c>
      <c r="L269" t="n">
        <v>-0.130239</v>
      </c>
      <c r="M269" t="n">
        <v>-0.422718</v>
      </c>
      <c r="N269" t="n">
        <v>96.55033220999999</v>
      </c>
      <c r="O269" t="n">
        <v>3.685556574</v>
      </c>
      <c r="P269" t="n">
        <v>0</v>
      </c>
      <c r="Q269" t="inlineStr">
        <is>
          <t>Largest manufacturer of pharmaceutical generics</t>
        </is>
      </c>
      <c r="R269" t="inlineStr">
        <is>
          <t>USD</t>
        </is>
      </c>
      <c r="S269" t="inlineStr">
        <is>
          <t>High Yield</t>
        </is>
      </c>
      <c r="T269" t="inlineStr">
        <is>
          <t>BB</t>
        </is>
      </c>
      <c r="U269" t="inlineStr">
        <is>
          <t>BB</t>
        </is>
      </c>
    </row>
    <row r="270">
      <c r="A270" t="inlineStr">
        <is>
          <t>US05526DBZ78</t>
        </is>
      </c>
      <c r="B270" t="inlineStr">
        <is>
          <t xml:space="preserve">Hold </t>
        </is>
      </c>
      <c r="C270" t="inlineStr">
        <is>
          <t>Bat Capital Corp</t>
        </is>
      </c>
      <c r="D270" t="n">
        <v>6</v>
      </c>
      <c r="E270" t="inlineStr">
        <is>
          <t>Sr Unsecured</t>
        </is>
      </c>
      <c r="F270" t="inlineStr">
        <is>
          <t>20.02.2034</t>
        </is>
      </c>
      <c r="G270" t="inlineStr">
        <is>
          <t>United Kingdom</t>
        </is>
      </c>
      <c r="H270" t="inlineStr">
        <is>
          <t>Consumer, Non-cyclical</t>
        </is>
      </c>
      <c r="I270" t="n">
        <v>2</v>
      </c>
      <c r="J270" t="n">
        <v>105.195</v>
      </c>
      <c r="K270" t="n">
        <v>5.225446</v>
      </c>
      <c r="L270" t="n">
        <v>-0.026723</v>
      </c>
      <c r="M270" t="n">
        <v>-0.145196</v>
      </c>
      <c r="N270" t="n">
        <v>96.25979559</v>
      </c>
      <c r="O270" t="n">
        <v>6.775106969</v>
      </c>
      <c r="P270" t="n">
        <v>60</v>
      </c>
      <c r="Q270" t="inlineStr">
        <is>
          <t>Manufactures, markets and sells cigarettes and other tobacco products</t>
        </is>
      </c>
      <c r="R270" t="inlineStr">
        <is>
          <t>USD</t>
        </is>
      </c>
      <c r="S270" t="inlineStr">
        <is>
          <t>Investment Grade</t>
        </is>
      </c>
      <c r="T270" t="inlineStr">
        <is>
          <t>BBB+</t>
        </is>
      </c>
      <c r="U270" t="inlineStr">
        <is>
          <t>BBB+</t>
        </is>
      </c>
    </row>
    <row r="271">
      <c r="A271" t="inlineStr">
        <is>
          <t>US88167AAP66</t>
        </is>
      </c>
      <c r="B271" t="inlineStr">
        <is>
          <t>Hold</t>
        </is>
      </c>
      <c r="C271" t="inlineStr">
        <is>
          <t>Teva Pharmaceutical Indu</t>
        </is>
      </c>
      <c r="D271" t="n">
        <v>4.75</v>
      </c>
      <c r="E271" t="inlineStr">
        <is>
          <t>Sr Unsecured</t>
        </is>
      </c>
      <c r="F271" t="inlineStr">
        <is>
          <t>09.05.2027</t>
        </is>
      </c>
      <c r="G271" t="inlineStr">
        <is>
          <t>Israel</t>
        </is>
      </c>
      <c r="H271" t="inlineStr">
        <is>
          <t>Consumer, Non-cyclical</t>
        </is>
      </c>
      <c r="I271" t="n">
        <v>200</v>
      </c>
      <c r="J271" t="n">
        <v>99.70099999999999</v>
      </c>
      <c r="K271" t="n">
        <v>4.918643</v>
      </c>
      <c r="L271" t="n">
        <v>-0.031631</v>
      </c>
      <c r="M271" t="n">
        <v>-0.257593</v>
      </c>
      <c r="N271" t="n">
        <v>95.9260304</v>
      </c>
      <c r="O271" t="n">
        <v>2.046781065</v>
      </c>
      <c r="P271" t="n">
        <v>25</v>
      </c>
      <c r="Q271" t="inlineStr">
        <is>
          <t>Largest manufacturer of pharmaceutical generics</t>
        </is>
      </c>
      <c r="R271" t="inlineStr">
        <is>
          <t>USD</t>
        </is>
      </c>
      <c r="S271" t="inlineStr">
        <is>
          <t>High Yield</t>
        </is>
      </c>
      <c r="T271" t="inlineStr">
        <is>
          <t>BB</t>
        </is>
      </c>
      <c r="U271" t="inlineStr">
        <is>
          <t>BB</t>
        </is>
      </c>
    </row>
    <row r="272">
      <c r="A272" t="inlineStr">
        <is>
          <t>US05971BAG41</t>
        </is>
      </c>
      <c r="B272" t="inlineStr">
        <is>
          <t xml:space="preserve">Hold </t>
        </is>
      </c>
      <c r="C272" t="inlineStr">
        <is>
          <t>Banco Btg Pactual/Cayman</t>
        </is>
      </c>
      <c r="D272" t="n">
        <v>2.75</v>
      </c>
      <c r="E272" t="inlineStr">
        <is>
          <t>Sr Unsecured</t>
        </is>
      </c>
      <c r="F272" t="inlineStr">
        <is>
          <t>11.01.2026</t>
        </is>
      </c>
      <c r="G272" t="inlineStr">
        <is>
          <t>Brazil</t>
        </is>
      </c>
      <c r="H272" t="inlineStr">
        <is>
          <t>Financial</t>
        </is>
      </c>
      <c r="I272" t="n">
        <v>200</v>
      </c>
      <c r="J272" t="n">
        <v>98.76300000000001</v>
      </c>
      <c r="K272" t="n">
        <v>5.247232</v>
      </c>
      <c r="L272" t="n">
        <v>0.233151</v>
      </c>
      <c r="M272" t="n">
        <v>-0.038379</v>
      </c>
      <c r="N272" t="n">
        <v>95.70357721000001</v>
      </c>
      <c r="O272" t="n">
        <v>0.860822716</v>
      </c>
      <c r="P272" t="n">
        <v>25</v>
      </c>
      <c r="Q272" t="inlineStr">
        <is>
          <t>Provides banking and investment services in Brazil</t>
        </is>
      </c>
      <c r="R272" t="inlineStr">
        <is>
          <t>USD</t>
        </is>
      </c>
      <c r="S272" t="inlineStr">
        <is>
          <t>Latin America</t>
        </is>
      </c>
      <c r="T272" t="inlineStr">
        <is>
          <t>BB</t>
        </is>
      </c>
      <c r="U272" t="inlineStr">
        <is>
          <t>BB</t>
        </is>
      </c>
    </row>
    <row r="273">
      <c r="A273" t="inlineStr">
        <is>
          <t>FR001400F083</t>
        </is>
      </c>
      <c r="B273" t="inlineStr">
        <is>
          <t>Hold</t>
        </is>
      </c>
      <c r="C273" t="inlineStr">
        <is>
          <t>Bpce Sa</t>
        </is>
      </c>
      <c r="D273" t="n">
        <v>4.5</v>
      </c>
      <c r="E273" t="inlineStr">
        <is>
          <t>Sr Non Preferred</t>
        </is>
      </c>
      <c r="F273" t="inlineStr">
        <is>
          <t>13.01.2033</t>
        </is>
      </c>
      <c r="G273" t="inlineStr">
        <is>
          <t>France</t>
        </is>
      </c>
      <c r="H273" t="inlineStr">
        <is>
          <t>Financial</t>
        </is>
      </c>
      <c r="I273" t="n">
        <v>100</v>
      </c>
      <c r="J273" t="n">
        <v>106.088</v>
      </c>
      <c r="K273" t="n">
        <v>3.560037</v>
      </c>
      <c r="L273" t="n">
        <v>-0.059547</v>
      </c>
      <c r="M273" t="n">
        <v>-0.09535</v>
      </c>
      <c r="N273" t="n">
        <v>95.334941</v>
      </c>
      <c r="O273" t="n">
        <v>6.577802306</v>
      </c>
      <c r="P273" t="n">
        <v>60</v>
      </c>
      <c r="Q273" t="inlineStr">
        <is>
          <t>One of the largest French retail banks</t>
        </is>
      </c>
      <c r="R273" t="inlineStr">
        <is>
          <t>EUR</t>
        </is>
      </c>
      <c r="S273" t="inlineStr">
        <is>
          <t>Investment Grade</t>
        </is>
      </c>
      <c r="T273" t="inlineStr">
        <is>
          <t>BBB+</t>
        </is>
      </c>
      <c r="U273" t="inlineStr">
        <is>
          <t>BBB+</t>
        </is>
      </c>
    </row>
    <row r="274">
      <c r="A274" t="inlineStr">
        <is>
          <t>US45434M2H45</t>
        </is>
      </c>
      <c r="B274" t="inlineStr">
        <is>
          <t xml:space="preserve">Hold </t>
        </is>
      </c>
      <c r="C274" t="inlineStr">
        <is>
          <t>Indian Railway Finance</t>
        </is>
      </c>
      <c r="D274" t="n">
        <v>3.57</v>
      </c>
      <c r="E274" t="inlineStr">
        <is>
          <t>Sr Unsecured</t>
        </is>
      </c>
      <c r="F274" t="inlineStr">
        <is>
          <t>21.01.2032</t>
        </is>
      </c>
      <c r="G274" t="inlineStr">
        <is>
          <t>India</t>
        </is>
      </c>
      <c r="H274" t="inlineStr">
        <is>
          <t>Industrial</t>
        </is>
      </c>
      <c r="I274" t="n">
        <v>200</v>
      </c>
      <c r="J274" t="n">
        <v>91.901</v>
      </c>
      <c r="K274" t="n">
        <v>5.039607</v>
      </c>
      <c r="L274" t="n">
        <v>0.059366</v>
      </c>
      <c r="M274" t="n">
        <v>-0.125426</v>
      </c>
      <c r="N274" t="n">
        <v>95.25419311</v>
      </c>
      <c r="O274" t="n">
        <v>5.964680409</v>
      </c>
      <c r="P274" t="n">
        <v>85</v>
      </c>
      <c r="Q274" t="inlineStr">
        <is>
          <t xml:space="preserve">Provides rail transportation, catering and tourism services </t>
        </is>
      </c>
      <c r="R274" t="inlineStr">
        <is>
          <t>USD</t>
        </is>
      </c>
      <c r="S274" t="inlineStr">
        <is>
          <t>Investment Grade</t>
        </is>
      </c>
      <c r="T274" t="inlineStr">
        <is>
          <t>BBB-</t>
        </is>
      </c>
      <c r="U274" t="inlineStr">
        <is>
          <t>BBB-</t>
        </is>
      </c>
    </row>
    <row r="275">
      <c r="A275" t="inlineStr">
        <is>
          <t>XS1962515372</t>
        </is>
      </c>
      <c r="B275" t="inlineStr">
        <is>
          <t xml:space="preserve">Hold </t>
        </is>
      </c>
      <c r="C275" t="inlineStr">
        <is>
          <t>Anglo American Capital</t>
        </is>
      </c>
      <c r="D275" t="n">
        <v>3.375</v>
      </c>
      <c r="E275" t="inlineStr">
        <is>
          <t>Sr Unsecured</t>
        </is>
      </c>
      <c r="F275" t="inlineStr">
        <is>
          <t>11.03.2029</t>
        </is>
      </c>
      <c r="G275" t="inlineStr">
        <is>
          <t>South africa</t>
        </is>
      </c>
      <c r="H275" t="inlineStr">
        <is>
          <t>Basic Materials</t>
        </is>
      </c>
      <c r="I275" t="n">
        <v>100</v>
      </c>
      <c r="J275" t="n">
        <v>95.245</v>
      </c>
      <c r="K275" t="n">
        <v>4.757451</v>
      </c>
      <c r="L275" t="n">
        <v>-0.035626</v>
      </c>
      <c r="M275" t="n">
        <v>-0.271731</v>
      </c>
      <c r="N275" t="n">
        <v>95.02270368000001</v>
      </c>
      <c r="O275" t="n">
        <v>3.532667989</v>
      </c>
      <c r="P275" t="n">
        <v>60</v>
      </c>
      <c r="Q275" t="inlineStr">
        <is>
          <t xml:space="preserve">Global leading miner </t>
        </is>
      </c>
      <c r="R275" t="inlineStr">
        <is>
          <t>GBP</t>
        </is>
      </c>
      <c r="S275" t="inlineStr">
        <is>
          <t>Investment Grade</t>
        </is>
      </c>
      <c r="T275" t="inlineStr">
        <is>
          <t>BBB</t>
        </is>
      </c>
      <c r="U275" t="inlineStr">
        <is>
          <t>BBB</t>
        </is>
      </c>
    </row>
    <row r="276">
      <c r="A276" t="inlineStr">
        <is>
          <t>USF29416AC23</t>
        </is>
      </c>
      <c r="B276" t="inlineStr">
        <is>
          <t>Hold</t>
        </is>
      </c>
      <c r="C276" t="inlineStr">
        <is>
          <t>Electricite De France Sa</t>
        </is>
      </c>
      <c r="D276" t="n">
        <v>6.25</v>
      </c>
      <c r="E276" t="inlineStr">
        <is>
          <t>Sr Unsecured</t>
        </is>
      </c>
      <c r="F276" t="inlineStr">
        <is>
          <t>23.05.2033</t>
        </is>
      </c>
      <c r="G276" t="inlineStr">
        <is>
          <t>France</t>
        </is>
      </c>
      <c r="H276" t="inlineStr">
        <is>
          <t>Utilities</t>
        </is>
      </c>
      <c r="I276" t="n">
        <v>200</v>
      </c>
      <c r="J276" t="n">
        <v>106.905</v>
      </c>
      <c r="K276" t="n">
        <v>5.143778</v>
      </c>
      <c r="L276" t="n">
        <v>-0.022214</v>
      </c>
      <c r="M276" t="n">
        <v>-0.211465</v>
      </c>
      <c r="N276" t="n">
        <v>94.53727034000001</v>
      </c>
      <c r="O276" t="n">
        <v>6.19970573</v>
      </c>
      <c r="P276" t="n">
        <v>60</v>
      </c>
      <c r="Q276" t="inlineStr">
        <is>
          <t>French utility company fully owned by the State</t>
        </is>
      </c>
      <c r="R276" t="inlineStr">
        <is>
          <t>USD</t>
        </is>
      </c>
      <c r="S276" t="inlineStr">
        <is>
          <t>Investment Grade</t>
        </is>
      </c>
      <c r="T276" t="inlineStr">
        <is>
          <t>BBB</t>
        </is>
      </c>
      <c r="U276" t="inlineStr">
        <is>
          <t>BBB</t>
        </is>
      </c>
    </row>
    <row r="277">
      <c r="A277" t="inlineStr">
        <is>
          <t>US65339KCQ13</t>
        </is>
      </c>
      <c r="B277" t="inlineStr">
        <is>
          <t>Hold</t>
        </is>
      </c>
      <c r="C277" t="inlineStr">
        <is>
          <t>Nextera Energy Capital</t>
        </is>
      </c>
      <c r="D277" t="n">
        <v>5.25</v>
      </c>
      <c r="E277" t="inlineStr">
        <is>
          <t>Sr Unsecured</t>
        </is>
      </c>
      <c r="F277" t="inlineStr">
        <is>
          <t>28.02.2053</t>
        </is>
      </c>
      <c r="G277" t="inlineStr">
        <is>
          <t>United states</t>
        </is>
      </c>
      <c r="H277" t="inlineStr">
        <is>
          <t>Utilities</t>
        </is>
      </c>
      <c r="I277" t="n">
        <v>2</v>
      </c>
      <c r="J277" t="n">
        <v>92.413</v>
      </c>
      <c r="K277" t="n">
        <v>5.803827</v>
      </c>
      <c r="L277" t="n">
        <v>-0.061493</v>
      </c>
      <c r="M277" t="n">
        <v>-0.173882</v>
      </c>
      <c r="N277" t="n">
        <v>93.89897324</v>
      </c>
      <c r="O277" t="n">
        <v>13.61270404</v>
      </c>
      <c r="P277" t="n">
        <v>50</v>
      </c>
      <c r="Q277" t="inlineStr">
        <is>
          <t>Develops, constructs, operates and manages wind and solar energy plants</t>
        </is>
      </c>
      <c r="R277" t="inlineStr">
        <is>
          <t>USD</t>
        </is>
      </c>
      <c r="S277" t="inlineStr">
        <is>
          <t>Investment Grade</t>
        </is>
      </c>
      <c r="T277" t="inlineStr">
        <is>
          <t>BBB+</t>
        </is>
      </c>
      <c r="U277" t="inlineStr">
        <is>
          <t>BBB+</t>
        </is>
      </c>
    </row>
    <row r="278">
      <c r="A278" t="inlineStr">
        <is>
          <t>USU85861AA75</t>
        </is>
      </c>
      <c r="B278" t="inlineStr">
        <is>
          <t>Hold</t>
        </is>
      </c>
      <c r="C278" t="inlineStr">
        <is>
          <t>Stellantis Fin Us Inc</t>
        </is>
      </c>
      <c r="D278" t="n">
        <v>1.711</v>
      </c>
      <c r="E278" t="inlineStr">
        <is>
          <t>Sr Unsecured</t>
        </is>
      </c>
      <c r="F278" t="inlineStr">
        <is>
          <t>29.01.2027</t>
        </is>
      </c>
      <c r="G278" t="inlineStr">
        <is>
          <t>United states</t>
        </is>
      </c>
      <c r="H278" t="inlineStr">
        <is>
          <t>Consumer, Cyclical</t>
        </is>
      </c>
      <c r="I278" t="n">
        <v>200</v>
      </c>
      <c r="J278" t="n">
        <v>95.34</v>
      </c>
      <c r="K278" t="n">
        <v>4.851223</v>
      </c>
      <c r="L278" t="n">
        <v>0.028022</v>
      </c>
      <c r="M278" t="n">
        <v>-0.15771</v>
      </c>
      <c r="N278" t="n">
        <v>93.8164968</v>
      </c>
      <c r="O278" t="n">
        <v>1.864570363</v>
      </c>
      <c r="P278" t="n">
        <v>75</v>
      </c>
      <c r="Q278" t="inlineStr">
        <is>
          <t>Developer and Manufacturer of automotive products</t>
        </is>
      </c>
      <c r="R278" t="inlineStr">
        <is>
          <t>USD</t>
        </is>
      </c>
      <c r="S278" t="inlineStr">
        <is>
          <t>Investment Grade</t>
        </is>
      </c>
      <c r="T278" t="inlineStr">
        <is>
          <t>BBB</t>
        </is>
      </c>
      <c r="U278" t="inlineStr">
        <is>
          <t>BBB+</t>
        </is>
      </c>
    </row>
    <row r="279">
      <c r="A279" t="inlineStr">
        <is>
          <t>XS1975699569</t>
        </is>
      </c>
      <c r="B279" t="inlineStr">
        <is>
          <t xml:space="preserve">Hold </t>
        </is>
      </c>
      <c r="C279" t="inlineStr">
        <is>
          <t>Loxam Sas</t>
        </is>
      </c>
      <c r="D279" t="n">
        <v>2.875</v>
      </c>
      <c r="E279" t="inlineStr">
        <is>
          <t>1St Lien</t>
        </is>
      </c>
      <c r="F279" t="inlineStr">
        <is>
          <t>15.04.2026</t>
        </is>
      </c>
      <c r="G279" t="inlineStr">
        <is>
          <t>France</t>
        </is>
      </c>
      <c r="H279" t="inlineStr">
        <is>
          <t>Consumer, Non-cyclical</t>
        </is>
      </c>
      <c r="I279" t="n">
        <v>100</v>
      </c>
      <c r="J279" t="n">
        <v>99.97499999999999</v>
      </c>
      <c r="K279" t="n">
        <v>2.931458</v>
      </c>
      <c r="L279" t="n">
        <v>-0.030127</v>
      </c>
      <c r="M279" t="n">
        <v>-0.077774</v>
      </c>
      <c r="N279" t="n">
        <v>93.74641781</v>
      </c>
      <c r="O279" t="n">
        <v>0.022255376</v>
      </c>
      <c r="P279" t="n">
        <v>25</v>
      </c>
      <c r="Q279" t="inlineStr">
        <is>
          <t>EU Leader in rental equipment for the industrial &amp; construction sector</t>
        </is>
      </c>
      <c r="R279" t="inlineStr">
        <is>
          <t>EUR</t>
        </is>
      </c>
      <c r="S279" t="inlineStr">
        <is>
          <t>High Yield</t>
        </is>
      </c>
      <c r="T279" t="inlineStr">
        <is>
          <t>NR</t>
        </is>
      </c>
      <c r="U279" t="inlineStr">
        <is>
          <t>NR</t>
        </is>
      </c>
    </row>
    <row r="280">
      <c r="A280" t="inlineStr">
        <is>
          <t>US29250NBR52</t>
        </is>
      </c>
      <c r="B280" t="inlineStr">
        <is>
          <t>Top Pick</t>
        </is>
      </c>
      <c r="C280" t="inlineStr">
        <is>
          <t>Enbridge Inc</t>
        </is>
      </c>
      <c r="D280" t="n">
        <v>5.7</v>
      </c>
      <c r="E280" t="inlineStr">
        <is>
          <t>Sr Unsecured</t>
        </is>
      </c>
      <c r="F280" t="inlineStr">
        <is>
          <t>08.03.2033</t>
        </is>
      </c>
      <c r="G280" t="inlineStr">
        <is>
          <t>Canada</t>
        </is>
      </c>
      <c r="H280" t="inlineStr">
        <is>
          <t>Energy</t>
        </is>
      </c>
      <c r="I280" t="n">
        <v>2</v>
      </c>
      <c r="J280" t="n">
        <v>103.505</v>
      </c>
      <c r="K280" t="n">
        <v>5.125732</v>
      </c>
      <c r="L280" t="n">
        <v>-0.027434</v>
      </c>
      <c r="M280" t="n">
        <v>-0.184309</v>
      </c>
      <c r="N280" t="n">
        <v>93.70736239</v>
      </c>
      <c r="O280" t="n">
        <v>6.09065252</v>
      </c>
      <c r="P280" t="n">
        <v>60</v>
      </c>
      <c r="Q280" t="inlineStr">
        <is>
          <t>One of the largest owners of crude oil infrastructure in North America</t>
        </is>
      </c>
      <c r="R280" t="inlineStr">
        <is>
          <t>USD</t>
        </is>
      </c>
      <c r="S280" t="inlineStr">
        <is>
          <t>Investment Grade</t>
        </is>
      </c>
      <c r="T280" t="inlineStr">
        <is>
          <t>BBB+</t>
        </is>
      </c>
      <c r="U280" t="inlineStr">
        <is>
          <t>BBB+</t>
        </is>
      </c>
    </row>
    <row r="281">
      <c r="A281" t="inlineStr">
        <is>
          <t>US03512TAF84</t>
        </is>
      </c>
      <c r="B281" t="inlineStr">
        <is>
          <t>Top pick</t>
        </is>
      </c>
      <c r="C281" t="inlineStr">
        <is>
          <t>Anglogold Holdings Plc</t>
        </is>
      </c>
      <c r="D281" t="n">
        <v>3.375</v>
      </c>
      <c r="E281" t="inlineStr">
        <is>
          <t>Sr Unsecured</t>
        </is>
      </c>
      <c r="F281" t="inlineStr">
        <is>
          <t>01.11.2028</t>
        </is>
      </c>
      <c r="G281" t="inlineStr">
        <is>
          <t>Australia</t>
        </is>
      </c>
      <c r="H281" t="inlineStr">
        <is>
          <t>Basic Materials</t>
        </is>
      </c>
      <c r="I281" t="n">
        <v>200</v>
      </c>
      <c r="J281" t="n">
        <v>95.684</v>
      </c>
      <c r="K281" t="n">
        <v>4.79766</v>
      </c>
      <c r="L281" t="n">
        <v>-0.01297</v>
      </c>
      <c r="M281" t="n">
        <v>-0.200894</v>
      </c>
      <c r="N281" t="n">
        <v>93.5798568</v>
      </c>
      <c r="O281" t="n">
        <v>3.368120561</v>
      </c>
      <c r="P281" t="n">
        <v>10</v>
      </c>
      <c r="Q281" t="inlineStr">
        <is>
          <t>Provides gold mining and exploration services</t>
        </is>
      </c>
      <c r="R281" t="inlineStr">
        <is>
          <t>USD</t>
        </is>
      </c>
      <c r="S281" t="inlineStr">
        <is>
          <t>High Yield</t>
        </is>
      </c>
      <c r="T281" t="inlineStr">
        <is>
          <t>BB+</t>
        </is>
      </c>
      <c r="U281" t="inlineStr">
        <is>
          <t>BB+</t>
        </is>
      </c>
    </row>
    <row r="282">
      <c r="A282" t="inlineStr">
        <is>
          <t>US404119CQ00</t>
        </is>
      </c>
      <c r="B282" t="inlineStr">
        <is>
          <t>Top Pick</t>
        </is>
      </c>
      <c r="C282" t="inlineStr">
        <is>
          <t>Hca Inc</t>
        </is>
      </c>
      <c r="D282" t="n">
        <v>5.5</v>
      </c>
      <c r="E282" t="inlineStr">
        <is>
          <t>Sr Unsecured</t>
        </is>
      </c>
      <c r="F282" t="inlineStr">
        <is>
          <t>01.06.2033</t>
        </is>
      </c>
      <c r="G282" t="inlineStr">
        <is>
          <t>United states</t>
        </is>
      </c>
      <c r="H282" t="inlineStr">
        <is>
          <t>Consumer, Non-cyclical</t>
        </is>
      </c>
      <c r="I282" t="n">
        <v>2</v>
      </c>
      <c r="J282" t="n">
        <v>102.209</v>
      </c>
      <c r="K282" t="n">
        <v>5.146952</v>
      </c>
      <c r="L282" t="n">
        <v>-0.029103</v>
      </c>
      <c r="M282" t="n">
        <v>-0.170904</v>
      </c>
      <c r="N282" t="n">
        <v>93.40163862</v>
      </c>
      <c r="O282" t="n">
        <v>6.498631652</v>
      </c>
      <c r="P282" t="n">
        <v>60</v>
      </c>
      <c r="Q282" t="inlineStr">
        <is>
          <t>Provides health care services</t>
        </is>
      </c>
      <c r="R282" t="inlineStr">
        <is>
          <t>USD</t>
        </is>
      </c>
      <c r="S282" t="inlineStr">
        <is>
          <t>Investment Grade</t>
        </is>
      </c>
      <c r="T282" t="inlineStr">
        <is>
          <t>BBB-</t>
        </is>
      </c>
      <c r="U282" t="inlineStr">
        <is>
          <t>BBB-</t>
        </is>
      </c>
    </row>
    <row r="283">
      <c r="A283" t="inlineStr">
        <is>
          <t>XS2677631355</t>
        </is>
      </c>
      <c r="B283" t="inlineStr">
        <is>
          <t xml:space="preserve">Hold </t>
        </is>
      </c>
      <c r="C283" t="inlineStr">
        <is>
          <t>Dp World Crescent Ltd</t>
        </is>
      </c>
      <c r="D283" t="n">
        <v>5.5</v>
      </c>
      <c r="E283" t="inlineStr">
        <is>
          <t>Sr Unsecured</t>
        </is>
      </c>
      <c r="F283" t="inlineStr">
        <is>
          <t>13.09.2033</t>
        </is>
      </c>
      <c r="G283" t="inlineStr">
        <is>
          <t>U.A.E</t>
        </is>
      </c>
      <c r="H283" t="inlineStr">
        <is>
          <t>Consumer, Non-cyclical</t>
        </is>
      </c>
      <c r="I283" t="n">
        <v>200</v>
      </c>
      <c r="J283" t="n">
        <v>102.125</v>
      </c>
      <c r="K283" t="n">
        <v>5.169621</v>
      </c>
      <c r="L283" t="n">
        <v>-0.059417</v>
      </c>
      <c r="M283" t="n">
        <v>-0.220766</v>
      </c>
      <c r="N283" t="n">
        <v>93.2513096</v>
      </c>
      <c r="O283" t="n">
        <v>6.586621028</v>
      </c>
      <c r="P283" t="n">
        <v>60</v>
      </c>
      <c r="Q283" t="inlineStr">
        <is>
          <t>Dubai fully state-owned port operator</t>
        </is>
      </c>
      <c r="R283" t="inlineStr">
        <is>
          <t>USD</t>
        </is>
      </c>
      <c r="S283" t="inlineStr">
        <is>
          <t>Investment Grade</t>
        </is>
      </c>
      <c r="T283" t="inlineStr">
        <is>
          <t>BBB</t>
        </is>
      </c>
      <c r="U283" t="inlineStr">
        <is>
          <t>BBB</t>
        </is>
      </c>
    </row>
    <row r="284">
      <c r="A284" t="inlineStr">
        <is>
          <t>XS2677631355</t>
        </is>
      </c>
      <c r="B284" t="inlineStr">
        <is>
          <t xml:space="preserve">Hold </t>
        </is>
      </c>
      <c r="C284" t="inlineStr">
        <is>
          <t>Dp World Crescent Ltd</t>
        </is>
      </c>
      <c r="D284" t="n">
        <v>5.5</v>
      </c>
      <c r="E284" t="inlineStr">
        <is>
          <t>Sr Unsecured</t>
        </is>
      </c>
      <c r="F284" t="inlineStr">
        <is>
          <t>13.09.2033</t>
        </is>
      </c>
      <c r="G284" t="inlineStr">
        <is>
          <t>U.A.E</t>
        </is>
      </c>
      <c r="H284" t="inlineStr">
        <is>
          <t>Consumer, Non-cyclical</t>
        </is>
      </c>
      <c r="I284" t="n">
        <v>200</v>
      </c>
      <c r="J284" t="n">
        <v>102.125</v>
      </c>
      <c r="K284" t="n">
        <v>5.169621</v>
      </c>
      <c r="L284" t="n">
        <v>-0.059417</v>
      </c>
      <c r="M284" t="n">
        <v>-0.220766</v>
      </c>
      <c r="N284" t="n">
        <v>93.2513096</v>
      </c>
      <c r="O284" t="n">
        <v>6.586621028</v>
      </c>
      <c r="P284" t="n">
        <v>60</v>
      </c>
      <c r="Q284" t="inlineStr">
        <is>
          <t xml:space="preserve">Dubai state-owned port operator property </t>
        </is>
      </c>
      <c r="R284" t="inlineStr">
        <is>
          <t>USD</t>
        </is>
      </c>
      <c r="S284" t="inlineStr">
        <is>
          <t>Investment Grade</t>
        </is>
      </c>
      <c r="T284" t="inlineStr">
        <is>
          <t>BBB</t>
        </is>
      </c>
      <c r="U284" t="inlineStr">
        <is>
          <t>BBB</t>
        </is>
      </c>
    </row>
    <row r="285">
      <c r="A285" t="inlineStr">
        <is>
          <t>FR001400G6Y4</t>
        </is>
      </c>
      <c r="B285" t="inlineStr">
        <is>
          <t>Hold</t>
        </is>
      </c>
      <c r="C285" t="inlineStr">
        <is>
          <t>Bpce Sa</t>
        </is>
      </c>
      <c r="D285" t="n">
        <v>4.625</v>
      </c>
      <c r="E285" t="inlineStr">
        <is>
          <t>Sr Non Preferred</t>
        </is>
      </c>
      <c r="F285" t="inlineStr">
        <is>
          <t>02.03.2030</t>
        </is>
      </c>
      <c r="G285" t="inlineStr">
        <is>
          <t>France</t>
        </is>
      </c>
      <c r="H285" t="inlineStr">
        <is>
          <t>Financial</t>
        </is>
      </c>
      <c r="I285" t="n">
        <v>100</v>
      </c>
      <c r="J285" t="n">
        <v>105.917</v>
      </c>
      <c r="K285" t="n">
        <v>2.887753</v>
      </c>
      <c r="L285" t="n">
        <v>-0.071316</v>
      </c>
      <c r="M285" t="n">
        <v>-0.111815</v>
      </c>
      <c r="N285" t="n">
        <v>93.12453902</v>
      </c>
      <c r="O285" t="n">
        <v>3.497522089</v>
      </c>
      <c r="P285" t="n">
        <v>60</v>
      </c>
      <c r="Q285" t="inlineStr">
        <is>
          <t>One of the largest French retail banks</t>
        </is>
      </c>
      <c r="R285" t="inlineStr">
        <is>
          <t>EUR</t>
        </is>
      </c>
      <c r="S285" t="inlineStr">
        <is>
          <t>Investment Grade</t>
        </is>
      </c>
      <c r="T285" t="inlineStr">
        <is>
          <t>BBB+</t>
        </is>
      </c>
      <c r="U285" t="inlineStr">
        <is>
          <t>BBB+</t>
        </is>
      </c>
    </row>
    <row r="286">
      <c r="A286" t="inlineStr">
        <is>
          <t>XS2473721210</t>
        </is>
      </c>
      <c r="B286" t="inlineStr">
        <is>
          <t>Top Pick</t>
        </is>
      </c>
      <c r="C286" t="inlineStr">
        <is>
          <t>Goldman Sachs Group Inc</t>
        </is>
      </c>
      <c r="D286" t="n">
        <v>3.625</v>
      </c>
      <c r="E286" t="inlineStr">
        <is>
          <t>Sr Unsecured</t>
        </is>
      </c>
      <c r="F286" t="inlineStr">
        <is>
          <t>29.10.2029</t>
        </is>
      </c>
      <c r="G286" t="inlineStr">
        <is>
          <t>United states</t>
        </is>
      </c>
      <c r="H286" t="inlineStr">
        <is>
          <t>Financial</t>
        </is>
      </c>
      <c r="I286" t="n">
        <v>1</v>
      </c>
      <c r="J286" t="n">
        <v>97.164</v>
      </c>
      <c r="K286" t="n">
        <v>4.512357</v>
      </c>
      <c r="L286" t="n">
        <v>-0.03679</v>
      </c>
      <c r="M286" t="n">
        <v>-0.28756</v>
      </c>
      <c r="N286" t="n">
        <v>93.09242342</v>
      </c>
      <c r="O286" t="n">
        <v>3.3025531</v>
      </c>
      <c r="P286" t="n">
        <v>85</v>
      </c>
      <c r="Q286" t="inlineStr">
        <is>
          <t>One of the largest US investment banks</t>
        </is>
      </c>
      <c r="R286" t="inlineStr">
        <is>
          <t>GBP</t>
        </is>
      </c>
      <c r="S286" t="inlineStr">
        <is>
          <t>Investment Grade</t>
        </is>
      </c>
      <c r="T286" t="inlineStr">
        <is>
          <t>A-</t>
        </is>
      </c>
      <c r="U286" t="inlineStr">
        <is>
          <t>A-</t>
        </is>
      </c>
    </row>
    <row r="287">
      <c r="A287" t="inlineStr">
        <is>
          <t>AT0000A34CN3</t>
        </is>
      </c>
      <c r="B287" t="inlineStr">
        <is>
          <t>Hold</t>
        </is>
      </c>
      <c r="C287" t="inlineStr">
        <is>
          <t>Banca Comerciala Romana</t>
        </is>
      </c>
      <c r="D287" t="n">
        <v>7.625</v>
      </c>
      <c r="E287" t="inlineStr">
        <is>
          <t>Sr Non Preferred</t>
        </is>
      </c>
      <c r="F287" t="inlineStr">
        <is>
          <t>19.05.2027</t>
        </is>
      </c>
      <c r="G287" t="inlineStr">
        <is>
          <t>Romania</t>
        </is>
      </c>
      <c r="H287" t="inlineStr">
        <is>
          <t>Financial</t>
        </is>
      </c>
      <c r="I287" t="n">
        <v>100</v>
      </c>
      <c r="J287" t="n">
        <v>104.114</v>
      </c>
      <c r="K287" t="n">
        <v>2.703378</v>
      </c>
      <c r="L287" t="n">
        <v>-0.229468</v>
      </c>
      <c r="M287" t="n">
        <v>-0.530425</v>
      </c>
      <c r="N287" t="n">
        <v>92.30132733000001</v>
      </c>
      <c r="O287" t="n">
        <v>1.125914875</v>
      </c>
      <c r="P287" t="n">
        <v>60</v>
      </c>
      <c r="Q287" t="inlineStr">
        <is>
          <t>Largest bank in Romania</t>
        </is>
      </c>
      <c r="R287" t="inlineStr">
        <is>
          <t>EUR</t>
        </is>
      </c>
      <c r="S287" t="inlineStr">
        <is>
          <t>Investment Grade</t>
        </is>
      </c>
      <c r="T287" t="inlineStr">
        <is>
          <t>BBB</t>
        </is>
      </c>
      <c r="U287" t="inlineStr">
        <is>
          <t>BBB</t>
        </is>
      </c>
    </row>
    <row r="288">
      <c r="A288" t="inlineStr">
        <is>
          <t>CH1142754311</t>
        </is>
      </c>
      <c r="B288" t="inlineStr">
        <is>
          <t>Hold</t>
        </is>
      </c>
      <c r="C288" t="inlineStr">
        <is>
          <t>Ubs Group Ag</t>
        </is>
      </c>
      <c r="D288" t="n">
        <v>2.125</v>
      </c>
      <c r="E288" t="inlineStr">
        <is>
          <t>Sr Unsecured</t>
        </is>
      </c>
      <c r="F288" t="inlineStr">
        <is>
          <t>15.11.2029</t>
        </is>
      </c>
      <c r="G288" t="inlineStr">
        <is>
          <t>Switzerland</t>
        </is>
      </c>
      <c r="H288" t="inlineStr">
        <is>
          <t>Financial</t>
        </is>
      </c>
      <c r="I288" t="n">
        <v>100</v>
      </c>
      <c r="J288" t="n">
        <v>92.601</v>
      </c>
      <c r="K288" t="n">
        <v>4.500251</v>
      </c>
      <c r="L288" t="n">
        <v>-0.069616</v>
      </c>
      <c r="M288" t="n">
        <v>-0.329414</v>
      </c>
      <c r="N288" t="n">
        <v>91.88204256</v>
      </c>
      <c r="O288" t="n">
        <v>3.422089866</v>
      </c>
      <c r="P288" t="n">
        <v>60</v>
      </c>
      <c r="Q288" t="inlineStr">
        <is>
          <t>Largest bank in Switzerland</t>
        </is>
      </c>
      <c r="R288" t="inlineStr">
        <is>
          <t>GBP</t>
        </is>
      </c>
      <c r="S288" t="inlineStr">
        <is>
          <t>Investment Grade</t>
        </is>
      </c>
      <c r="T288" t="inlineStr">
        <is>
          <t>A-</t>
        </is>
      </c>
      <c r="U288" t="inlineStr">
        <is>
          <t>A-</t>
        </is>
      </c>
    </row>
    <row r="289">
      <c r="A289" t="inlineStr">
        <is>
          <t>XS2589367528</t>
        </is>
      </c>
      <c r="B289" t="inlineStr">
        <is>
          <t xml:space="preserve">Hold </t>
        </is>
      </c>
      <c r="C289" t="inlineStr">
        <is>
          <t>Bat Netherlands Finance</t>
        </is>
      </c>
      <c r="D289" t="n">
        <v>5.375</v>
      </c>
      <c r="E289" t="inlineStr">
        <is>
          <t>Sr Unsecured</t>
        </is>
      </c>
      <c r="F289" t="inlineStr">
        <is>
          <t>16.02.2031</t>
        </is>
      </c>
      <c r="G289" t="inlineStr">
        <is>
          <t>United Kingdom</t>
        </is>
      </c>
      <c r="H289" t="inlineStr">
        <is>
          <t>Consumer, Non-cyclical</t>
        </is>
      </c>
      <c r="I289" t="n">
        <v>100</v>
      </c>
      <c r="J289" t="n">
        <v>110.13</v>
      </c>
      <c r="K289" t="n">
        <v>3.279439</v>
      </c>
      <c r="L289" t="n">
        <v>-0.074585</v>
      </c>
      <c r="M289" t="n">
        <v>-0.10624</v>
      </c>
      <c r="N289" t="n">
        <v>91.71131269999999</v>
      </c>
      <c r="O289" t="n">
        <v>4.93039923</v>
      </c>
      <c r="P289" t="n">
        <v>60</v>
      </c>
      <c r="Q289" t="inlineStr">
        <is>
          <t>Tobacco company</t>
        </is>
      </c>
      <c r="R289" t="inlineStr">
        <is>
          <t>EUR</t>
        </is>
      </c>
      <c r="S289" t="inlineStr">
        <is>
          <t>Investment Grade</t>
        </is>
      </c>
      <c r="T289" t="inlineStr">
        <is>
          <t>BBB+</t>
        </is>
      </c>
      <c r="U289" t="inlineStr">
        <is>
          <t>BBB+</t>
        </is>
      </c>
    </row>
    <row r="290">
      <c r="A290" t="inlineStr">
        <is>
          <t>XS2026710553</t>
        </is>
      </c>
      <c r="B290" t="inlineStr">
        <is>
          <t xml:space="preserve">Hold </t>
        </is>
      </c>
      <c r="C290" t="inlineStr">
        <is>
          <t>Dp World Crescent Ltd</t>
        </is>
      </c>
      <c r="D290" t="n">
        <v>3.875</v>
      </c>
      <c r="E290" t="inlineStr">
        <is>
          <t>Sr Unsecured</t>
        </is>
      </c>
      <c r="F290" t="inlineStr">
        <is>
          <t>18.07.2029</t>
        </is>
      </c>
      <c r="G290" t="inlineStr">
        <is>
          <t>U.A.E</t>
        </is>
      </c>
      <c r="H290" t="inlineStr">
        <is>
          <t>Consumer, Non-cyclical</t>
        </is>
      </c>
      <c r="I290" t="n">
        <v>200</v>
      </c>
      <c r="J290" t="n">
        <v>96.64</v>
      </c>
      <c r="K290" t="n">
        <v>4.802716</v>
      </c>
      <c r="L290" t="n">
        <v>-0.014335</v>
      </c>
      <c r="M290" t="n">
        <v>-0.163361</v>
      </c>
      <c r="N290" t="n">
        <v>91.36227744999999</v>
      </c>
      <c r="O290" t="n">
        <v>3.959072433</v>
      </c>
      <c r="P290" t="n">
        <v>60</v>
      </c>
      <c r="Q290" t="inlineStr">
        <is>
          <t>Dubai fully state-owned port operator</t>
        </is>
      </c>
      <c r="R290" t="inlineStr">
        <is>
          <t>USD</t>
        </is>
      </c>
      <c r="S290" t="inlineStr">
        <is>
          <t>Investment Grade</t>
        </is>
      </c>
      <c r="T290" t="inlineStr">
        <is>
          <t>BBB</t>
        </is>
      </c>
      <c r="U290" t="inlineStr">
        <is>
          <t>BBB</t>
        </is>
      </c>
    </row>
    <row r="291">
      <c r="A291" t="inlineStr">
        <is>
          <t>XS1480022315</t>
        </is>
      </c>
      <c r="B291" t="inlineStr">
        <is>
          <t>Hold</t>
        </is>
      </c>
      <c r="C291" t="inlineStr">
        <is>
          <t>Intercontinental Hotels</t>
        </is>
      </c>
      <c r="D291" t="n">
        <v>2.125</v>
      </c>
      <c r="E291" t="inlineStr">
        <is>
          <t>Sr Unsecured</t>
        </is>
      </c>
      <c r="F291" t="inlineStr">
        <is>
          <t>24.08.2026</t>
        </is>
      </c>
      <c r="G291" t="inlineStr">
        <is>
          <t>United Kingdom</t>
        </is>
      </c>
      <c r="H291" t="inlineStr">
        <is>
          <t>Consumer, Cyclical</t>
        </is>
      </c>
      <c r="I291" t="n">
        <v>100</v>
      </c>
      <c r="J291" t="n">
        <v>97.17</v>
      </c>
      <c r="K291" t="n">
        <v>4.706049</v>
      </c>
      <c r="L291" t="n">
        <v>-0.028304</v>
      </c>
      <c r="M291" t="n">
        <v>-0.26806</v>
      </c>
      <c r="N291" t="n">
        <v>91.16539177</v>
      </c>
      <c r="O291" t="n">
        <v>1.405808569</v>
      </c>
      <c r="P291" t="n">
        <v>60</v>
      </c>
      <c r="Q291" t="inlineStr">
        <is>
          <t>Operates managed and franchised hotels</t>
        </is>
      </c>
      <c r="R291" t="inlineStr">
        <is>
          <t>GBP</t>
        </is>
      </c>
      <c r="S291" t="inlineStr">
        <is>
          <t>Investment Grade</t>
        </is>
      </c>
      <c r="T291" t="inlineStr">
        <is>
          <t>NR</t>
        </is>
      </c>
      <c r="U291" t="inlineStr">
        <is>
          <t>NR</t>
        </is>
      </c>
    </row>
    <row r="292">
      <c r="A292" t="inlineStr">
        <is>
          <t>XS2270576619</t>
        </is>
      </c>
      <c r="B292" t="inlineStr">
        <is>
          <t>Hold</t>
        </is>
      </c>
      <c r="C292" t="inlineStr">
        <is>
          <t>Kingdom Of Morocco</t>
        </is>
      </c>
      <c r="D292" t="n">
        <v>2.375</v>
      </c>
      <c r="E292" t="inlineStr">
        <is>
          <t>Sr Unsecured</t>
        </is>
      </c>
      <c r="F292" t="inlineStr">
        <is>
          <t>15.12.2027</t>
        </is>
      </c>
      <c r="G292" t="inlineStr">
        <is>
          <t>Morocco</t>
        </is>
      </c>
      <c r="H292" t="inlineStr">
        <is>
          <t>Government</t>
        </is>
      </c>
      <c r="I292" t="n">
        <v>200</v>
      </c>
      <c r="J292" t="n">
        <v>94.599</v>
      </c>
      <c r="K292" t="n">
        <v>4.750654</v>
      </c>
      <c r="L292" t="n">
        <v>-0.077001</v>
      </c>
      <c r="M292" t="n">
        <v>-0.281594</v>
      </c>
      <c r="N292" t="n">
        <v>91.04857603000001</v>
      </c>
      <c r="O292" t="n">
        <v>2.645648895</v>
      </c>
      <c r="P292" t="n">
        <v>25</v>
      </c>
      <c r="Q292" t="inlineStr">
        <is>
          <t>Kingdom Of Morocco</t>
        </is>
      </c>
      <c r="R292" t="inlineStr">
        <is>
          <t>USD</t>
        </is>
      </c>
      <c r="S292" t="inlineStr">
        <is>
          <t>High Yield</t>
        </is>
      </c>
      <c r="T292" t="inlineStr">
        <is>
          <t>BB+</t>
        </is>
      </c>
      <c r="U292" t="inlineStr">
        <is>
          <t>BB+</t>
        </is>
      </c>
    </row>
    <row r="293">
      <c r="A293" t="inlineStr">
        <is>
          <t>US29390XAA28</t>
        </is>
      </c>
      <c r="B293" t="inlineStr">
        <is>
          <t xml:space="preserve">Hold </t>
        </is>
      </c>
      <c r="C293" t="inlineStr">
        <is>
          <t>Equinix Eu 2 Financing C</t>
        </is>
      </c>
      <c r="D293" t="n">
        <v>5.5</v>
      </c>
      <c r="E293" t="inlineStr">
        <is>
          <t>Sr Unsecured</t>
        </is>
      </c>
      <c r="F293" t="inlineStr">
        <is>
          <t>15.06.2034</t>
        </is>
      </c>
      <c r="G293" t="inlineStr">
        <is>
          <t>United states</t>
        </is>
      </c>
      <c r="H293" t="inlineStr">
        <is>
          <t>Financial</t>
        </is>
      </c>
      <c r="I293" t="n">
        <v>2</v>
      </c>
      <c r="J293" t="n">
        <v>102.078</v>
      </c>
      <c r="K293" t="n">
        <v>5.199821</v>
      </c>
      <c r="L293" t="n">
        <v>-0.012521</v>
      </c>
      <c r="M293" t="n">
        <v>-0.070871</v>
      </c>
      <c r="N293" t="n">
        <v>90.92003213</v>
      </c>
      <c r="O293" t="n">
        <v>7.009717754</v>
      </c>
      <c r="P293" t="n">
        <v>60</v>
      </c>
      <c r="Q293" t="inlineStr">
        <is>
          <t>Owns and operates data centres</t>
        </is>
      </c>
      <c r="R293" t="inlineStr">
        <is>
          <t>USD</t>
        </is>
      </c>
      <c r="S293" t="inlineStr">
        <is>
          <t>Investment Grade</t>
        </is>
      </c>
      <c r="T293" t="inlineStr">
        <is>
          <t>BBB</t>
        </is>
      </c>
      <c r="U293" t="inlineStr">
        <is>
          <t>BBB</t>
        </is>
      </c>
    </row>
    <row r="294">
      <c r="A294" t="inlineStr">
        <is>
          <t>US45434M2C57</t>
        </is>
      </c>
      <c r="B294" t="inlineStr">
        <is>
          <t xml:space="preserve">Hold </t>
        </is>
      </c>
      <c r="C294" t="inlineStr">
        <is>
          <t>Indian Railway Finance</t>
        </is>
      </c>
      <c r="D294" t="n">
        <v>2.8</v>
      </c>
      <c r="E294" t="inlineStr">
        <is>
          <t>Sr Unsecured</t>
        </is>
      </c>
      <c r="F294" t="inlineStr">
        <is>
          <t>10.02.2031</t>
        </is>
      </c>
      <c r="G294" t="inlineStr">
        <is>
          <t>India</t>
        </is>
      </c>
      <c r="H294" t="inlineStr">
        <is>
          <t>Industrial</t>
        </is>
      </c>
      <c r="I294" t="n">
        <v>200</v>
      </c>
      <c r="J294" t="n">
        <v>89.776</v>
      </c>
      <c r="K294" t="n">
        <v>4.913635</v>
      </c>
      <c r="L294" t="n">
        <v>0.066983</v>
      </c>
      <c r="M294" t="n">
        <v>-0.101424</v>
      </c>
      <c r="N294" t="n">
        <v>90.86465738</v>
      </c>
      <c r="O294" t="n">
        <v>5.35295399</v>
      </c>
      <c r="P294" t="n">
        <v>85</v>
      </c>
      <c r="Q294" t="inlineStr">
        <is>
          <t>Provides rail transportation, catering and tourism services, majority state-owned</t>
        </is>
      </c>
      <c r="R294" t="inlineStr">
        <is>
          <t>USD</t>
        </is>
      </c>
      <c r="S294" t="inlineStr">
        <is>
          <t>Investment Grade</t>
        </is>
      </c>
      <c r="T294" t="inlineStr">
        <is>
          <t>BBB-</t>
        </is>
      </c>
      <c r="U294" t="inlineStr">
        <is>
          <t>BBB-</t>
        </is>
      </c>
    </row>
    <row r="295">
      <c r="A295" t="inlineStr">
        <is>
          <t>USP2253TJQ33</t>
        </is>
      </c>
      <c r="B295" t="inlineStr">
        <is>
          <t xml:space="preserve">Hold </t>
        </is>
      </c>
      <c r="C295" t="inlineStr">
        <is>
          <t>Cemex Sab De Cv</t>
        </is>
      </c>
      <c r="D295" t="n">
        <v>5.2</v>
      </c>
      <c r="E295" t="inlineStr">
        <is>
          <t>Sr Unsecured</t>
        </is>
      </c>
      <c r="F295" t="inlineStr">
        <is>
          <t>17.09.2030</t>
        </is>
      </c>
      <c r="G295" t="inlineStr">
        <is>
          <t>Mexico</t>
        </is>
      </c>
      <c r="H295" t="inlineStr">
        <is>
          <t>Industrial</t>
        </is>
      </c>
      <c r="I295" t="n">
        <v>200</v>
      </c>
      <c r="J295" t="n">
        <v>99.69799999999999</v>
      </c>
      <c r="K295" t="n">
        <v>5.265349</v>
      </c>
      <c r="L295" t="n">
        <v>-0.052975</v>
      </c>
      <c r="M295" t="n">
        <v>-0.149474</v>
      </c>
      <c r="N295" t="n">
        <v>90.86202846</v>
      </c>
      <c r="O295" t="n">
        <v>4.649284849</v>
      </c>
      <c r="P295" t="n">
        <v>15</v>
      </c>
      <c r="Q295" t="inlineStr">
        <is>
          <t>Global leading building material suppliers and cement producers</t>
        </is>
      </c>
      <c r="R295" t="inlineStr">
        <is>
          <t>USD</t>
        </is>
      </c>
      <c r="S295" t="inlineStr">
        <is>
          <t>Latin America</t>
        </is>
      </c>
      <c r="T295" t="inlineStr">
        <is>
          <t>BBB-</t>
        </is>
      </c>
      <c r="U295" t="inlineStr">
        <is>
          <t>BBB-</t>
        </is>
      </c>
    </row>
    <row r="296">
      <c r="A296" t="inlineStr">
        <is>
          <t>US23636BBC28</t>
        </is>
      </c>
      <c r="B296" t="inlineStr">
        <is>
          <t>Top Pick</t>
        </is>
      </c>
      <c r="C296" t="inlineStr">
        <is>
          <t>Danske Bank A/S</t>
        </is>
      </c>
      <c r="D296" t="n">
        <v>4.298</v>
      </c>
      <c r="E296" t="inlineStr">
        <is>
          <t>Sr Non Preferred</t>
        </is>
      </c>
      <c r="F296" t="inlineStr">
        <is>
          <t>01.04.2028</t>
        </is>
      </c>
      <c r="G296" t="inlineStr">
        <is>
          <t>Denmark</t>
        </is>
      </c>
      <c r="H296" t="inlineStr">
        <is>
          <t>Financial</t>
        </is>
      </c>
      <c r="I296" t="n">
        <v>200</v>
      </c>
      <c r="J296" t="n">
        <v>99.498</v>
      </c>
      <c r="K296" t="n">
        <v>4.599713</v>
      </c>
      <c r="L296" t="n">
        <v>0.042261</v>
      </c>
      <c r="M296" t="n">
        <v>-0.122952</v>
      </c>
      <c r="N296" t="n">
        <v>90.55389695</v>
      </c>
      <c r="O296" t="n">
        <v>1.960309687</v>
      </c>
      <c r="P296" t="n">
        <v>0</v>
      </c>
      <c r="Q296" t="inlineStr">
        <is>
          <t xml:space="preserve">German utility company </t>
        </is>
      </c>
      <c r="R296" t="inlineStr">
        <is>
          <t>USD</t>
        </is>
      </c>
      <c r="S296" t="inlineStr">
        <is>
          <t>Investment Grade</t>
        </is>
      </c>
      <c r="T296" t="inlineStr">
        <is>
          <t>A-</t>
        </is>
      </c>
      <c r="U296" t="inlineStr">
        <is>
          <t>A-</t>
        </is>
      </c>
    </row>
    <row r="297">
      <c r="A297" t="inlineStr">
        <is>
          <t>CH1121837244</t>
        </is>
      </c>
      <c r="B297" t="inlineStr">
        <is>
          <t>Top Pick</t>
        </is>
      </c>
      <c r="C297" t="inlineStr">
        <is>
          <t>Digital Constellation Bv</t>
        </is>
      </c>
      <c r="D297" t="n">
        <v>0.55</v>
      </c>
      <c r="E297" t="inlineStr">
        <is>
          <t>Sr Unsecured</t>
        </is>
      </c>
      <c r="F297" t="inlineStr">
        <is>
          <t>16.04.2029</t>
        </is>
      </c>
      <c r="G297" t="inlineStr">
        <is>
          <t>United states</t>
        </is>
      </c>
      <c r="H297" t="inlineStr">
        <is>
          <t>Financial</t>
        </is>
      </c>
      <c r="I297" t="n">
        <v>5</v>
      </c>
      <c r="J297" t="n">
        <v>98.477</v>
      </c>
      <c r="K297" t="n">
        <v>0.961452</v>
      </c>
      <c r="L297" t="n">
        <v>0.008802000000000001</v>
      </c>
      <c r="M297" t="n">
        <v>0.165809</v>
      </c>
      <c r="N297" t="n">
        <v>90.36542616</v>
      </c>
      <c r="O297" t="n">
        <v>4.04306356</v>
      </c>
      <c r="P297" t="n">
        <v>85</v>
      </c>
      <c r="Q297" t="inlineStr">
        <is>
          <t xml:space="preserve">Owns and opeates data centres </t>
        </is>
      </c>
      <c r="R297" t="inlineStr">
        <is>
          <t>CHF</t>
        </is>
      </c>
      <c r="S297" t="inlineStr">
        <is>
          <t>Investment Grade</t>
        </is>
      </c>
      <c r="T297" t="inlineStr">
        <is>
          <t>BBB</t>
        </is>
      </c>
      <c r="U297" t="inlineStr">
        <is>
          <t>BBB</t>
        </is>
      </c>
    </row>
    <row r="298">
      <c r="A298" t="inlineStr">
        <is>
          <t>XS2555187801</t>
        </is>
      </c>
      <c r="B298" t="inlineStr">
        <is>
          <t>Hold</t>
        </is>
      </c>
      <c r="C298" t="inlineStr">
        <is>
          <t>Caixabank Sa</t>
        </is>
      </c>
      <c r="D298" t="n">
        <v>5.375</v>
      </c>
      <c r="E298" t="inlineStr">
        <is>
          <t>Sr Non Preferred</t>
        </is>
      </c>
      <c r="F298" t="inlineStr">
        <is>
          <t>14.11.2030</t>
        </is>
      </c>
      <c r="G298" t="inlineStr">
        <is>
          <t>Spain</t>
        </is>
      </c>
      <c r="H298" t="inlineStr">
        <is>
          <t>Financial</t>
        </is>
      </c>
      <c r="I298" t="n">
        <v>100</v>
      </c>
      <c r="J298" t="n">
        <v>109.852</v>
      </c>
      <c r="K298" t="n">
        <v>2.92614</v>
      </c>
      <c r="L298" t="n">
        <v>-0.067235</v>
      </c>
      <c r="M298" t="n">
        <v>-0.128569</v>
      </c>
      <c r="N298" t="n">
        <v>90.11259448</v>
      </c>
      <c r="O298" t="n">
        <v>4.133639551</v>
      </c>
      <c r="P298" t="n">
        <v>60</v>
      </c>
      <c r="Q298" t="inlineStr">
        <is>
          <t>One of the largest Spanish banks</t>
        </is>
      </c>
      <c r="R298" t="inlineStr">
        <is>
          <t>EUR</t>
        </is>
      </c>
      <c r="S298" t="inlineStr">
        <is>
          <t>Investment Grade</t>
        </is>
      </c>
      <c r="T298" t="inlineStr">
        <is>
          <t>BBB+</t>
        </is>
      </c>
      <c r="U298" t="inlineStr">
        <is>
          <t>BBB+</t>
        </is>
      </c>
    </row>
    <row r="299">
      <c r="A299" t="inlineStr">
        <is>
          <t>US46647PDU75</t>
        </is>
      </c>
      <c r="B299" t="inlineStr">
        <is>
          <t>Top Pick</t>
        </is>
      </c>
      <c r="C299" t="inlineStr">
        <is>
          <t>Jpmorgan Chase &amp; Co</t>
        </is>
      </c>
      <c r="D299" t="n">
        <v>5.299</v>
      </c>
      <c r="E299" t="inlineStr">
        <is>
          <t>Sr Unsecured</t>
        </is>
      </c>
      <c r="F299" t="inlineStr">
        <is>
          <t>24.07.2029</t>
        </is>
      </c>
      <c r="G299" t="inlineStr">
        <is>
          <t>United states</t>
        </is>
      </c>
      <c r="H299" t="inlineStr">
        <is>
          <t>Financial</t>
        </is>
      </c>
      <c r="I299" t="n">
        <v>2</v>
      </c>
      <c r="J299" t="n">
        <v>102.411</v>
      </c>
      <c r="K299" t="n">
        <v>4.442713</v>
      </c>
      <c r="L299" t="n">
        <v>0.039194</v>
      </c>
      <c r="M299" t="n">
        <v>-0.162147</v>
      </c>
      <c r="N299" t="n">
        <v>89.93233137</v>
      </c>
      <c r="O299" t="n">
        <v>3.092345661</v>
      </c>
      <c r="P299" t="n">
        <v>80</v>
      </c>
      <c r="Q299" t="inlineStr">
        <is>
          <t xml:space="preserve">The largest US bank </t>
        </is>
      </c>
      <c r="R299" t="inlineStr">
        <is>
          <t>USD</t>
        </is>
      </c>
      <c r="S299" t="inlineStr">
        <is>
          <t>Investment Grade</t>
        </is>
      </c>
      <c r="T299" t="inlineStr">
        <is>
          <t>A+</t>
        </is>
      </c>
      <c r="U299" t="inlineStr">
        <is>
          <t>A+</t>
        </is>
      </c>
    </row>
    <row r="300">
      <c r="A300" t="inlineStr">
        <is>
          <t>XS2592658947</t>
        </is>
      </c>
      <c r="B300" t="inlineStr">
        <is>
          <t>Hold</t>
        </is>
      </c>
      <c r="C300" t="inlineStr">
        <is>
          <t>Intesa Sanpaolo Spa</t>
        </is>
      </c>
      <c r="D300" t="n">
        <v>5.625</v>
      </c>
      <c r="E300" t="inlineStr">
        <is>
          <t>Sr Non Preferred</t>
        </is>
      </c>
      <c r="F300" t="inlineStr">
        <is>
          <t>08.03.2033</t>
        </is>
      </c>
      <c r="G300" t="inlineStr">
        <is>
          <t>Italy</t>
        </is>
      </c>
      <c r="H300" t="inlineStr">
        <is>
          <t>Financial</t>
        </is>
      </c>
      <c r="I300" t="n">
        <v>150</v>
      </c>
      <c r="J300" t="n">
        <v>113.981</v>
      </c>
      <c r="K300" t="n">
        <v>3.509312</v>
      </c>
      <c r="L300" t="n">
        <v>-0.086038</v>
      </c>
      <c r="M300" t="n">
        <v>-0.140409</v>
      </c>
      <c r="N300" t="n">
        <v>89.90479391</v>
      </c>
      <c r="O300" t="n">
        <v>6.245335297</v>
      </c>
      <c r="P300" t="n">
        <v>80</v>
      </c>
      <c r="Q300" t="inlineStr">
        <is>
          <t>One of the largest Italian banks</t>
        </is>
      </c>
      <c r="R300" t="inlineStr">
        <is>
          <t>EUR</t>
        </is>
      </c>
      <c r="S300" t="inlineStr">
        <is>
          <t>Investment Grade</t>
        </is>
      </c>
      <c r="T300" t="inlineStr">
        <is>
          <t>BBB-</t>
        </is>
      </c>
      <c r="U300" t="inlineStr">
        <is>
          <t>BBB-</t>
        </is>
      </c>
    </row>
    <row r="301">
      <c r="A301" t="inlineStr">
        <is>
          <t>US58013MFW91</t>
        </is>
      </c>
      <c r="B301" t="inlineStr">
        <is>
          <t>Hold</t>
        </is>
      </c>
      <c r="C301" t="inlineStr">
        <is>
          <t>Mcdonald'S Corp</t>
        </is>
      </c>
      <c r="D301" t="n">
        <v>5.45</v>
      </c>
      <c r="E301" t="inlineStr">
        <is>
          <t>Sr Unsecured</t>
        </is>
      </c>
      <c r="F301" t="inlineStr">
        <is>
          <t>14.08.2053</t>
        </is>
      </c>
      <c r="G301" t="inlineStr">
        <is>
          <t>United states</t>
        </is>
      </c>
      <c r="H301" t="inlineStr">
        <is>
          <t>Consumer, Cyclical</t>
        </is>
      </c>
      <c r="I301" t="n">
        <v>1</v>
      </c>
      <c r="J301" t="n">
        <v>95.688</v>
      </c>
      <c r="K301" t="n">
        <v>5.76113</v>
      </c>
      <c r="L301" t="n">
        <v>-0.018761</v>
      </c>
      <c r="M301" t="n">
        <v>-0.029339</v>
      </c>
      <c r="N301" t="n">
        <v>89.72587269</v>
      </c>
      <c r="O301" t="n">
        <v>14.14395915</v>
      </c>
      <c r="P301" t="n">
        <v>85</v>
      </c>
      <c r="Q301" t="inlineStr">
        <is>
          <t>franchised fast food chain</t>
        </is>
      </c>
      <c r="R301" t="inlineStr">
        <is>
          <t>USD</t>
        </is>
      </c>
      <c r="S301" t="inlineStr">
        <is>
          <t>Investment Grade</t>
        </is>
      </c>
      <c r="T301" t="inlineStr">
        <is>
          <t>BBB+</t>
        </is>
      </c>
      <c r="U301" t="inlineStr">
        <is>
          <t>BBB+</t>
        </is>
      </c>
    </row>
    <row r="302">
      <c r="A302" t="inlineStr">
        <is>
          <t>FR001400H0F5</t>
        </is>
      </c>
      <c r="B302" t="inlineStr">
        <is>
          <t>Hold</t>
        </is>
      </c>
      <c r="C302" t="inlineStr">
        <is>
          <t>Nexans Sa</t>
        </is>
      </c>
      <c r="D302" t="n">
        <v>5.5</v>
      </c>
      <c r="E302" t="inlineStr">
        <is>
          <t>Sr Unsecured</t>
        </is>
      </c>
      <c r="F302" t="inlineStr">
        <is>
          <t>05.04.2028</t>
        </is>
      </c>
      <c r="G302" t="inlineStr">
        <is>
          <t>France</t>
        </is>
      </c>
      <c r="H302" t="inlineStr">
        <is>
          <t>Industrial</t>
        </is>
      </c>
      <c r="I302" t="n">
        <v>100</v>
      </c>
      <c r="J302" t="n">
        <v>106.317</v>
      </c>
      <c r="K302" t="n">
        <v>2.837142</v>
      </c>
      <c r="L302" t="n">
        <v>-0.09732300000000001</v>
      </c>
      <c r="M302" t="n">
        <v>-0.046903</v>
      </c>
      <c r="N302" t="n">
        <v>89.15177937999999</v>
      </c>
      <c r="O302" t="n">
        <v>2.526671025</v>
      </c>
      <c r="P302" t="n">
        <v>15</v>
      </c>
      <c r="Q302" t="inlineStr">
        <is>
          <t>Manufactures cables</t>
        </is>
      </c>
      <c r="R302" t="inlineStr">
        <is>
          <t>EUR</t>
        </is>
      </c>
      <c r="S302" t="inlineStr">
        <is>
          <t>High Yield</t>
        </is>
      </c>
      <c r="T302" t="inlineStr">
        <is>
          <t>NR</t>
        </is>
      </c>
      <c r="U302" t="inlineStr">
        <is>
          <t>NR</t>
        </is>
      </c>
    </row>
    <row r="303">
      <c r="A303" t="inlineStr">
        <is>
          <t>XS2783118131</t>
        </is>
      </c>
      <c r="B303" t="inlineStr">
        <is>
          <t>Top Pick</t>
        </is>
      </c>
      <c r="C303" t="inlineStr">
        <is>
          <t>Easyjet Plc</t>
        </is>
      </c>
      <c r="D303" t="n">
        <v>3.75</v>
      </c>
      <c r="E303" t="inlineStr">
        <is>
          <t>Sr Unsecured</t>
        </is>
      </c>
      <c r="F303" t="inlineStr">
        <is>
          <t>20.03.2031</t>
        </is>
      </c>
      <c r="G303" t="inlineStr">
        <is>
          <t>United Kingdom</t>
        </is>
      </c>
      <c r="H303" t="inlineStr">
        <is>
          <t>Consumer, Cyclical</t>
        </is>
      </c>
      <c r="I303" t="n">
        <v>100</v>
      </c>
      <c r="J303" t="n">
        <v>102.232</v>
      </c>
      <c r="K303" t="n">
        <v>3.295058</v>
      </c>
      <c r="L303" t="n">
        <v>-0.105107</v>
      </c>
      <c r="M303" t="n">
        <v>-0.044127</v>
      </c>
      <c r="N303" t="n">
        <v>88.72856217</v>
      </c>
      <c r="O303" t="n">
        <v>4.991071421</v>
      </c>
      <c r="P303" t="n">
        <v>60</v>
      </c>
      <c r="Q303" t="inlineStr">
        <is>
          <t xml:space="preserve">Europe's second largest low cost airline </t>
        </is>
      </c>
      <c r="R303" t="inlineStr">
        <is>
          <t>EUR</t>
        </is>
      </c>
      <c r="S303" t="inlineStr">
        <is>
          <t>Investment Grade</t>
        </is>
      </c>
      <c r="T303" t="inlineStr">
        <is>
          <t>BBB</t>
        </is>
      </c>
      <c r="U303" t="inlineStr">
        <is>
          <t>BBB</t>
        </is>
      </c>
    </row>
    <row r="304">
      <c r="A304" t="inlineStr">
        <is>
          <t xml:space="preserve"> US46647PAV85</t>
        </is>
      </c>
      <c r="B304" t="inlineStr">
        <is>
          <t>Top Pick</t>
        </is>
      </c>
      <c r="C304" t="inlineStr">
        <is>
          <t>Jpmorgan Chase &amp; Co</t>
        </is>
      </c>
      <c r="D304" t="n">
        <v>4.203</v>
      </c>
      <c r="E304" t="inlineStr">
        <is>
          <t>Sr Unsecured</t>
        </is>
      </c>
      <c r="F304" t="inlineStr">
        <is>
          <t>23.07.2029</t>
        </is>
      </c>
      <c r="G304" t="inlineStr">
        <is>
          <t>United states</t>
        </is>
      </c>
      <c r="H304" t="inlineStr">
        <is>
          <t>Financial</t>
        </is>
      </c>
      <c r="I304" t="n">
        <v>2</v>
      </c>
      <c r="J304" t="n">
        <v>99.364</v>
      </c>
      <c r="K304" t="n">
        <v>4.427992</v>
      </c>
      <c r="L304" t="n">
        <v>0.023594</v>
      </c>
      <c r="M304" t="n">
        <v>-0.172065</v>
      </c>
      <c r="N304" t="n">
        <v>88.65898314</v>
      </c>
      <c r="O304" t="n">
        <v>3.13503175</v>
      </c>
      <c r="P304" t="n">
        <v>80</v>
      </c>
      <c r="Q304" t="inlineStr">
        <is>
          <t xml:space="preserve">The largest US bank </t>
        </is>
      </c>
      <c r="R304" t="inlineStr">
        <is>
          <t>USD</t>
        </is>
      </c>
      <c r="S304" t="inlineStr">
        <is>
          <t>Investment Grade</t>
        </is>
      </c>
      <c r="T304" t="inlineStr">
        <is>
          <t>A+</t>
        </is>
      </c>
      <c r="U304" t="inlineStr">
        <is>
          <t>A+</t>
        </is>
      </c>
    </row>
    <row r="305">
      <c r="A305" t="inlineStr">
        <is>
          <t>XS2382953789</t>
        </is>
      </c>
      <c r="B305" t="inlineStr">
        <is>
          <t>Top Pick</t>
        </is>
      </c>
      <c r="C305" t="inlineStr">
        <is>
          <t>Czech Gas Networks Inv</t>
        </is>
      </c>
      <c r="D305" t="n">
        <v>0.45</v>
      </c>
      <c r="E305" t="inlineStr">
        <is>
          <t>Sr Unsecured</t>
        </is>
      </c>
      <c r="F305" t="inlineStr">
        <is>
          <t>08.09.2029</t>
        </is>
      </c>
      <c r="G305" t="inlineStr">
        <is>
          <t>Czech Republic</t>
        </is>
      </c>
      <c r="H305" t="inlineStr">
        <is>
          <t>Utilities</t>
        </is>
      </c>
      <c r="I305" t="n">
        <v>100</v>
      </c>
      <c r="J305" t="n">
        <v>89.89100000000001</v>
      </c>
      <c r="K305" t="n">
        <v>3.071207</v>
      </c>
      <c r="L305" t="n">
        <v>-0.057386</v>
      </c>
      <c r="M305" t="n">
        <v>-0.100789</v>
      </c>
      <c r="N305" t="n">
        <v>88.60154781</v>
      </c>
      <c r="O305" t="n">
        <v>4.353525784</v>
      </c>
      <c r="P305" t="n">
        <v>60</v>
      </c>
      <c r="Q305" t="inlineStr">
        <is>
          <t>Owns and operates natural gas distribution networks in Czech Republic</t>
        </is>
      </c>
      <c r="R305" t="inlineStr">
        <is>
          <t>EUR</t>
        </is>
      </c>
      <c r="S305" t="inlineStr">
        <is>
          <t>Investment Grade</t>
        </is>
      </c>
      <c r="T305" t="inlineStr">
        <is>
          <t>BBB+</t>
        </is>
      </c>
      <c r="U305" t="inlineStr">
        <is>
          <t>BBB+</t>
        </is>
      </c>
    </row>
    <row r="306">
      <c r="A306" t="inlineStr">
        <is>
          <t>CH1335850322</t>
        </is>
      </c>
      <c r="B306" t="inlineStr">
        <is>
          <t>Top Pick</t>
        </is>
      </c>
      <c r="C306" t="inlineStr">
        <is>
          <t>Equinix Europe Financing</t>
        </is>
      </c>
      <c r="D306" t="n">
        <v>1.5575</v>
      </c>
      <c r="E306" t="inlineStr">
        <is>
          <t>Sr Unsecured</t>
        </is>
      </c>
      <c r="F306" t="inlineStr">
        <is>
          <t>04.09.2029</t>
        </is>
      </c>
      <c r="G306" t="inlineStr">
        <is>
          <t>United states</t>
        </is>
      </c>
      <c r="H306" t="inlineStr">
        <is>
          <t>Financial</t>
        </is>
      </c>
      <c r="I306" t="n">
        <v>5</v>
      </c>
      <c r="J306" t="n">
        <v>102.244</v>
      </c>
      <c r="K306" t="n">
        <v>0.968905</v>
      </c>
      <c r="L306" t="n">
        <v>0.043144</v>
      </c>
      <c r="M306" t="n">
        <v>0.194412</v>
      </c>
      <c r="N306" t="n">
        <v>88.35784108</v>
      </c>
      <c r="O306" t="n">
        <v>4.096987304</v>
      </c>
      <c r="P306" t="n">
        <v>0</v>
      </c>
      <c r="Q306" t="inlineStr">
        <is>
          <t xml:space="preserve">Owns and opeates data centres </t>
        </is>
      </c>
      <c r="R306" t="inlineStr">
        <is>
          <t>CHF</t>
        </is>
      </c>
      <c r="S306" t="inlineStr">
        <is>
          <t>Investment Grade</t>
        </is>
      </c>
      <c r="T306" t="inlineStr">
        <is>
          <t>BBB</t>
        </is>
      </c>
      <c r="U306" t="inlineStr">
        <is>
          <t>BBB</t>
        </is>
      </c>
    </row>
    <row r="307">
      <c r="A307" t="inlineStr">
        <is>
          <t>XS1932866079</t>
        </is>
      </c>
      <c r="B307" t="inlineStr">
        <is>
          <t>Hold</t>
        </is>
      </c>
      <c r="C307" t="inlineStr">
        <is>
          <t>Oil India Ltd</t>
        </is>
      </c>
      <c r="D307" t="n">
        <v>5.125</v>
      </c>
      <c r="E307" t="inlineStr">
        <is>
          <t>Sr Unsecured</t>
        </is>
      </c>
      <c r="F307" t="inlineStr">
        <is>
          <t>04.02.2029</t>
        </is>
      </c>
      <c r="G307" t="inlineStr">
        <is>
          <t>India</t>
        </is>
      </c>
      <c r="H307" t="inlineStr">
        <is>
          <t>Energy</t>
        </is>
      </c>
      <c r="I307" t="n">
        <v>200</v>
      </c>
      <c r="J307" t="n">
        <v>101.187</v>
      </c>
      <c r="K307" t="n">
        <v>4.758219</v>
      </c>
      <c r="L307" t="n">
        <v>0.111658</v>
      </c>
      <c r="M307" t="n">
        <v>-0.06916</v>
      </c>
      <c r="N307" t="n">
        <v>88.28752708</v>
      </c>
      <c r="O307" t="n">
        <v>3.521456593</v>
      </c>
      <c r="P307" t="n">
        <v>85</v>
      </c>
      <c r="Q307" t="inlineStr">
        <is>
          <t xml:space="preserve">Majority state-owned oil and gas company </t>
        </is>
      </c>
      <c r="R307" t="inlineStr">
        <is>
          <t>USD</t>
        </is>
      </c>
      <c r="S307" t="inlineStr">
        <is>
          <t>Investment Grade</t>
        </is>
      </c>
      <c r="T307" t="inlineStr">
        <is>
          <t>BBB-</t>
        </is>
      </c>
      <c r="U307" t="inlineStr">
        <is>
          <t>BBB-</t>
        </is>
      </c>
    </row>
    <row r="308">
      <c r="A308" t="inlineStr">
        <is>
          <t>US459200KZ37</t>
        </is>
      </c>
      <c r="B308" t="inlineStr">
        <is>
          <t>Hold</t>
        </is>
      </c>
      <c r="C308" t="inlineStr">
        <is>
          <t>Ibm Corp</t>
        </is>
      </c>
      <c r="D308" t="n">
        <v>5.1</v>
      </c>
      <c r="E308" t="inlineStr">
        <is>
          <t>Sr Unsecured</t>
        </is>
      </c>
      <c r="F308" t="inlineStr">
        <is>
          <t>06.02.2053</t>
        </is>
      </c>
      <c r="G308" t="inlineStr">
        <is>
          <t>United states</t>
        </is>
      </c>
      <c r="H308" t="inlineStr">
        <is>
          <t>Technology</t>
        </is>
      </c>
      <c r="I308" t="n">
        <v>100</v>
      </c>
      <c r="J308" t="n">
        <v>91.06999999999999</v>
      </c>
      <c r="K308" t="n">
        <v>5.749056</v>
      </c>
      <c r="L308" t="n">
        <v>-0.058423</v>
      </c>
      <c r="M308" t="n">
        <v>-0.102246</v>
      </c>
      <c r="N308" t="n">
        <v>88.07808554</v>
      </c>
      <c r="O308" t="n">
        <v>14.1556967</v>
      </c>
      <c r="P308" t="n">
        <v>80</v>
      </c>
      <c r="Q308" t="inlineStr">
        <is>
          <t>International Business Machines Corporation (IBM) provides computer solutions</t>
        </is>
      </c>
      <c r="R308" t="inlineStr">
        <is>
          <t>USD</t>
        </is>
      </c>
      <c r="S308" t="inlineStr">
        <is>
          <t>Investment Grade</t>
        </is>
      </c>
      <c r="T308" t="inlineStr">
        <is>
          <t>A-</t>
        </is>
      </c>
      <c r="U308" t="inlineStr">
        <is>
          <t>A-</t>
        </is>
      </c>
    </row>
    <row r="309">
      <c r="A309" t="inlineStr">
        <is>
          <t>US459200KZ37</t>
        </is>
      </c>
      <c r="B309" t="inlineStr">
        <is>
          <t>Top Pick</t>
        </is>
      </c>
      <c r="C309" t="inlineStr">
        <is>
          <t>Ibm Corp</t>
        </is>
      </c>
      <c r="D309" t="n">
        <v>5.1</v>
      </c>
      <c r="E309" t="inlineStr">
        <is>
          <t>Sr Unsecured</t>
        </is>
      </c>
      <c r="F309" t="inlineStr">
        <is>
          <t>06.02.2053</t>
        </is>
      </c>
      <c r="G309" t="inlineStr">
        <is>
          <t>United states</t>
        </is>
      </c>
      <c r="H309" t="inlineStr">
        <is>
          <t>Technology</t>
        </is>
      </c>
      <c r="I309" t="n">
        <v>100</v>
      </c>
      <c r="J309" t="n">
        <v>91.06999999999999</v>
      </c>
      <c r="K309" t="n">
        <v>5.749056</v>
      </c>
      <c r="L309" t="n">
        <v>-0.058423</v>
      </c>
      <c r="M309" t="n">
        <v>-0.102246</v>
      </c>
      <c r="N309" t="n">
        <v>88.07808554</v>
      </c>
      <c r="O309" t="n">
        <v>14.1556967</v>
      </c>
      <c r="P309" t="n">
        <v>0</v>
      </c>
      <c r="Q309" t="inlineStr">
        <is>
          <t>Computer solutions provider</t>
        </is>
      </c>
      <c r="R309" t="inlineStr">
        <is>
          <t>USD</t>
        </is>
      </c>
      <c r="S309" t="inlineStr">
        <is>
          <t>Investment Grade</t>
        </is>
      </c>
      <c r="T309" t="inlineStr">
        <is>
          <t>A-</t>
        </is>
      </c>
      <c r="U309" t="inlineStr">
        <is>
          <t>A-</t>
        </is>
      </c>
    </row>
    <row r="310">
      <c r="A310" t="inlineStr">
        <is>
          <t>US45434M2A91</t>
        </is>
      </c>
      <c r="B310" t="inlineStr">
        <is>
          <t xml:space="preserve">Hold </t>
        </is>
      </c>
      <c r="C310" t="inlineStr">
        <is>
          <t>Indian Railway Finance</t>
        </is>
      </c>
      <c r="D310" t="n">
        <v>3.249</v>
      </c>
      <c r="E310" t="inlineStr">
        <is>
          <t>Sr Unsecured</t>
        </is>
      </c>
      <c r="F310" t="inlineStr">
        <is>
          <t>13.02.2030</t>
        </is>
      </c>
      <c r="G310" t="inlineStr">
        <is>
          <t>India</t>
        </is>
      </c>
      <c r="H310" t="inlineStr">
        <is>
          <t>Industrial</t>
        </is>
      </c>
      <c r="I310" t="n">
        <v>200</v>
      </c>
      <c r="J310" t="n">
        <v>93.67400000000001</v>
      </c>
      <c r="K310" t="n">
        <v>4.798018</v>
      </c>
      <c r="L310" t="n">
        <v>0.065621</v>
      </c>
      <c r="M310" t="n">
        <v>-0.16059</v>
      </c>
      <c r="N310" t="n">
        <v>88.00553523000001</v>
      </c>
      <c r="O310" t="n">
        <v>4.497135173</v>
      </c>
      <c r="P310" t="n">
        <v>85</v>
      </c>
      <c r="Q310" t="inlineStr">
        <is>
          <t>largest utility company in Mumbai</t>
        </is>
      </c>
      <c r="R310" t="inlineStr">
        <is>
          <t>USD</t>
        </is>
      </c>
      <c r="S310" t="inlineStr">
        <is>
          <t>Investment Grade</t>
        </is>
      </c>
      <c r="T310" t="inlineStr">
        <is>
          <t>BBB-</t>
        </is>
      </c>
      <c r="U310" t="inlineStr">
        <is>
          <t>BBB-</t>
        </is>
      </c>
    </row>
    <row r="311">
      <c r="A311" t="inlineStr">
        <is>
          <t>FR001400M6M1</t>
        </is>
      </c>
      <c r="B311" t="inlineStr">
        <is>
          <t xml:space="preserve">Not accumulate </t>
        </is>
      </c>
      <c r="C311" t="inlineStr">
        <is>
          <t>Kering</t>
        </is>
      </c>
      <c r="D311" t="n">
        <v>5.125</v>
      </c>
      <c r="E311" t="inlineStr">
        <is>
          <t>Sr Unsecured</t>
        </is>
      </c>
      <c r="F311" t="inlineStr">
        <is>
          <t>23.11.2026</t>
        </is>
      </c>
      <c r="G311" t="inlineStr">
        <is>
          <t>France</t>
        </is>
      </c>
      <c r="H311" t="inlineStr">
        <is>
          <t>Consumer, Cyclical</t>
        </is>
      </c>
      <c r="I311" t="n">
        <v>100</v>
      </c>
      <c r="J311" t="n">
        <v>100.477</v>
      </c>
      <c r="K311" t="n">
        <v>4.665349</v>
      </c>
      <c r="L311" t="n">
        <v>-0.059555</v>
      </c>
      <c r="M311" t="n">
        <v>-0.135389</v>
      </c>
      <c r="N311" t="n">
        <v>87.92689727</v>
      </c>
      <c r="O311" t="n">
        <v>1.544745506</v>
      </c>
      <c r="P311" t="n">
        <v>75</v>
      </c>
      <c r="Q311" t="inlineStr">
        <is>
          <t>Designs, manufactures, and markets fashion and leather goods</t>
        </is>
      </c>
      <c r="R311" t="inlineStr">
        <is>
          <t>GBP</t>
        </is>
      </c>
      <c r="S311" t="inlineStr">
        <is>
          <t>Investment Grade</t>
        </is>
      </c>
      <c r="T311" t="inlineStr">
        <is>
          <t>NR</t>
        </is>
      </c>
      <c r="U311" t="inlineStr">
        <is>
          <t>NR</t>
        </is>
      </c>
    </row>
    <row r="312">
      <c r="A312" t="inlineStr">
        <is>
          <t>USU37818BC10</t>
        </is>
      </c>
      <c r="B312" t="inlineStr">
        <is>
          <t>Hold</t>
        </is>
      </c>
      <c r="C312" t="inlineStr">
        <is>
          <t>Glencore Funding Llc</t>
        </is>
      </c>
      <c r="D312" t="n">
        <v>2.625</v>
      </c>
      <c r="E312" t="inlineStr">
        <is>
          <t>Sr Unsecured</t>
        </is>
      </c>
      <c r="F312" t="inlineStr">
        <is>
          <t>23.09.2031</t>
        </is>
      </c>
      <c r="G312" t="inlineStr">
        <is>
          <t>Australia</t>
        </is>
      </c>
      <c r="H312" t="inlineStr">
        <is>
          <t>Basic Materials</t>
        </is>
      </c>
      <c r="I312" t="n">
        <v>2</v>
      </c>
      <c r="J312" t="n">
        <v>87.736</v>
      </c>
      <c r="K312" t="n">
        <v>4.942332</v>
      </c>
      <c r="L312" t="n">
        <v>-0.001076</v>
      </c>
      <c r="M312" t="n">
        <v>-0.195454</v>
      </c>
      <c r="N312" t="n">
        <v>87.82810996000001</v>
      </c>
      <c r="O312" t="n">
        <v>5.81007586</v>
      </c>
      <c r="P312" t="n">
        <v>45</v>
      </c>
      <c r="Q312" t="inlineStr">
        <is>
          <t>Diversified natural resources company</t>
        </is>
      </c>
      <c r="R312" t="inlineStr">
        <is>
          <t>USD</t>
        </is>
      </c>
      <c r="S312" t="inlineStr">
        <is>
          <t>Investment Grade</t>
        </is>
      </c>
      <c r="T312" t="inlineStr">
        <is>
          <t>BBB+</t>
        </is>
      </c>
      <c r="U312" t="inlineStr">
        <is>
          <t>BBB+</t>
        </is>
      </c>
    </row>
    <row r="313">
      <c r="A313" t="inlineStr">
        <is>
          <t>XS2491664137</t>
        </is>
      </c>
      <c r="B313" t="inlineStr">
        <is>
          <t>Top Pick</t>
        </is>
      </c>
      <c r="C313" t="inlineStr">
        <is>
          <t>Eurofins Scientific Se</t>
        </is>
      </c>
      <c r="D313" t="n">
        <v>4</v>
      </c>
      <c r="E313" t="inlineStr">
        <is>
          <t>Sr Unsecured</t>
        </is>
      </c>
      <c r="F313" t="inlineStr">
        <is>
          <t>06.07.2029</t>
        </is>
      </c>
      <c r="G313" t="inlineStr">
        <is>
          <t>Luxembourg</t>
        </is>
      </c>
      <c r="H313" t="inlineStr">
        <is>
          <t>Consumer, Non-cyclical</t>
        </is>
      </c>
      <c r="I313" t="n">
        <v>100</v>
      </c>
      <c r="J313" t="n">
        <v>103.444</v>
      </c>
      <c r="K313" t="n">
        <v>3.016051</v>
      </c>
      <c r="L313" t="n">
        <v>-0.114832</v>
      </c>
      <c r="M313" t="n">
        <v>-0.157999</v>
      </c>
      <c r="N313" t="n">
        <v>87.66614617</v>
      </c>
      <c r="O313" t="n">
        <v>3.670173436</v>
      </c>
      <c r="P313" t="n">
        <v>60</v>
      </c>
      <c r="Q313" t="inlineStr">
        <is>
          <t>Eurofins Scientific SE offers laboratory safety and purity analysis</t>
        </is>
      </c>
      <c r="R313" t="inlineStr">
        <is>
          <t>EUR</t>
        </is>
      </c>
      <c r="S313" t="inlineStr">
        <is>
          <t>Investment Grade</t>
        </is>
      </c>
      <c r="T313" t="inlineStr">
        <is>
          <t>BBB-</t>
        </is>
      </c>
      <c r="U313" t="inlineStr">
        <is>
          <t>BBB-</t>
        </is>
      </c>
    </row>
    <row r="314">
      <c r="A314" t="inlineStr">
        <is>
          <t xml:space="preserve">  CH1376931577</t>
        </is>
      </c>
      <c r="B314" t="inlineStr">
        <is>
          <t>Top pick</t>
        </is>
      </c>
      <c r="C314" t="inlineStr">
        <is>
          <t>Mcdonald'S Corp</t>
        </is>
      </c>
      <c r="D314" t="n">
        <v>1.3</v>
      </c>
      <c r="E314" t="inlineStr">
        <is>
          <t>Sr Unsecured</t>
        </is>
      </c>
      <c r="F314" t="inlineStr">
        <is>
          <t>26.11.2032</t>
        </is>
      </c>
      <c r="G314" t="inlineStr">
        <is>
          <t>United states</t>
        </is>
      </c>
      <c r="H314" t="inlineStr">
        <is>
          <t>Consumer, Cyclical</t>
        </is>
      </c>
      <c r="I314" t="n">
        <v>5</v>
      </c>
      <c r="J314" t="n">
        <v>100.964</v>
      </c>
      <c r="K314" t="n">
        <v>1.15837</v>
      </c>
      <c r="L314" t="n">
        <v>0.030146</v>
      </c>
      <c r="M314" t="n">
        <v>0.192672</v>
      </c>
      <c r="N314" t="n">
        <v>87.51455113999999</v>
      </c>
      <c r="O314" t="n">
        <v>7.093188852</v>
      </c>
      <c r="P314" t="n">
        <v>0</v>
      </c>
      <c r="Q314" t="inlineStr">
        <is>
          <t>franchised fast food chain</t>
        </is>
      </c>
      <c r="R314" t="inlineStr">
        <is>
          <t>CHF</t>
        </is>
      </c>
      <c r="S314" t="inlineStr">
        <is>
          <t>Investment Grade</t>
        </is>
      </c>
      <c r="T314" t="inlineStr">
        <is>
          <t>BBB+</t>
        </is>
      </c>
      <c r="U314" t="inlineStr">
        <is>
          <t>BBB+</t>
        </is>
      </c>
    </row>
    <row r="315">
      <c r="A315" t="inlineStr">
        <is>
          <t>DE000A3MQS72</t>
        </is>
      </c>
      <c r="B315" t="inlineStr">
        <is>
          <t>Top Pick</t>
        </is>
      </c>
      <c r="C315" t="inlineStr">
        <is>
          <t>Vonovia Se</t>
        </is>
      </c>
      <c r="D315" t="n">
        <v>2.375</v>
      </c>
      <c r="E315" t="inlineStr">
        <is>
          <t>Sr Unsecured</t>
        </is>
      </c>
      <c r="F315" t="inlineStr">
        <is>
          <t>25.03.2032</t>
        </is>
      </c>
      <c r="G315" t="inlineStr">
        <is>
          <t>Germany</t>
        </is>
      </c>
      <c r="H315" t="inlineStr">
        <is>
          <t>Financial</t>
        </is>
      </c>
      <c r="I315" t="n">
        <v>100</v>
      </c>
      <c r="J315" t="n">
        <v>93.86499999999999</v>
      </c>
      <c r="K315" t="n">
        <v>3.410408</v>
      </c>
      <c r="L315" t="n">
        <v>-0.0298</v>
      </c>
      <c r="M315" t="n">
        <v>-0.014627</v>
      </c>
      <c r="N315" t="n">
        <v>87.46129058</v>
      </c>
      <c r="O315" t="n">
        <v>6.216285626</v>
      </c>
      <c r="P315" t="n">
        <v>0</v>
      </c>
      <c r="Q315" t="inlineStr">
        <is>
          <t xml:space="preserve">Germany's largest residential real estate owner </t>
        </is>
      </c>
      <c r="R315" t="inlineStr">
        <is>
          <t>EUR</t>
        </is>
      </c>
      <c r="S315" t="inlineStr">
        <is>
          <t>Investment Grade</t>
        </is>
      </c>
      <c r="T315" t="inlineStr">
        <is>
          <t>BBB+</t>
        </is>
      </c>
      <c r="U315" t="inlineStr">
        <is>
          <t>BBB+</t>
        </is>
      </c>
    </row>
    <row r="316">
      <c r="A316" t="inlineStr">
        <is>
          <t>XS2847641961</t>
        </is>
      </c>
      <c r="B316" t="inlineStr">
        <is>
          <t>Top Pick</t>
        </is>
      </c>
      <c r="C316" t="inlineStr">
        <is>
          <t>Pirelli &amp; C Spa</t>
        </is>
      </c>
      <c r="D316" t="n">
        <v>3.875</v>
      </c>
      <c r="E316" t="inlineStr">
        <is>
          <t>Sr Unsecured</t>
        </is>
      </c>
      <c r="F316" t="inlineStr">
        <is>
          <t>02.07.2029</t>
        </is>
      </c>
      <c r="G316" t="inlineStr">
        <is>
          <t>Italy</t>
        </is>
      </c>
      <c r="H316" t="inlineStr">
        <is>
          <t>Consumer, Cyclical</t>
        </is>
      </c>
      <c r="I316" t="n">
        <v>100</v>
      </c>
      <c r="J316" t="n">
        <v>103.031</v>
      </c>
      <c r="K316" t="n">
        <v>3.006774</v>
      </c>
      <c r="L316" t="n">
        <v>-0.018538</v>
      </c>
      <c r="M316" t="n">
        <v>-0.086716</v>
      </c>
      <c r="N316" t="n">
        <v>86.68560506999999</v>
      </c>
      <c r="O316" t="n">
        <v>3.668326491</v>
      </c>
      <c r="P316" t="n">
        <v>85</v>
      </c>
      <c r="Q316" t="inlineStr">
        <is>
          <t>Designs, produces and sells tires for cars, motorcycles and bicycles</t>
        </is>
      </c>
      <c r="R316" t="inlineStr">
        <is>
          <t>EUR</t>
        </is>
      </c>
      <c r="S316" t="inlineStr">
        <is>
          <t>Investment Grade</t>
        </is>
      </c>
      <c r="T316" t="inlineStr">
        <is>
          <t>BBB-</t>
        </is>
      </c>
      <c r="U316" t="inlineStr">
        <is>
          <t>BBB-</t>
        </is>
      </c>
    </row>
    <row r="317">
      <c r="A317" t="inlineStr">
        <is>
          <t>US88167AAE10</t>
        </is>
      </c>
      <c r="B317" t="inlineStr">
        <is>
          <t>Hold</t>
        </is>
      </c>
      <c r="C317" t="inlineStr">
        <is>
          <t>Teva Pharmaceuticals Ne</t>
        </is>
      </c>
      <c r="D317" t="n">
        <v>3.15</v>
      </c>
      <c r="E317" t="inlineStr">
        <is>
          <t>Sr Unsecured</t>
        </is>
      </c>
      <c r="F317" t="inlineStr">
        <is>
          <t>01.10.2026</t>
        </is>
      </c>
      <c r="G317" t="inlineStr">
        <is>
          <t>Israel</t>
        </is>
      </c>
      <c r="H317" t="inlineStr">
        <is>
          <t>Consumer, Non-cyclical</t>
        </is>
      </c>
      <c r="I317" t="n">
        <v>2</v>
      </c>
      <c r="J317" t="n">
        <v>98.008</v>
      </c>
      <c r="K317" t="n">
        <v>4.832911</v>
      </c>
      <c r="L317" t="n">
        <v>-0.019692</v>
      </c>
      <c r="M317" t="n">
        <v>-0.192442</v>
      </c>
      <c r="N317" t="n">
        <v>86.63485962</v>
      </c>
      <c r="O317" t="n">
        <v>1.525752841</v>
      </c>
      <c r="P317" t="n">
        <v>25</v>
      </c>
      <c r="Q317" t="inlineStr">
        <is>
          <t>Largest manufacturer of pharmaceutical generics</t>
        </is>
      </c>
      <c r="R317" t="inlineStr">
        <is>
          <t>USD</t>
        </is>
      </c>
      <c r="S317" t="inlineStr">
        <is>
          <t>High Yield</t>
        </is>
      </c>
      <c r="T317" t="inlineStr">
        <is>
          <t>BB</t>
        </is>
      </c>
      <c r="U317" t="inlineStr">
        <is>
          <t>BB</t>
        </is>
      </c>
    </row>
    <row r="318">
      <c r="A318" t="inlineStr">
        <is>
          <t>USF2893TAP15</t>
        </is>
      </c>
      <c r="B318" t="inlineStr">
        <is>
          <t>Hold</t>
        </is>
      </c>
      <c r="C318" t="inlineStr">
        <is>
          <t>Electricite De France Sa</t>
        </is>
      </c>
      <c r="D318" t="n">
        <v>4.75</v>
      </c>
      <c r="E318" t="inlineStr">
        <is>
          <t>Sr Unsecured</t>
        </is>
      </c>
      <c r="F318" t="inlineStr">
        <is>
          <t>13.10.2035</t>
        </is>
      </c>
      <c r="G318" t="inlineStr">
        <is>
          <t>France</t>
        </is>
      </c>
      <c r="H318" t="inlineStr">
        <is>
          <t>Utilities</t>
        </is>
      </c>
      <c r="I318" t="n">
        <v>2</v>
      </c>
      <c r="J318" t="n">
        <v>95.937</v>
      </c>
      <c r="K318" t="n">
        <v>5.266588</v>
      </c>
      <c r="L318" t="n">
        <v>-0.065037</v>
      </c>
      <c r="M318" t="n">
        <v>-0.165118</v>
      </c>
      <c r="N318" t="n">
        <v>86.50237878999999</v>
      </c>
      <c r="O318" t="n">
        <v>7.994569517</v>
      </c>
      <c r="P318" t="n">
        <v>50</v>
      </c>
      <c r="Q318" t="inlineStr">
        <is>
          <t>French utility company fully owned by the State</t>
        </is>
      </c>
      <c r="R318" t="inlineStr">
        <is>
          <t>USD</t>
        </is>
      </c>
      <c r="S318" t="inlineStr">
        <is>
          <t>Investment Grade</t>
        </is>
      </c>
      <c r="T318" t="inlineStr">
        <is>
          <t>BBB</t>
        </is>
      </c>
      <c r="U318" t="inlineStr">
        <is>
          <t>BBB</t>
        </is>
      </c>
    </row>
    <row r="319">
      <c r="A319" t="inlineStr">
        <is>
          <t>XS1997070781</t>
        </is>
      </c>
      <c r="B319" t="inlineStr">
        <is>
          <t>Hold</t>
        </is>
      </c>
      <c r="C319" t="inlineStr">
        <is>
          <t>Orsted A/S</t>
        </is>
      </c>
      <c r="D319" t="n">
        <v>2.125</v>
      </c>
      <c r="E319" t="inlineStr">
        <is>
          <t>Sr Unsecured</t>
        </is>
      </c>
      <c r="F319" t="inlineStr">
        <is>
          <t>17.05.2027</t>
        </is>
      </c>
      <c r="G319" t="inlineStr">
        <is>
          <t>Denmark</t>
        </is>
      </c>
      <c r="H319" t="inlineStr">
        <is>
          <t>Utilities</t>
        </is>
      </c>
      <c r="I319" t="n">
        <v>100</v>
      </c>
      <c r="J319" t="n">
        <v>95.636</v>
      </c>
      <c r="K319" t="n">
        <v>4.578528</v>
      </c>
      <c r="L319" t="n">
        <v>-0.013421</v>
      </c>
      <c r="M319" t="n">
        <v>-0.264512</v>
      </c>
      <c r="N319" t="n">
        <v>86.22148989999999</v>
      </c>
      <c r="O319" t="n">
        <v>2.058488196</v>
      </c>
      <c r="P319" t="n">
        <v>60</v>
      </c>
      <c r="Q319" t="inlineStr">
        <is>
          <t>Danish utility company operating offshore wind farm</t>
        </is>
      </c>
      <c r="R319" t="inlineStr">
        <is>
          <t>GBP</t>
        </is>
      </c>
      <c r="S319" t="inlineStr">
        <is>
          <t>Investment Grade</t>
        </is>
      </c>
      <c r="T319" t="inlineStr">
        <is>
          <t>BBB</t>
        </is>
      </c>
      <c r="U319" t="inlineStr">
        <is>
          <t>BBB</t>
        </is>
      </c>
    </row>
    <row r="320">
      <c r="A320" t="inlineStr">
        <is>
          <t>US103304BU40</t>
        </is>
      </c>
      <c r="B320" t="inlineStr">
        <is>
          <t>Hold</t>
        </is>
      </c>
      <c r="C320" t="inlineStr">
        <is>
          <t>Boyd Gaming Corp</t>
        </is>
      </c>
      <c r="D320" t="n">
        <v>4.75</v>
      </c>
      <c r="E320" t="inlineStr">
        <is>
          <t>Sr Unsecured</t>
        </is>
      </c>
      <c r="F320" t="inlineStr">
        <is>
          <t>01.12.2027</t>
        </is>
      </c>
      <c r="G320" t="inlineStr">
        <is>
          <t>United states</t>
        </is>
      </c>
      <c r="H320" t="inlineStr">
        <is>
          <t>Consumer, Cyclical</t>
        </is>
      </c>
      <c r="I320" t="n">
        <v>2</v>
      </c>
      <c r="J320" t="n">
        <v>99.273</v>
      </c>
      <c r="K320" t="n">
        <v>5.073738</v>
      </c>
      <c r="L320" t="n">
        <v>-0.031763</v>
      </c>
      <c r="M320" t="n">
        <v>-0.173058</v>
      </c>
      <c r="N320" t="n">
        <v>85.89950777999999</v>
      </c>
      <c r="O320" t="n">
        <v>2.54006775</v>
      </c>
      <c r="P320" t="n">
        <v>25</v>
      </c>
      <c r="Q320" t="inlineStr">
        <is>
          <t>A casino entertainment</t>
        </is>
      </c>
      <c r="R320" t="inlineStr">
        <is>
          <t>USD</t>
        </is>
      </c>
      <c r="S320" t="inlineStr">
        <is>
          <t>High Yield</t>
        </is>
      </c>
      <c r="T320" t="inlineStr">
        <is>
          <t>BB-</t>
        </is>
      </c>
      <c r="U320" t="inlineStr">
        <is>
          <t>BB-</t>
        </is>
      </c>
    </row>
    <row r="321">
      <c r="A321" t="inlineStr">
        <is>
          <t>US71647NAS80</t>
        </is>
      </c>
      <c r="B321" t="inlineStr">
        <is>
          <t xml:space="preserve">Hold </t>
        </is>
      </c>
      <c r="C321" t="inlineStr">
        <is>
          <t>Petrobras Global Finance</t>
        </is>
      </c>
      <c r="D321" t="n">
        <v>7.375</v>
      </c>
      <c r="E321" t="inlineStr">
        <is>
          <t>Sr Unsecured</t>
        </is>
      </c>
      <c r="F321" t="inlineStr">
        <is>
          <t>17.01.2027</t>
        </is>
      </c>
      <c r="G321" t="inlineStr">
        <is>
          <t>Brazil</t>
        </is>
      </c>
      <c r="H321" t="inlineStr">
        <is>
          <t>Energy</t>
        </is>
      </c>
      <c r="I321" t="n">
        <v>2</v>
      </c>
      <c r="J321" t="n">
        <v>103.769</v>
      </c>
      <c r="K321" t="n">
        <v>4.78148</v>
      </c>
      <c r="L321" t="n">
        <v>-0.033787</v>
      </c>
      <c r="M321" t="n">
        <v>-0.214192</v>
      </c>
      <c r="N321" t="n">
        <v>85.75406630000001</v>
      </c>
      <c r="O321" t="n">
        <v>1.758021173</v>
      </c>
      <c r="P321" t="n">
        <v>25</v>
      </c>
      <c r="Q321" t="inlineStr">
        <is>
          <t>Largest oil company in Latin America</t>
        </is>
      </c>
      <c r="R321" t="inlineStr">
        <is>
          <t>USD</t>
        </is>
      </c>
      <c r="S321" t="inlineStr">
        <is>
          <t>Latin America</t>
        </is>
      </c>
      <c r="T321" t="inlineStr">
        <is>
          <t>BB</t>
        </is>
      </c>
      <c r="U321" t="inlineStr">
        <is>
          <t>BB</t>
        </is>
      </c>
    </row>
    <row r="322">
      <c r="A322" t="inlineStr">
        <is>
          <t>FR001400WKF1</t>
        </is>
      </c>
      <c r="B322" t="inlineStr">
        <is>
          <t xml:space="preserve">Hold </t>
        </is>
      </c>
      <c r="C322" t="inlineStr">
        <is>
          <t>Bpce Sa</t>
        </is>
      </c>
      <c r="D322" t="n">
        <v>5.25</v>
      </c>
      <c r="E322" t="inlineStr">
        <is>
          <t>Sr Non Preferred</t>
        </is>
      </c>
      <c r="F322" t="inlineStr">
        <is>
          <t>22.10.2030</t>
        </is>
      </c>
      <c r="G322" t="inlineStr">
        <is>
          <t>France</t>
        </is>
      </c>
      <c r="H322" t="inlineStr">
        <is>
          <t>Financial</t>
        </is>
      </c>
      <c r="I322" t="n">
        <v>100</v>
      </c>
      <c r="J322" t="n">
        <v>100.969</v>
      </c>
      <c r="K322" t="n">
        <v>4.932605</v>
      </c>
      <c r="L322" t="n">
        <v>-0.019525</v>
      </c>
      <c r="M322" t="n">
        <v>-0.231277</v>
      </c>
      <c r="N322" t="n">
        <v>85.65730548000001</v>
      </c>
      <c r="O322" t="n">
        <v>4.775032305</v>
      </c>
      <c r="P322" t="n">
        <v>0</v>
      </c>
      <c r="Q322" t="inlineStr">
        <is>
          <t>One of the largest French retail banks</t>
        </is>
      </c>
      <c r="R322" t="inlineStr">
        <is>
          <t>GBP</t>
        </is>
      </c>
      <c r="S322" t="inlineStr">
        <is>
          <t>Investment Grade</t>
        </is>
      </c>
      <c r="T322" t="inlineStr">
        <is>
          <t>BBB+</t>
        </is>
      </c>
      <c r="U322" t="inlineStr">
        <is>
          <t>BBB+</t>
        </is>
      </c>
    </row>
    <row r="323">
      <c r="A323" t="inlineStr">
        <is>
          <t>FR0013447166</t>
        </is>
      </c>
      <c r="B323" t="inlineStr">
        <is>
          <t xml:space="preserve">Hold </t>
        </is>
      </c>
      <c r="C323" t="inlineStr">
        <is>
          <t>Stellantis Nv</t>
        </is>
      </c>
      <c r="D323" t="n">
        <v>1.125</v>
      </c>
      <c r="E323" t="inlineStr">
        <is>
          <t>Sr Unsecured</t>
        </is>
      </c>
      <c r="F323" t="inlineStr">
        <is>
          <t>18.09.2029</t>
        </is>
      </c>
      <c r="G323" t="inlineStr">
        <is>
          <t>United states</t>
        </is>
      </c>
      <c r="H323" t="inlineStr">
        <is>
          <t>Consumer, Cyclical</t>
        </is>
      </c>
      <c r="I323" t="n">
        <v>100</v>
      </c>
      <c r="J323" t="n">
        <v>92.55</v>
      </c>
      <c r="K323" t="n">
        <v>3.043062</v>
      </c>
      <c r="L323" t="n">
        <v>-0.236628</v>
      </c>
      <c r="M323" t="n">
        <v>-0.242258</v>
      </c>
      <c r="N323" t="n">
        <v>85.61636615</v>
      </c>
      <c r="O323" t="n">
        <v>4.31761989</v>
      </c>
      <c r="P323" t="n">
        <v>60</v>
      </c>
      <c r="Q323" t="inlineStr">
        <is>
          <t>One of the world's largest auto maker</t>
        </is>
      </c>
      <c r="R323" t="inlineStr">
        <is>
          <t>EUR</t>
        </is>
      </c>
      <c r="S323" t="inlineStr">
        <is>
          <t>Investment Grade</t>
        </is>
      </c>
      <c r="T323" t="inlineStr">
        <is>
          <t>BBB</t>
        </is>
      </c>
      <c r="U323" t="inlineStr">
        <is>
          <t>BBB+</t>
        </is>
      </c>
    </row>
    <row r="324">
      <c r="A324" t="inlineStr">
        <is>
          <t>USU09513JX89</t>
        </is>
      </c>
      <c r="B324" t="inlineStr">
        <is>
          <t>Hold</t>
        </is>
      </c>
      <c r="C324" t="inlineStr">
        <is>
          <t>Bmw Us Capital Llc</t>
        </is>
      </c>
      <c r="D324" t="n">
        <v>5.15</v>
      </c>
      <c r="E324" t="inlineStr">
        <is>
          <t>Sr Unsecured</t>
        </is>
      </c>
      <c r="F324" t="inlineStr">
        <is>
          <t>02.04.2034</t>
        </is>
      </c>
      <c r="G324" t="inlineStr">
        <is>
          <t>Germany</t>
        </is>
      </c>
      <c r="H324" t="inlineStr">
        <is>
          <t>Consumer, Cyclical</t>
        </is>
      </c>
      <c r="I324" t="n">
        <v>2</v>
      </c>
      <c r="J324" t="n">
        <v>100.093</v>
      </c>
      <c r="K324" t="n">
        <v>5.135485</v>
      </c>
      <c r="L324" t="n">
        <v>-0.01613</v>
      </c>
      <c r="M324" t="n">
        <v>-0.159306</v>
      </c>
      <c r="N324" t="n">
        <v>85.13604955</v>
      </c>
      <c r="O324" t="n">
        <v>7.050941761</v>
      </c>
      <c r="P324" t="n">
        <v>80</v>
      </c>
      <c r="Q324" t="inlineStr">
        <is>
          <t>European car manufacturer focused entirely on the premium segment</t>
        </is>
      </c>
      <c r="R324" t="inlineStr">
        <is>
          <t>USD</t>
        </is>
      </c>
      <c r="S324" t="inlineStr">
        <is>
          <t>Investment Grade</t>
        </is>
      </c>
      <c r="T324" t="inlineStr">
        <is>
          <t>A</t>
        </is>
      </c>
      <c r="U324" t="inlineStr">
        <is>
          <t>A</t>
        </is>
      </c>
    </row>
    <row r="325">
      <c r="A325" t="inlineStr">
        <is>
          <t>US911312CA23</t>
        </is>
      </c>
      <c r="B325" t="inlineStr">
        <is>
          <t>Hold</t>
        </is>
      </c>
      <c r="C325" t="inlineStr">
        <is>
          <t>United Parcel Service</t>
        </is>
      </c>
      <c r="D325" t="n">
        <v>5.05</v>
      </c>
      <c r="E325" t="inlineStr">
        <is>
          <t>Sr Unsecured</t>
        </is>
      </c>
      <c r="F325" t="inlineStr">
        <is>
          <t>03.03.2053</t>
        </is>
      </c>
      <c r="G325" t="inlineStr">
        <is>
          <t>United states</t>
        </is>
      </c>
      <c r="H325" t="inlineStr">
        <is>
          <t>Industrial</t>
        </is>
      </c>
      <c r="I325" t="n">
        <v>2</v>
      </c>
      <c r="J325" t="n">
        <v>90.791</v>
      </c>
      <c r="K325" t="n">
        <v>5.716163</v>
      </c>
      <c r="L325" t="n">
        <v>-0.058035</v>
      </c>
      <c r="M325" t="n">
        <v>-0.133391</v>
      </c>
      <c r="N325" t="n">
        <v>84.75564133</v>
      </c>
      <c r="O325" t="n">
        <v>13.99498887</v>
      </c>
      <c r="P325" t="n">
        <v>60</v>
      </c>
      <c r="Q325" t="inlineStr">
        <is>
          <t>Delivers packages and documents</t>
        </is>
      </c>
      <c r="R325" t="inlineStr">
        <is>
          <t>USD</t>
        </is>
      </c>
      <c r="S325" t="inlineStr">
        <is>
          <t>Investment Grade</t>
        </is>
      </c>
      <c r="T325" t="inlineStr">
        <is>
          <t>A</t>
        </is>
      </c>
      <c r="U325" t="inlineStr">
        <is>
          <t>A</t>
        </is>
      </c>
    </row>
    <row r="326">
      <c r="A326" t="inlineStr">
        <is>
          <t>US30303M8R66</t>
        </is>
      </c>
      <c r="B326" t="inlineStr">
        <is>
          <t>Hold</t>
        </is>
      </c>
      <c r="C326" t="inlineStr">
        <is>
          <t>Meta Platforms Inc</t>
        </is>
      </c>
      <c r="D326" t="n">
        <v>5.75</v>
      </c>
      <c r="E326" t="inlineStr">
        <is>
          <t>Sr Unsecured</t>
        </is>
      </c>
      <c r="F326" t="inlineStr">
        <is>
          <t>15.05.2063</t>
        </is>
      </c>
      <c r="G326" t="inlineStr">
        <is>
          <t>United states</t>
        </is>
      </c>
      <c r="H326" t="inlineStr">
        <is>
          <t>Communications</t>
        </is>
      </c>
      <c r="I326" t="n">
        <v>2</v>
      </c>
      <c r="J326" t="n">
        <v>100.699</v>
      </c>
      <c r="K326" t="n">
        <v>5.704058</v>
      </c>
      <c r="L326" t="n">
        <v>-0.049398</v>
      </c>
      <c r="M326" t="n">
        <v>-0.074007</v>
      </c>
      <c r="N326" t="n">
        <v>84.63263584000001</v>
      </c>
      <c r="O326" t="n">
        <v>15.27341014</v>
      </c>
      <c r="P326" t="n">
        <v>80</v>
      </c>
      <c r="Q326" t="inlineStr">
        <is>
          <t>A social technology company</t>
        </is>
      </c>
      <c r="R326" t="inlineStr">
        <is>
          <t>USD</t>
        </is>
      </c>
      <c r="S326" t="inlineStr">
        <is>
          <t>Investment Grade</t>
        </is>
      </c>
      <c r="T326" t="inlineStr">
        <is>
          <t>AA-</t>
        </is>
      </c>
      <c r="U326" t="inlineStr">
        <is>
          <t>AA-</t>
        </is>
      </c>
    </row>
    <row r="327">
      <c r="A327" t="inlineStr">
        <is>
          <t>XS2430704655</t>
        </is>
      </c>
      <c r="B327" t="inlineStr">
        <is>
          <t>Top Pick</t>
        </is>
      </c>
      <c r="C327" t="inlineStr">
        <is>
          <t>Lloyds Banking Group Plc</t>
        </is>
      </c>
      <c r="D327" t="n">
        <v>2</v>
      </c>
      <c r="E327" t="inlineStr">
        <is>
          <t>Sr Unsecured</t>
        </is>
      </c>
      <c r="F327" t="inlineStr">
        <is>
          <t>12.04.2028</t>
        </is>
      </c>
      <c r="G327" t="inlineStr">
        <is>
          <t>United Kingdom</t>
        </is>
      </c>
      <c r="H327" t="inlineStr">
        <is>
          <t>Financial</t>
        </is>
      </c>
      <c r="I327" t="n">
        <v>100</v>
      </c>
      <c r="J327" t="n">
        <v>95.849</v>
      </c>
      <c r="K327" t="n">
        <v>4.452967</v>
      </c>
      <c r="L327" t="n">
        <v>-0.065568</v>
      </c>
      <c r="M327" t="n">
        <v>-0.386125</v>
      </c>
      <c r="N327" t="n">
        <v>84.42456924</v>
      </c>
      <c r="O327" t="n">
        <v>1.969184681</v>
      </c>
      <c r="P327" t="n">
        <v>60</v>
      </c>
      <c r="Q327" t="inlineStr">
        <is>
          <t>Third largest bank in the UK</t>
        </is>
      </c>
      <c r="R327" t="inlineStr">
        <is>
          <t>GBP</t>
        </is>
      </c>
      <c r="S327" t="inlineStr">
        <is>
          <t>Investment Grade</t>
        </is>
      </c>
      <c r="T327" t="inlineStr">
        <is>
          <t>A-</t>
        </is>
      </c>
      <c r="U327" t="inlineStr">
        <is>
          <t>A-</t>
        </is>
      </c>
    </row>
    <row r="328">
      <c r="A328" t="inlineStr">
        <is>
          <t>XS2721465271</t>
        </is>
      </c>
      <c r="B328" t="inlineStr">
        <is>
          <t>Hold</t>
        </is>
      </c>
      <c r="C328" t="inlineStr">
        <is>
          <t>Heidelberg Materials Fin</t>
        </is>
      </c>
      <c r="D328" t="n">
        <v>4.875</v>
      </c>
      <c r="E328" t="inlineStr">
        <is>
          <t>Sr Unsecured</t>
        </is>
      </c>
      <c r="F328" t="inlineStr">
        <is>
          <t>21.11.2033</t>
        </is>
      </c>
      <c r="G328" t="inlineStr">
        <is>
          <t>Germany</t>
        </is>
      </c>
      <c r="H328" t="inlineStr">
        <is>
          <t>Industrial</t>
        </is>
      </c>
      <c r="I328" t="n">
        <v>1</v>
      </c>
      <c r="J328" t="n">
        <v>109.441</v>
      </c>
      <c r="K328" t="n">
        <v>3.516876</v>
      </c>
      <c r="L328" t="n">
        <v>-0.130098</v>
      </c>
      <c r="M328" t="n">
        <v>-0.016221</v>
      </c>
      <c r="N328" t="n">
        <v>84.33811961000001</v>
      </c>
      <c r="O328" t="n">
        <v>6.897864925</v>
      </c>
      <c r="P328" t="n">
        <v>60</v>
      </c>
      <c r="Q328" t="inlineStr">
        <is>
          <t>manufactures building materials</t>
        </is>
      </c>
      <c r="R328" t="inlineStr">
        <is>
          <t>EUR</t>
        </is>
      </c>
      <c r="S328" t="inlineStr">
        <is>
          <t>Investment Grade</t>
        </is>
      </c>
      <c r="T328" t="inlineStr">
        <is>
          <t>BBB</t>
        </is>
      </c>
      <c r="U328" t="inlineStr">
        <is>
          <t>BBB</t>
        </is>
      </c>
    </row>
    <row r="329">
      <c r="A329" t="inlineStr">
        <is>
          <t>XS2583743047</t>
        </is>
      </c>
      <c r="B329" t="inlineStr">
        <is>
          <t>Hold</t>
        </is>
      </c>
      <c r="C329" t="inlineStr">
        <is>
          <t>Ibm Corp</t>
        </is>
      </c>
      <c r="D329" t="n">
        <v>4.875</v>
      </c>
      <c r="E329" t="inlineStr">
        <is>
          <t>Sr Unsecured</t>
        </is>
      </c>
      <c r="F329" t="inlineStr">
        <is>
          <t>06.02.2038</t>
        </is>
      </c>
      <c r="G329" t="inlineStr">
        <is>
          <t>United states</t>
        </is>
      </c>
      <c r="H329" t="inlineStr">
        <is>
          <t>Technology</t>
        </is>
      </c>
      <c r="I329" t="n">
        <v>100</v>
      </c>
      <c r="J329" t="n">
        <v>92.688</v>
      </c>
      <c r="K329" t="n">
        <v>5.622922</v>
      </c>
      <c r="L329" t="n">
        <v>0.061826</v>
      </c>
      <c r="M329" t="n">
        <v>-0.089499</v>
      </c>
      <c r="N329" t="n">
        <v>84.29003315999999</v>
      </c>
      <c r="O329" t="n">
        <v>9.231305974</v>
      </c>
      <c r="P329" t="n">
        <v>80</v>
      </c>
      <c r="Q329" t="inlineStr">
        <is>
          <t>International Business Machines Corporation (IBM) provides computer solutions</t>
        </is>
      </c>
      <c r="R329" t="inlineStr">
        <is>
          <t>GBP</t>
        </is>
      </c>
      <c r="S329" t="inlineStr">
        <is>
          <t>Investment Grade</t>
        </is>
      </c>
      <c r="T329" t="inlineStr">
        <is>
          <t>A-</t>
        </is>
      </c>
      <c r="U329" t="inlineStr">
        <is>
          <t>A-</t>
        </is>
      </c>
    </row>
    <row r="330">
      <c r="A330" t="inlineStr">
        <is>
          <t>CH0494734376</t>
        </is>
      </c>
      <c r="B330" t="inlineStr">
        <is>
          <t xml:space="preserve">Hold </t>
        </is>
      </c>
      <c r="C330" t="inlineStr">
        <is>
          <t>Banc Credito Inversiones</t>
        </is>
      </c>
      <c r="D330" t="n">
        <v>0.25</v>
      </c>
      <c r="E330" t="inlineStr">
        <is>
          <t>Sr Unsecured</t>
        </is>
      </c>
      <c r="F330" t="inlineStr">
        <is>
          <t>24.09.2029</t>
        </is>
      </c>
      <c r="G330" t="inlineStr">
        <is>
          <t>Chile</t>
        </is>
      </c>
      <c r="H330" t="inlineStr">
        <is>
          <t>Financial</t>
        </is>
      </c>
      <c r="I330" t="n">
        <v>5</v>
      </c>
      <c r="J330" t="n">
        <v>97.199</v>
      </c>
      <c r="K330" t="n">
        <v>0.931768</v>
      </c>
      <c r="L330" t="n">
        <v>0.036012</v>
      </c>
      <c r="M330" t="n">
        <v>0.185324</v>
      </c>
      <c r="N330" t="n">
        <v>84.22176636</v>
      </c>
      <c r="O330" t="n">
        <v>4.512645621</v>
      </c>
      <c r="P330" t="n">
        <v>0</v>
      </c>
      <c r="Q330" t="inlineStr">
        <is>
          <t xml:space="preserve">Attracts desposits and offers retail and commercial banking services </t>
        </is>
      </c>
      <c r="R330" t="inlineStr">
        <is>
          <t>CHF</t>
        </is>
      </c>
      <c r="S330" t="inlineStr">
        <is>
          <t>Latin America</t>
        </is>
      </c>
      <c r="T330" t="inlineStr">
        <is>
          <t>A-</t>
        </is>
      </c>
      <c r="U330" t="inlineStr">
        <is>
          <t>A-</t>
        </is>
      </c>
    </row>
    <row r="331">
      <c r="A331" t="inlineStr">
        <is>
          <t>US37045XEB82</t>
        </is>
      </c>
      <c r="B331" t="inlineStr">
        <is>
          <t>Hold</t>
        </is>
      </c>
      <c r="C331" t="inlineStr">
        <is>
          <t>General Motors Finl Co</t>
        </is>
      </c>
      <c r="D331" t="n">
        <v>6</v>
      </c>
      <c r="E331" t="inlineStr">
        <is>
          <t>Sr Unsecured</t>
        </is>
      </c>
      <c r="F331" t="inlineStr">
        <is>
          <t>09.01.2028</t>
        </is>
      </c>
      <c r="G331" t="inlineStr">
        <is>
          <t>United states</t>
        </is>
      </c>
      <c r="H331" t="inlineStr">
        <is>
          <t>Consumer, Cyclical</t>
        </is>
      </c>
      <c r="I331" t="n">
        <v>2</v>
      </c>
      <c r="J331" t="n">
        <v>102.953</v>
      </c>
      <c r="K331" t="n">
        <v>4.69617</v>
      </c>
      <c r="L331" t="n">
        <v>-0.016236</v>
      </c>
      <c r="M331" t="n">
        <v>-0.292862</v>
      </c>
      <c r="N331" t="n">
        <v>84.10161754000001</v>
      </c>
      <c r="O331" t="n">
        <v>2.542059747</v>
      </c>
      <c r="P331" t="n">
        <v>60</v>
      </c>
      <c r="Q331" t="inlineStr">
        <is>
          <t>World's third largest automaker owning Chevrolet, Buick and Cadillac</t>
        </is>
      </c>
      <c r="R331" t="inlineStr">
        <is>
          <t>USD</t>
        </is>
      </c>
      <c r="S331" t="inlineStr">
        <is>
          <t>Investment Grade</t>
        </is>
      </c>
      <c r="T331" t="inlineStr">
        <is>
          <t>BBB</t>
        </is>
      </c>
      <c r="U331" t="inlineStr">
        <is>
          <t>BBB</t>
        </is>
      </c>
    </row>
    <row r="332">
      <c r="A332" t="inlineStr">
        <is>
          <t>XS1891174424</t>
        </is>
      </c>
      <c r="B332" t="inlineStr">
        <is>
          <t>Top Pick</t>
        </is>
      </c>
      <c r="C332" t="inlineStr">
        <is>
          <t>Digital Stout Holding Ll</t>
        </is>
      </c>
      <c r="D332" t="n">
        <v>3.75</v>
      </c>
      <c r="E332" t="inlineStr">
        <is>
          <t>Sr Unsecured</t>
        </is>
      </c>
      <c r="F332" t="inlineStr">
        <is>
          <t>17.10.2030</t>
        </is>
      </c>
      <c r="G332" t="inlineStr">
        <is>
          <t>United states</t>
        </is>
      </c>
      <c r="H332" t="inlineStr">
        <is>
          <t>Financial</t>
        </is>
      </c>
      <c r="I332" t="n">
        <v>100</v>
      </c>
      <c r="J332" t="n">
        <v>94.81</v>
      </c>
      <c r="K332" t="n">
        <v>4.827842</v>
      </c>
      <c r="L332" t="n">
        <v>0.020776</v>
      </c>
      <c r="M332" t="n">
        <v>-0.315748</v>
      </c>
      <c r="N332" t="n">
        <v>84.00449304</v>
      </c>
      <c r="O332" t="n">
        <v>4.851199446</v>
      </c>
      <c r="P332" t="n">
        <v>60</v>
      </c>
      <c r="Q332" t="inlineStr">
        <is>
          <t xml:space="preserve">Owns and opeates data centres </t>
        </is>
      </c>
      <c r="R332" t="inlineStr">
        <is>
          <t>GBP</t>
        </is>
      </c>
      <c r="S332" t="inlineStr">
        <is>
          <t>Investment Grade</t>
        </is>
      </c>
      <c r="T332" t="inlineStr">
        <is>
          <t>BBB</t>
        </is>
      </c>
      <c r="U332" t="inlineStr">
        <is>
          <t>BBB</t>
        </is>
      </c>
    </row>
    <row r="333">
      <c r="A333" t="inlineStr">
        <is>
          <t>FR001400MLN4</t>
        </is>
      </c>
      <c r="B333" t="inlineStr">
        <is>
          <t>Top Pick</t>
        </is>
      </c>
      <c r="C333" t="inlineStr">
        <is>
          <t>Unibail-Rodamco-Westfld</t>
        </is>
      </c>
      <c r="D333" t="n">
        <v>4.125</v>
      </c>
      <c r="E333" t="inlineStr">
        <is>
          <t>Sr Unsecured</t>
        </is>
      </c>
      <c r="F333" t="inlineStr">
        <is>
          <t>11.12.2030</t>
        </is>
      </c>
      <c r="G333" t="inlineStr">
        <is>
          <t>France</t>
        </is>
      </c>
      <c r="H333" t="inlineStr">
        <is>
          <t>Financial</t>
        </is>
      </c>
      <c r="I333" t="n">
        <v>100</v>
      </c>
      <c r="J333" t="n">
        <v>104.366</v>
      </c>
      <c r="K333" t="n">
        <v>3.195266</v>
      </c>
      <c r="L333" t="n">
        <v>-0.080022</v>
      </c>
      <c r="M333" t="n">
        <v>-0.138733</v>
      </c>
      <c r="N333" t="n">
        <v>83.98374690999999</v>
      </c>
      <c r="O333" t="n">
        <v>4.874246454</v>
      </c>
      <c r="P333" t="n">
        <v>60</v>
      </c>
      <c r="Q333" t="inlineStr">
        <is>
          <t>Operates as a commercial real estate owners and development company</t>
        </is>
      </c>
      <c r="R333" t="inlineStr">
        <is>
          <t>EUR</t>
        </is>
      </c>
      <c r="S333" t="inlineStr">
        <is>
          <t>Investment Grade</t>
        </is>
      </c>
      <c r="T333" t="inlineStr">
        <is>
          <t>BBB</t>
        </is>
      </c>
      <c r="U333" t="inlineStr">
        <is>
          <t>BBB</t>
        </is>
      </c>
    </row>
    <row r="334">
      <c r="A334" t="inlineStr">
        <is>
          <t>USG59669AC89</t>
        </is>
      </c>
      <c r="B334" t="inlineStr">
        <is>
          <t>Top Pick</t>
        </is>
      </c>
      <c r="C334" t="inlineStr">
        <is>
          <t>Meituan</t>
        </is>
      </c>
      <c r="D334" t="n">
        <v>3.05</v>
      </c>
      <c r="E334" t="inlineStr">
        <is>
          <t>Sr Unsecured</t>
        </is>
      </c>
      <c r="F334" t="inlineStr">
        <is>
          <t>28.10.2030</t>
        </is>
      </c>
      <c r="G334" t="inlineStr">
        <is>
          <t>China</t>
        </is>
      </c>
      <c r="H334" t="inlineStr">
        <is>
          <t>Communications</t>
        </is>
      </c>
      <c r="I334" t="n">
        <v>200</v>
      </c>
      <c r="J334" t="n">
        <v>91.852</v>
      </c>
      <c r="K334" t="n">
        <v>4.807158</v>
      </c>
      <c r="L334" t="n">
        <v>0.075623</v>
      </c>
      <c r="M334" t="n">
        <v>-0.057097</v>
      </c>
      <c r="N334" t="n">
        <v>83.68855651</v>
      </c>
      <c r="O334" t="n">
        <v>5.053259635</v>
      </c>
      <c r="P334" t="n">
        <v>25</v>
      </c>
      <c r="Q334" t="inlineStr">
        <is>
          <t>Operates as a web based shopping platform for locally found consumers</t>
        </is>
      </c>
      <c r="R334" t="inlineStr">
        <is>
          <t>USD</t>
        </is>
      </c>
      <c r="S334" t="inlineStr">
        <is>
          <t>Investment Grade</t>
        </is>
      </c>
      <c r="T334" t="inlineStr">
        <is>
          <t>BBB+</t>
        </is>
      </c>
      <c r="U334" t="inlineStr">
        <is>
          <t>BBB</t>
        </is>
      </c>
    </row>
    <row r="335">
      <c r="A335" t="inlineStr">
        <is>
          <t>CH1325807886</t>
        </is>
      </c>
      <c r="B335" t="inlineStr">
        <is>
          <t>Hold</t>
        </is>
      </c>
      <c r="C335" t="inlineStr">
        <is>
          <t>Caixabank Sa</t>
        </is>
      </c>
      <c r="D335" t="n">
        <v>2.175</v>
      </c>
      <c r="E335" t="inlineStr">
        <is>
          <t>Sr Preferred</t>
        </is>
      </c>
      <c r="F335" t="inlineStr">
        <is>
          <t>19.03.2030</t>
        </is>
      </c>
      <c r="G335" t="inlineStr">
        <is>
          <t>Spain</t>
        </is>
      </c>
      <c r="H335" t="inlineStr">
        <is>
          <t>Financial</t>
        </is>
      </c>
      <c r="I335" t="n">
        <v>200</v>
      </c>
      <c r="J335" t="n">
        <v>104.409</v>
      </c>
      <c r="K335" t="n">
        <v>0.952794</v>
      </c>
      <c r="L335" t="n">
        <v>0.045513</v>
      </c>
      <c r="M335" t="n">
        <v>0.209935</v>
      </c>
      <c r="N335" t="n">
        <v>83.50549038</v>
      </c>
      <c r="O335" t="n">
        <v>3.824514121</v>
      </c>
      <c r="P335" t="n">
        <v>80</v>
      </c>
      <c r="Q335" t="inlineStr">
        <is>
          <t>One of the largest Spanish banks</t>
        </is>
      </c>
      <c r="R335" t="inlineStr">
        <is>
          <t>CHF</t>
        </is>
      </c>
      <c r="S335" t="inlineStr">
        <is>
          <t>Investment Grade</t>
        </is>
      </c>
      <c r="T335" t="inlineStr">
        <is>
          <t>A</t>
        </is>
      </c>
      <c r="U335" t="inlineStr">
        <is>
          <t>A</t>
        </is>
      </c>
    </row>
    <row r="336">
      <c r="A336" t="inlineStr">
        <is>
          <t>XS1991188548</t>
        </is>
      </c>
      <c r="B336" t="inlineStr">
        <is>
          <t xml:space="preserve">Hold </t>
        </is>
      </c>
      <c r="C336" t="inlineStr">
        <is>
          <t>Maf Sukuk Ltd</t>
        </is>
      </c>
      <c r="D336" t="n">
        <v>4.638</v>
      </c>
      <c r="E336" t="inlineStr">
        <is>
          <t>Sr Unsecured</t>
        </is>
      </c>
      <c r="F336" t="inlineStr">
        <is>
          <t>14.05.2029</t>
        </is>
      </c>
      <c r="G336" t="inlineStr">
        <is>
          <t>U.A.E</t>
        </is>
      </c>
      <c r="H336" t="inlineStr">
        <is>
          <t>Financial</t>
        </is>
      </c>
      <c r="I336" t="n">
        <v>200</v>
      </c>
      <c r="J336" t="n">
        <v>99.72499999999999</v>
      </c>
      <c r="K336" t="n">
        <v>4.715208</v>
      </c>
      <c r="L336" t="n">
        <v>0.048483</v>
      </c>
      <c r="M336" t="n">
        <v>-0.13285</v>
      </c>
      <c r="N336" t="n">
        <v>83.45431703</v>
      </c>
      <c r="O336" t="n">
        <v>3.730101193</v>
      </c>
      <c r="P336" t="n">
        <v>60</v>
      </c>
      <c r="Q336" t="inlineStr">
        <is>
          <t> </t>
        </is>
      </c>
      <c r="R336" t="inlineStr">
        <is>
          <t>USD</t>
        </is>
      </c>
      <c r="S336" t="inlineStr">
        <is>
          <t>Investment Grade</t>
        </is>
      </c>
      <c r="T336" t="inlineStr">
        <is>
          <t>BBB</t>
        </is>
      </c>
      <c r="U336" t="inlineStr">
        <is>
          <t>BBB</t>
        </is>
      </c>
    </row>
    <row r="337">
      <c r="A337" t="inlineStr">
        <is>
          <t>CH1251998220</t>
        </is>
      </c>
      <c r="B337" t="inlineStr">
        <is>
          <t>Hold</t>
        </is>
      </c>
      <c r="C337" t="inlineStr">
        <is>
          <t>Grande Dixence</t>
        </is>
      </c>
      <c r="D337" t="n">
        <v>2.35</v>
      </c>
      <c r="E337" t="inlineStr">
        <is>
          <t>Sr Unsecured</t>
        </is>
      </c>
      <c r="F337" t="inlineStr">
        <is>
          <t>06.06.2030</t>
        </is>
      </c>
      <c r="G337" t="inlineStr">
        <is>
          <t>Switzerland</t>
        </is>
      </c>
      <c r="H337" t="inlineStr">
        <is>
          <t>Utilities</t>
        </is>
      </c>
      <c r="I337" t="n">
        <v>5</v>
      </c>
      <c r="J337" t="n">
        <v>106.636</v>
      </c>
      <c r="K337" t="n">
        <v>0.959166</v>
      </c>
      <c r="L337" t="n">
        <v>0.026474</v>
      </c>
      <c r="M337" t="n">
        <v>0.154214</v>
      </c>
      <c r="N337" t="n">
        <v>83.34578442999999</v>
      </c>
      <c r="O337" t="n">
        <v>4.907308811</v>
      </c>
      <c r="P337" t="n">
        <v>0</v>
      </c>
      <c r="Q337" t="inlineStr">
        <is>
          <t>provides hydroelectric power generation services through several dams in Switzerland</t>
        </is>
      </c>
      <c r="R337" t="inlineStr">
        <is>
          <t>CHF</t>
        </is>
      </c>
      <c r="S337" t="inlineStr">
        <is>
          <t>Investment Grade</t>
        </is>
      </c>
      <c r="T337" t="inlineStr">
        <is>
          <t>#N/A N/A</t>
        </is>
      </c>
      <c r="U337" t="inlineStr">
        <is>
          <t>#N/A N/A</t>
        </is>
      </c>
    </row>
    <row r="338">
      <c r="A338" t="inlineStr">
        <is>
          <t>FR0014004EF7</t>
        </is>
      </c>
      <c r="B338" t="inlineStr">
        <is>
          <t xml:space="preserve">Hold </t>
        </is>
      </c>
      <c r="C338" t="inlineStr">
        <is>
          <t>Caisse Nat Reassurance</t>
        </is>
      </c>
      <c r="D338" t="n">
        <v>0.75</v>
      </c>
      <c r="E338" t="inlineStr">
        <is>
          <t>Subordinated</t>
        </is>
      </c>
      <c r="F338" t="inlineStr">
        <is>
          <t>07.07.2028</t>
        </is>
      </c>
      <c r="G338" t="inlineStr">
        <is>
          <t>France</t>
        </is>
      </c>
      <c r="H338" t="inlineStr">
        <is>
          <t>Financial</t>
        </is>
      </c>
      <c r="I338" t="n">
        <v>100</v>
      </c>
      <c r="J338" t="n">
        <v>94.129</v>
      </c>
      <c r="K338" t="n">
        <v>2.821539</v>
      </c>
      <c r="L338" t="n">
        <v>-0.086613</v>
      </c>
      <c r="M338" t="n">
        <v>-0.110166</v>
      </c>
      <c r="N338" t="n">
        <v>83.13274557</v>
      </c>
      <c r="O338" t="n">
        <v>3.218333743</v>
      </c>
      <c r="P338" t="n">
        <v>75</v>
      </c>
      <c r="Q338" t="inlineStr">
        <is>
          <t>French Global Insurer</t>
        </is>
      </c>
      <c r="R338" t="inlineStr">
        <is>
          <t>EUR</t>
        </is>
      </c>
      <c r="S338" t="inlineStr">
        <is>
          <t>Investment Grade</t>
        </is>
      </c>
      <c r="T338" t="inlineStr">
        <is>
          <t>NR</t>
        </is>
      </c>
      <c r="U338" t="inlineStr">
        <is>
          <t>NR</t>
        </is>
      </c>
    </row>
    <row r="339">
      <c r="A339" t="inlineStr">
        <is>
          <t>CH1242301286</t>
        </is>
      </c>
      <c r="B339" t="inlineStr">
        <is>
          <t>Hold</t>
        </is>
      </c>
      <c r="C339" t="inlineStr">
        <is>
          <t>Swiss Life Holding Ag</t>
        </is>
      </c>
      <c r="D339" t="n">
        <v>2.61</v>
      </c>
      <c r="E339" t="inlineStr">
        <is>
          <t>Sr Unsecured</t>
        </is>
      </c>
      <c r="F339" t="inlineStr">
        <is>
          <t>26.01.2032</t>
        </is>
      </c>
      <c r="G339" t="inlineStr">
        <is>
          <t>Switzerland</t>
        </is>
      </c>
      <c r="H339" t="inlineStr">
        <is>
          <t>Financial</t>
        </is>
      </c>
      <c r="I339" t="n">
        <v>5</v>
      </c>
      <c r="J339" t="n">
        <v>109.381</v>
      </c>
      <c r="K339" t="n">
        <v>1.061798</v>
      </c>
      <c r="L339" t="n">
        <v>0.060661</v>
      </c>
      <c r="M339" t="n">
        <v>0.227674</v>
      </c>
      <c r="N339" t="n">
        <v>83.08670931</v>
      </c>
      <c r="O339" t="n">
        <v>6.156074548</v>
      </c>
      <c r="P339" t="n">
        <v>80</v>
      </c>
      <c r="Q339" t="inlineStr">
        <is>
          <t>Provides life and property insurance</t>
        </is>
      </c>
      <c r="R339" t="inlineStr">
        <is>
          <t>CHF</t>
        </is>
      </c>
      <c r="S339" t="inlineStr">
        <is>
          <t>Investment Grade</t>
        </is>
      </c>
      <c r="T339" t="inlineStr">
        <is>
          <t>NR</t>
        </is>
      </c>
      <c r="U339" t="inlineStr">
        <is>
          <t>NR</t>
        </is>
      </c>
    </row>
    <row r="340">
      <c r="A340" t="inlineStr">
        <is>
          <t>XS2328823104</t>
        </is>
      </c>
      <c r="B340" t="inlineStr">
        <is>
          <t>Top Pick</t>
        </is>
      </c>
      <c r="C340" t="inlineStr">
        <is>
          <t>Heathrow Funding Ltd</t>
        </is>
      </c>
      <c r="D340" t="n">
        <v>1.125</v>
      </c>
      <c r="E340" t="inlineStr">
        <is>
          <t>1St Lien</t>
        </is>
      </c>
      <c r="F340" t="inlineStr">
        <is>
          <t>08.10.2030</t>
        </is>
      </c>
      <c r="G340" t="inlineStr">
        <is>
          <t>United Kingdom</t>
        </is>
      </c>
      <c r="H340" t="inlineStr">
        <is>
          <t>Industrial</t>
        </is>
      </c>
      <c r="I340" t="n">
        <v>100</v>
      </c>
      <c r="J340" t="n">
        <v>90.20999999999999</v>
      </c>
      <c r="K340" t="n">
        <v>3.178651</v>
      </c>
      <c r="L340" t="n">
        <v>-0.103663</v>
      </c>
      <c r="M340" t="n">
        <v>-0.089014</v>
      </c>
      <c r="N340" t="n">
        <v>83.00287944999999</v>
      </c>
      <c r="O340" t="n">
        <v>5.268602733</v>
      </c>
      <c r="P340" t="n">
        <v>60</v>
      </c>
      <c r="Q340" t="inlineStr">
        <is>
          <t>UK's largest airport</t>
        </is>
      </c>
      <c r="R340" t="inlineStr">
        <is>
          <t>EUR</t>
        </is>
      </c>
      <c r="S340" t="inlineStr">
        <is>
          <t>Investment Grade</t>
        </is>
      </c>
      <c r="T340" t="inlineStr">
        <is>
          <t>BBB+</t>
        </is>
      </c>
      <c r="U340" t="inlineStr">
        <is>
          <t>BBB+</t>
        </is>
      </c>
    </row>
    <row r="341">
      <c r="A341" t="inlineStr">
        <is>
          <t>US37045XEH52</t>
        </is>
      </c>
      <c r="B341" t="inlineStr">
        <is>
          <t xml:space="preserve">Hold </t>
        </is>
      </c>
      <c r="C341" t="inlineStr">
        <is>
          <t>General Motors Finl Co</t>
        </is>
      </c>
      <c r="D341" t="n">
        <v>5.8</v>
      </c>
      <c r="E341" t="inlineStr">
        <is>
          <t>Sr Unsecured</t>
        </is>
      </c>
      <c r="F341" t="inlineStr">
        <is>
          <t>23.06.2028</t>
        </is>
      </c>
      <c r="G341" t="inlineStr">
        <is>
          <t>United states</t>
        </is>
      </c>
      <c r="H341" t="inlineStr">
        <is>
          <t>Consumer, Cyclical</t>
        </is>
      </c>
      <c r="I341" t="n">
        <v>2</v>
      </c>
      <c r="J341" t="n">
        <v>103.019</v>
      </c>
      <c r="K341" t="n">
        <v>4.666292</v>
      </c>
      <c r="L341" t="n">
        <v>-0.069421</v>
      </c>
      <c r="M341" t="n">
        <v>-0.367617</v>
      </c>
      <c r="N341" t="n">
        <v>82.91130661</v>
      </c>
      <c r="O341" t="n">
        <v>2.915605025</v>
      </c>
      <c r="P341" t="n">
        <v>0</v>
      </c>
      <c r="Q341" t="inlineStr">
        <is>
          <t>World's third largest automaker owning Chevrolet, Buick and Cadillac</t>
        </is>
      </c>
      <c r="R341" t="inlineStr">
        <is>
          <t>USD</t>
        </is>
      </c>
      <c r="S341" t="inlineStr">
        <is>
          <t>Investment Grade</t>
        </is>
      </c>
      <c r="T341" t="inlineStr">
        <is>
          <t>BBB</t>
        </is>
      </c>
      <c r="U341" t="inlineStr">
        <is>
          <t>BBB</t>
        </is>
      </c>
    </row>
    <row r="342">
      <c r="A342" t="inlineStr">
        <is>
          <t>CH0469273541</t>
        </is>
      </c>
      <c r="B342" t="inlineStr">
        <is>
          <t>Hold</t>
        </is>
      </c>
      <c r="C342" t="inlineStr">
        <is>
          <t>Clariant Ag</t>
        </is>
      </c>
      <c r="D342" t="n">
        <v>1.125</v>
      </c>
      <c r="E342" t="inlineStr">
        <is>
          <t>Sr Unsecured</t>
        </is>
      </c>
      <c r="F342" t="inlineStr">
        <is>
          <t>15.04.2026</t>
        </is>
      </c>
      <c r="G342" t="inlineStr">
        <is>
          <t>Switzerland</t>
        </is>
      </c>
      <c r="H342" t="inlineStr">
        <is>
          <t>Basic Materials</t>
        </is>
      </c>
      <c r="I342" t="n">
        <v>5</v>
      </c>
      <c r="J342" t="n">
        <v>100.28</v>
      </c>
      <c r="K342" t="n">
        <v>0.755695</v>
      </c>
      <c r="L342" t="n">
        <v>-0.042687</v>
      </c>
      <c r="M342" t="n">
        <v>0.09457699999999999</v>
      </c>
      <c r="N342" t="n">
        <v>82.885982</v>
      </c>
      <c r="O342" t="n">
        <v>1.119485267</v>
      </c>
      <c r="P342" t="n">
        <v>80</v>
      </c>
      <c r="Q342" t="inlineStr">
        <is>
          <t>Global specialty chemicals company</t>
        </is>
      </c>
      <c r="R342" t="inlineStr">
        <is>
          <t>CHF</t>
        </is>
      </c>
      <c r="S342" t="inlineStr">
        <is>
          <t>Investment Grade</t>
        </is>
      </c>
      <c r="T342" t="inlineStr">
        <is>
          <t>NR</t>
        </is>
      </c>
      <c r="U342" t="inlineStr">
        <is>
          <t>NR</t>
        </is>
      </c>
    </row>
    <row r="343">
      <c r="A343" t="inlineStr">
        <is>
          <t>CH1251030123</t>
        </is>
      </c>
      <c r="B343" t="inlineStr">
        <is>
          <t>Top Pick</t>
        </is>
      </c>
      <c r="C343" t="inlineStr">
        <is>
          <t>Alpiq Holding Ag</t>
        </is>
      </c>
      <c r="D343" t="n">
        <v>3.125</v>
      </c>
      <c r="E343" t="inlineStr">
        <is>
          <t>Sr Unsecured</t>
        </is>
      </c>
      <c r="F343" t="inlineStr">
        <is>
          <t>29.04.2027</t>
        </is>
      </c>
      <c r="G343" t="inlineStr">
        <is>
          <t>Switzerland</t>
        </is>
      </c>
      <c r="H343" t="inlineStr">
        <is>
          <t>Utilities</t>
        </is>
      </c>
      <c r="I343" t="n">
        <v>5</v>
      </c>
      <c r="J343" t="n">
        <v>104.229</v>
      </c>
      <c r="K343" t="n">
        <v>0.75713</v>
      </c>
      <c r="L343" t="n">
        <v>0.015018</v>
      </c>
      <c r="M343" t="n">
        <v>0.124577</v>
      </c>
      <c r="N343" t="n">
        <v>82.81557191</v>
      </c>
      <c r="O343" t="n">
        <v>2.071860631</v>
      </c>
      <c r="P343" t="n">
        <v>0</v>
      </c>
      <c r="Q343" t="inlineStr">
        <is>
          <t>Generates, transmits and distributes electricity throughout Europe</t>
        </is>
      </c>
      <c r="R343" t="inlineStr">
        <is>
          <t>CHF</t>
        </is>
      </c>
      <c r="S343" t="inlineStr">
        <is>
          <t>High Yield</t>
        </is>
      </c>
      <c r="T343" t="inlineStr">
        <is>
          <t>#N/A N/A</t>
        </is>
      </c>
      <c r="U343" t="inlineStr">
        <is>
          <t>#N/A N/A</t>
        </is>
      </c>
    </row>
    <row r="344">
      <c r="A344" t="inlineStr">
        <is>
          <t>US30216KAF93</t>
        </is>
      </c>
      <c r="B344" t="inlineStr">
        <is>
          <t>Top pick</t>
        </is>
      </c>
      <c r="C344" t="inlineStr">
        <is>
          <t>Export-Import Bk India</t>
        </is>
      </c>
      <c r="D344" t="n">
        <v>2.25</v>
      </c>
      <c r="E344" t="inlineStr">
        <is>
          <t>Sr Unsecured</t>
        </is>
      </c>
      <c r="F344" t="inlineStr">
        <is>
          <t>13.01.2031</t>
        </is>
      </c>
      <c r="G344" t="inlineStr">
        <is>
          <t>India</t>
        </is>
      </c>
      <c r="H344" t="inlineStr">
        <is>
          <t>Government</t>
        </is>
      </c>
      <c r="I344" t="n">
        <v>200</v>
      </c>
      <c r="J344" t="n">
        <v>87.66800000000001</v>
      </c>
      <c r="K344" t="n">
        <v>4.823882</v>
      </c>
      <c r="L344" t="n">
        <v>0.093268</v>
      </c>
      <c r="M344" t="n">
        <v>-0.102625</v>
      </c>
      <c r="N344" t="n">
        <v>82.77270905</v>
      </c>
      <c r="O344" t="n">
        <v>5.36395529</v>
      </c>
      <c r="P344" t="n">
        <v>60</v>
      </c>
      <c r="Q344" t="inlineStr">
        <is>
          <t>Operates as a bank to exporters and importers, 100% state-owned</t>
        </is>
      </c>
      <c r="R344" t="inlineStr">
        <is>
          <t>USD</t>
        </is>
      </c>
      <c r="S344" t="inlineStr">
        <is>
          <t>Investment Grade</t>
        </is>
      </c>
      <c r="T344" t="inlineStr">
        <is>
          <t>BBB-</t>
        </is>
      </c>
      <c r="U344" t="inlineStr">
        <is>
          <t>BBB-</t>
        </is>
      </c>
    </row>
    <row r="345">
      <c r="A345" t="inlineStr">
        <is>
          <t>FR001400FDB0</t>
        </is>
      </c>
      <c r="B345" t="inlineStr">
        <is>
          <t>Hold</t>
        </is>
      </c>
      <c r="C345" t="inlineStr">
        <is>
          <t>Electricite De France Sa</t>
        </is>
      </c>
      <c r="D345" t="n">
        <v>4.25</v>
      </c>
      <c r="E345" t="inlineStr">
        <is>
          <t>Sr Unsecured</t>
        </is>
      </c>
      <c r="F345" t="inlineStr">
        <is>
          <t>25.01.2032</t>
        </is>
      </c>
      <c r="G345" t="inlineStr">
        <is>
          <t>France</t>
        </is>
      </c>
      <c r="H345" t="inlineStr">
        <is>
          <t>Utilities</t>
        </is>
      </c>
      <c r="I345" t="n">
        <v>100</v>
      </c>
      <c r="J345" t="n">
        <v>105.172</v>
      </c>
      <c r="K345" t="n">
        <v>3.324923</v>
      </c>
      <c r="L345" t="n">
        <v>-0.058748</v>
      </c>
      <c r="M345" t="n">
        <v>0.03679</v>
      </c>
      <c r="N345" t="n">
        <v>82.51381369000001</v>
      </c>
      <c r="O345" t="n">
        <v>5.75229812</v>
      </c>
      <c r="P345" t="n">
        <v>60</v>
      </c>
      <c r="Q345" t="inlineStr">
        <is>
          <t>French utility company fully owned by the State</t>
        </is>
      </c>
      <c r="R345" t="inlineStr">
        <is>
          <t>EUR</t>
        </is>
      </c>
      <c r="S345" t="inlineStr">
        <is>
          <t>Investment Grade</t>
        </is>
      </c>
      <c r="T345" t="inlineStr">
        <is>
          <t>BBB</t>
        </is>
      </c>
      <c r="U345" t="inlineStr">
        <is>
          <t>BBB</t>
        </is>
      </c>
    </row>
    <row r="346">
      <c r="A346" t="inlineStr">
        <is>
          <t>XS2583205906</t>
        </is>
      </c>
      <c r="B346" t="inlineStr">
        <is>
          <t>Top Pick</t>
        </is>
      </c>
      <c r="C346" t="inlineStr">
        <is>
          <t>A2A Spa</t>
        </is>
      </c>
      <c r="D346" t="n">
        <v>4.375</v>
      </c>
      <c r="E346" t="inlineStr">
        <is>
          <t>Sr Unsecured</t>
        </is>
      </c>
      <c r="F346" t="inlineStr">
        <is>
          <t>03.02.2034</t>
        </is>
      </c>
      <c r="G346" t="inlineStr">
        <is>
          <t>Italy</t>
        </is>
      </c>
      <c r="H346" t="inlineStr">
        <is>
          <t>Utilities</t>
        </is>
      </c>
      <c r="I346" t="n">
        <v>100</v>
      </c>
      <c r="J346" t="n">
        <v>105.979</v>
      </c>
      <c r="K346" t="n">
        <v>3.532035</v>
      </c>
      <c r="L346" t="n">
        <v>-0.047044</v>
      </c>
      <c r="M346" t="n">
        <v>-0.005365</v>
      </c>
      <c r="N346" t="n">
        <v>82.50326984</v>
      </c>
      <c r="O346" t="n">
        <v>7.182966273</v>
      </c>
      <c r="P346" t="n">
        <v>60</v>
      </c>
      <c r="Q346" t="inlineStr">
        <is>
          <t>Italian diversified utility in electricity, renewables, gas, water, waste management</t>
        </is>
      </c>
      <c r="R346" t="inlineStr">
        <is>
          <t>EUR</t>
        </is>
      </c>
      <c r="S346" t="inlineStr">
        <is>
          <t>Investment Grade</t>
        </is>
      </c>
      <c r="T346" t="inlineStr">
        <is>
          <t>BBB</t>
        </is>
      </c>
      <c r="U346" t="inlineStr">
        <is>
          <t>BBB</t>
        </is>
      </c>
    </row>
    <row r="347">
      <c r="A347" t="inlineStr">
        <is>
          <t>XS2441259137</t>
        </is>
      </c>
      <c r="B347" t="inlineStr">
        <is>
          <t>Hold</t>
        </is>
      </c>
      <c r="C347" t="inlineStr">
        <is>
          <t>Sage Group Plc (The)</t>
        </is>
      </c>
      <c r="D347" t="n">
        <v>2.875</v>
      </c>
      <c r="E347" t="inlineStr">
        <is>
          <t>Sr Unsecured</t>
        </is>
      </c>
      <c r="F347" t="inlineStr">
        <is>
          <t>08.02.2034</t>
        </is>
      </c>
      <c r="G347" t="inlineStr">
        <is>
          <t>United Kingdom</t>
        </is>
      </c>
      <c r="H347" t="inlineStr">
        <is>
          <t>Technology</t>
        </is>
      </c>
      <c r="I347" t="n">
        <v>100</v>
      </c>
      <c r="J347" t="n">
        <v>83.749</v>
      </c>
      <c r="K347" t="n">
        <v>5.207217</v>
      </c>
      <c r="L347" t="n">
        <v>0.019942</v>
      </c>
      <c r="M347" t="n">
        <v>-0.193511</v>
      </c>
      <c r="N347" t="n">
        <v>81.94304049</v>
      </c>
      <c r="O347" t="n">
        <v>7.482140128</v>
      </c>
      <c r="P347" t="n">
        <v>50</v>
      </c>
      <c r="Q347" t="inlineStr">
        <is>
          <t>Software publishing company</t>
        </is>
      </c>
      <c r="R347" t="inlineStr">
        <is>
          <t>GBP</t>
        </is>
      </c>
      <c r="S347" t="inlineStr">
        <is>
          <t>Investment Grade</t>
        </is>
      </c>
      <c r="T347" t="inlineStr">
        <is>
          <t>NR</t>
        </is>
      </c>
      <c r="U347" t="inlineStr">
        <is>
          <t>NR</t>
        </is>
      </c>
    </row>
    <row r="348">
      <c r="A348" t="inlineStr">
        <is>
          <t>FR001400KHH8</t>
        </is>
      </c>
      <c r="B348" t="inlineStr">
        <is>
          <t>Hold</t>
        </is>
      </c>
      <c r="C348" t="inlineStr">
        <is>
          <t>Engie Sa</t>
        </is>
      </c>
      <c r="D348" t="n">
        <v>4.25</v>
      </c>
      <c r="E348" t="inlineStr">
        <is>
          <t>Sr Unsecured</t>
        </is>
      </c>
      <c r="F348" t="inlineStr">
        <is>
          <t>06.09.2034</t>
        </is>
      </c>
      <c r="G348" t="inlineStr">
        <is>
          <t>France</t>
        </is>
      </c>
      <c r="H348" t="inlineStr">
        <is>
          <t>Utilities</t>
        </is>
      </c>
      <c r="I348" t="n">
        <v>100</v>
      </c>
      <c r="J348" t="n">
        <v>104.971</v>
      </c>
      <c r="K348" t="n">
        <v>3.588477</v>
      </c>
      <c r="L348" t="n">
        <v>-0.007347</v>
      </c>
      <c r="M348" t="n">
        <v>-0.007195</v>
      </c>
      <c r="N348" t="n">
        <v>81.83399799</v>
      </c>
      <c r="O348" t="n">
        <v>7.50125899</v>
      </c>
      <c r="P348" t="n">
        <v>60</v>
      </c>
      <c r="Q348" t="inlineStr">
        <is>
          <t xml:space="preserve">French utility company specialised in renewables </t>
        </is>
      </c>
      <c r="R348" t="inlineStr">
        <is>
          <t>EUR</t>
        </is>
      </c>
      <c r="S348" t="inlineStr">
        <is>
          <t>Investment Grade</t>
        </is>
      </c>
      <c r="T348" t="inlineStr">
        <is>
          <t>BBB+</t>
        </is>
      </c>
      <c r="U348" t="inlineStr">
        <is>
          <t>BBB+</t>
        </is>
      </c>
    </row>
    <row r="349">
      <c r="A349" t="inlineStr">
        <is>
          <t>XS1199954691</t>
        </is>
      </c>
      <c r="B349" t="inlineStr">
        <is>
          <t>Hold</t>
        </is>
      </c>
      <c r="C349" t="inlineStr">
        <is>
          <t>Syngenta Finance Nv</t>
        </is>
      </c>
      <c r="D349" t="n">
        <v>1.25</v>
      </c>
      <c r="E349" t="inlineStr">
        <is>
          <t>Sr Unsecured</t>
        </is>
      </c>
      <c r="F349" t="inlineStr">
        <is>
          <t>10.09.2027</t>
        </is>
      </c>
      <c r="G349" t="inlineStr">
        <is>
          <t>Switzerland</t>
        </is>
      </c>
      <c r="H349" t="inlineStr">
        <is>
          <t>Basic Materials</t>
        </is>
      </c>
      <c r="I349" t="n">
        <v>100</v>
      </c>
      <c r="J349" t="n">
        <v>96.944</v>
      </c>
      <c r="K349" t="n">
        <v>2.716384</v>
      </c>
      <c r="L349" t="n">
        <v>0.029574</v>
      </c>
      <c r="M349" t="n">
        <v>0.092706</v>
      </c>
      <c r="N349" t="n">
        <v>81.82507443</v>
      </c>
      <c r="O349" t="n">
        <v>2.432667999</v>
      </c>
      <c r="P349" t="n">
        <v>25</v>
      </c>
      <c r="Q349" t="inlineStr">
        <is>
          <t>Swiss producer of crop protection products and seeds</t>
        </is>
      </c>
      <c r="R349" t="inlineStr">
        <is>
          <t>EUR</t>
        </is>
      </c>
      <c r="S349" t="inlineStr">
        <is>
          <t>Investment Grade</t>
        </is>
      </c>
      <c r="T349" t="inlineStr">
        <is>
          <t>BBB-</t>
        </is>
      </c>
      <c r="U349" t="inlineStr">
        <is>
          <t>BBB-</t>
        </is>
      </c>
    </row>
    <row r="350">
      <c r="A350" t="inlineStr">
        <is>
          <t>US05964HAN52</t>
        </is>
      </c>
      <c r="B350" t="inlineStr">
        <is>
          <t>Hold</t>
        </is>
      </c>
      <c r="C350" t="inlineStr">
        <is>
          <t>Banco Santander Sa</t>
        </is>
      </c>
      <c r="D350" t="n">
        <v>1.722</v>
      </c>
      <c r="E350" t="inlineStr">
        <is>
          <t>Sr Non Preferred</t>
        </is>
      </c>
      <c r="F350" t="inlineStr">
        <is>
          <t>14.09.2027</t>
        </is>
      </c>
      <c r="G350" t="inlineStr">
        <is>
          <t>Spain</t>
        </is>
      </c>
      <c r="H350" t="inlineStr">
        <is>
          <t>Financial</t>
        </is>
      </c>
      <c r="I350" t="n">
        <v>200</v>
      </c>
      <c r="J350" t="n">
        <v>96.602</v>
      </c>
      <c r="K350" t="n">
        <v>4.705842</v>
      </c>
      <c r="L350" t="n">
        <v>-0.001224</v>
      </c>
      <c r="M350" t="n">
        <v>-0.149207</v>
      </c>
      <c r="N350" t="n">
        <v>81.59335987</v>
      </c>
      <c r="O350" t="n">
        <v>1.500406583</v>
      </c>
      <c r="P350" t="n">
        <v>60</v>
      </c>
      <c r="Q350" t="inlineStr">
        <is>
          <t>Spain's largest banking group</t>
        </is>
      </c>
      <c r="R350" t="inlineStr">
        <is>
          <t>USD</t>
        </is>
      </c>
      <c r="S350" t="inlineStr">
        <is>
          <t>Investment Grade</t>
        </is>
      </c>
      <c r="T350" t="inlineStr">
        <is>
          <t>A-</t>
        </is>
      </c>
      <c r="U350" t="inlineStr">
        <is>
          <t>A-</t>
        </is>
      </c>
    </row>
    <row r="351">
      <c r="A351" t="inlineStr">
        <is>
          <t>USC10602BK23</t>
        </is>
      </c>
      <c r="B351" t="inlineStr">
        <is>
          <t>Hold</t>
        </is>
      </c>
      <c r="C351" t="inlineStr">
        <is>
          <t>Bombardier Inc</t>
        </is>
      </c>
      <c r="D351" t="n">
        <v>6</v>
      </c>
      <c r="E351" t="inlineStr">
        <is>
          <t>Sr Unsecured</t>
        </is>
      </c>
      <c r="F351" t="inlineStr">
        <is>
          <t>15.02.2028</t>
        </is>
      </c>
      <c r="G351" t="inlineStr">
        <is>
          <t>Canada</t>
        </is>
      </c>
      <c r="H351" t="inlineStr">
        <is>
          <t>Industrial</t>
        </is>
      </c>
      <c r="I351" t="n">
        <v>2</v>
      </c>
      <c r="J351" t="n">
        <v>100.487</v>
      </c>
      <c r="K351" t="n">
        <v>5.157557</v>
      </c>
      <c r="L351" t="n">
        <v>0.112285</v>
      </c>
      <c r="M351" t="n">
        <v>-0.530133</v>
      </c>
      <c r="N351" t="n">
        <v>81.52687856</v>
      </c>
      <c r="O351" t="n">
        <v>0.941721147</v>
      </c>
      <c r="P351" t="n">
        <v>25</v>
      </c>
      <c r="Q351" t="inlineStr">
        <is>
          <t>A manufacturer of both planes and trains</t>
        </is>
      </c>
      <c r="R351" t="inlineStr">
        <is>
          <t>USD</t>
        </is>
      </c>
      <c r="S351" t="inlineStr">
        <is>
          <t>High Yield</t>
        </is>
      </c>
      <c r="T351" t="inlineStr">
        <is>
          <t>B+</t>
        </is>
      </c>
      <c r="U351" t="inlineStr">
        <is>
          <t>B+</t>
        </is>
      </c>
    </row>
    <row r="352">
      <c r="A352" t="inlineStr">
        <is>
          <t>CH1232107180</t>
        </is>
      </c>
      <c r="B352" t="inlineStr">
        <is>
          <t>Hold</t>
        </is>
      </c>
      <c r="C352" t="inlineStr">
        <is>
          <t>Baloise Holding Ag</t>
        </is>
      </c>
      <c r="D352" t="n">
        <v>2.2</v>
      </c>
      <c r="E352" t="inlineStr">
        <is>
          <t>Sr Unsecured</t>
        </is>
      </c>
      <c r="F352" t="inlineStr">
        <is>
          <t>30.01.2032</t>
        </is>
      </c>
      <c r="G352" t="inlineStr">
        <is>
          <t>Switzerland</t>
        </is>
      </c>
      <c r="H352" t="inlineStr">
        <is>
          <t>Financial</t>
        </is>
      </c>
      <c r="I352" t="n">
        <v>5</v>
      </c>
      <c r="J352" t="n">
        <v>106.993</v>
      </c>
      <c r="K352" t="n">
        <v>1.048549</v>
      </c>
      <c r="L352" t="n">
        <v>0.036905</v>
      </c>
      <c r="M352" t="n">
        <v>0.201683</v>
      </c>
      <c r="N352" t="n">
        <v>81.44918978</v>
      </c>
      <c r="O352" t="n">
        <v>6.226347443</v>
      </c>
      <c r="P352" t="n">
        <v>80</v>
      </c>
      <c r="Q352" t="inlineStr">
        <is>
          <t xml:space="preserve">Offers group and individual life, health, accident, liability property, and transportation insurance </t>
        </is>
      </c>
      <c r="R352" t="inlineStr">
        <is>
          <t>CHF</t>
        </is>
      </c>
      <c r="S352" t="inlineStr">
        <is>
          <t>Investment Grade</t>
        </is>
      </c>
      <c r="T352" t="inlineStr">
        <is>
          <t>#N/A N/A</t>
        </is>
      </c>
      <c r="U352" t="inlineStr">
        <is>
          <t>#N/A N/A</t>
        </is>
      </c>
    </row>
    <row r="353">
      <c r="A353" t="inlineStr">
        <is>
          <t>CH1227937708</t>
        </is>
      </c>
      <c r="B353" t="inlineStr">
        <is>
          <t>Hold</t>
        </is>
      </c>
      <c r="C353" t="inlineStr">
        <is>
          <t>E.On Se</t>
        </is>
      </c>
      <c r="D353" t="n">
        <v>2.5025</v>
      </c>
      <c r="E353" t="inlineStr">
        <is>
          <t>Sr Unsecured</t>
        </is>
      </c>
      <c r="F353" t="inlineStr">
        <is>
          <t>05.12.2029</t>
        </is>
      </c>
      <c r="G353" t="inlineStr">
        <is>
          <t>Germany</t>
        </is>
      </c>
      <c r="H353" t="inlineStr">
        <is>
          <t>Utilities</t>
        </is>
      </c>
      <c r="I353" t="n">
        <v>5</v>
      </c>
      <c r="J353" t="n">
        <v>106.842</v>
      </c>
      <c r="K353" t="n">
        <v>0.909968</v>
      </c>
      <c r="L353" t="n">
        <v>0.023258</v>
      </c>
      <c r="M353" t="n">
        <v>0.185193</v>
      </c>
      <c r="N353" t="n">
        <v>81.22160119</v>
      </c>
      <c r="O353" t="n">
        <v>4.507264457</v>
      </c>
      <c r="P353" t="n">
        <v>85</v>
      </c>
      <c r="Q353" t="inlineStr">
        <is>
          <t>One of the Europe's largest operators of energy networks and energy infrastructure</t>
        </is>
      </c>
      <c r="R353" t="inlineStr">
        <is>
          <t>CHF</t>
        </is>
      </c>
      <c r="S353" t="inlineStr">
        <is>
          <t>Investment Grade</t>
        </is>
      </c>
      <c r="T353" t="inlineStr">
        <is>
          <t>BBB+</t>
        </is>
      </c>
      <c r="U353" t="inlineStr">
        <is>
          <t>BBB+</t>
        </is>
      </c>
    </row>
    <row r="354">
      <c r="A354" t="inlineStr">
        <is>
          <t>CH1243651929</t>
        </is>
      </c>
      <c r="B354" t="inlineStr">
        <is>
          <t>Hold</t>
        </is>
      </c>
      <c r="C354" t="inlineStr">
        <is>
          <t>Lgt Bank Ag</t>
        </is>
      </c>
      <c r="D354" t="n">
        <v>2.5</v>
      </c>
      <c r="E354" t="inlineStr">
        <is>
          <t>Sr Preferred</t>
        </is>
      </c>
      <c r="F354" t="inlineStr">
        <is>
          <t>28.02.2033</t>
        </is>
      </c>
      <c r="G354" t="inlineStr">
        <is>
          <t>Liechtenstein</t>
        </is>
      </c>
      <c r="H354" t="inlineStr">
        <is>
          <t>Financial</t>
        </is>
      </c>
      <c r="I354" t="n">
        <v>5</v>
      </c>
      <c r="J354" t="n">
        <v>110.26</v>
      </c>
      <c r="K354" t="n">
        <v>1.092775</v>
      </c>
      <c r="L354" t="n">
        <v>0.043083</v>
      </c>
      <c r="M354" t="n">
        <v>0.208167</v>
      </c>
      <c r="N354" t="n">
        <v>80.88592718</v>
      </c>
      <c r="O354" t="n">
        <v>7.151630393</v>
      </c>
      <c r="P354" t="n">
        <v>80</v>
      </c>
      <c r="Q354" t="inlineStr">
        <is>
          <t xml:space="preserve">Operates as a bank, serving customers worlwide. </t>
        </is>
      </c>
      <c r="R354" t="inlineStr">
        <is>
          <t>CHF</t>
        </is>
      </c>
      <c r="S354" t="inlineStr">
        <is>
          <t>Investment Grade</t>
        </is>
      </c>
      <c r="T354" t="inlineStr">
        <is>
          <t>A+</t>
        </is>
      </c>
      <c r="U354" t="inlineStr">
        <is>
          <t>A+</t>
        </is>
      </c>
    </row>
    <row r="355">
      <c r="A355" t="inlineStr">
        <is>
          <t>US30216KAE29</t>
        </is>
      </c>
      <c r="B355" t="inlineStr">
        <is>
          <t>Hold</t>
        </is>
      </c>
      <c r="C355" t="inlineStr">
        <is>
          <t>Export-Import Bk India</t>
        </is>
      </c>
      <c r="D355" t="n">
        <v>3.25</v>
      </c>
      <c r="E355" t="inlineStr">
        <is>
          <t>Sr Unsecured</t>
        </is>
      </c>
      <c r="F355" t="inlineStr">
        <is>
          <t>15.01.2030</t>
        </is>
      </c>
      <c r="G355" t="inlineStr">
        <is>
          <t>India</t>
        </is>
      </c>
      <c r="H355" t="inlineStr">
        <is>
          <t>Government</t>
        </is>
      </c>
      <c r="I355" t="n">
        <v>200</v>
      </c>
      <c r="J355" t="n">
        <v>94.072</v>
      </c>
      <c r="K355" t="n">
        <v>4.721782</v>
      </c>
      <c r="L355" t="n">
        <v>0.031719</v>
      </c>
      <c r="M355" t="n">
        <v>-0.166667</v>
      </c>
      <c r="N355" t="n">
        <v>80.85136016</v>
      </c>
      <c r="O355" t="n">
        <v>4.422402116</v>
      </c>
      <c r="P355" t="n">
        <v>85</v>
      </c>
      <c r="Q355" t="inlineStr">
        <is>
          <t>Operates as a bank to exporters and importers, 100% state-owned</t>
        </is>
      </c>
      <c r="R355" t="inlineStr">
        <is>
          <t>USD</t>
        </is>
      </c>
      <c r="S355" t="inlineStr">
        <is>
          <t>Investment Grade</t>
        </is>
      </c>
      <c r="T355" t="inlineStr">
        <is>
          <t>BBB-</t>
        </is>
      </c>
      <c r="U355" t="inlineStr">
        <is>
          <t>BBB-</t>
        </is>
      </c>
    </row>
    <row r="356">
      <c r="A356" t="inlineStr">
        <is>
          <t>CH1142512347</t>
        </is>
      </c>
      <c r="B356" t="inlineStr">
        <is>
          <t>Hold</t>
        </is>
      </c>
      <c r="C356" t="inlineStr">
        <is>
          <t>Bnp Paribas</t>
        </is>
      </c>
      <c r="D356" t="n">
        <v>0.5275</v>
      </c>
      <c r="E356" t="inlineStr">
        <is>
          <t>Sr Non Preferred</t>
        </is>
      </c>
      <c r="F356" t="inlineStr">
        <is>
          <t>20.01.2028</t>
        </is>
      </c>
      <c r="G356" t="inlineStr">
        <is>
          <t>France</t>
        </is>
      </c>
      <c r="H356" t="inlineStr">
        <is>
          <t>Financial</t>
        </is>
      </c>
      <c r="I356" t="n">
        <v>200</v>
      </c>
      <c r="J356" t="n">
        <v>99.366</v>
      </c>
      <c r="K356" t="n">
        <v>0.781497</v>
      </c>
      <c r="L356" t="n">
        <v>0.002669</v>
      </c>
      <c r="M356" t="n">
        <v>0.06622699999999999</v>
      </c>
      <c r="N356" t="n">
        <v>80.84424224</v>
      </c>
      <c r="O356" t="n">
        <v>2.862147282</v>
      </c>
      <c r="P356" t="n">
        <v>80</v>
      </c>
      <c r="Q356" t="inlineStr">
        <is>
          <t>France's largest bank with a world leading position</t>
        </is>
      </c>
      <c r="R356" t="inlineStr">
        <is>
          <t>CHF</t>
        </is>
      </c>
      <c r="S356" t="inlineStr">
        <is>
          <t>Investment Grade</t>
        </is>
      </c>
      <c r="T356" t="inlineStr">
        <is>
          <t>A-</t>
        </is>
      </c>
      <c r="U356" t="inlineStr">
        <is>
          <t>A-</t>
        </is>
      </c>
    </row>
    <row r="357">
      <c r="A357" t="inlineStr">
        <is>
          <t>USP2205JAQ33</t>
        </is>
      </c>
      <c r="B357" t="inlineStr">
        <is>
          <t xml:space="preserve">Hold </t>
        </is>
      </c>
      <c r="C357" t="inlineStr">
        <is>
          <t>Cencosud Sa</t>
        </is>
      </c>
      <c r="D357" t="n">
        <v>4.375</v>
      </c>
      <c r="E357" t="inlineStr">
        <is>
          <t>Sr Unsecured</t>
        </is>
      </c>
      <c r="F357" t="inlineStr">
        <is>
          <t>17.07.2027</t>
        </is>
      </c>
      <c r="G357" t="inlineStr">
        <is>
          <t>Chile</t>
        </is>
      </c>
      <c r="H357" t="inlineStr">
        <is>
          <t>Consumer, Non-cyclical</t>
        </is>
      </c>
      <c r="I357" t="n">
        <v>200</v>
      </c>
      <c r="J357" t="n">
        <v>99.328</v>
      </c>
      <c r="K357" t="n">
        <v>4.726251</v>
      </c>
      <c r="L357" t="n">
        <v>-0.103003</v>
      </c>
      <c r="M357" t="n">
        <v>-0.20954</v>
      </c>
      <c r="N357" t="n">
        <v>80.7684696</v>
      </c>
      <c r="O357" t="n">
        <v>2.242237908</v>
      </c>
      <c r="P357" t="n">
        <v>0</v>
      </c>
      <c r="Q357" t="inlineStr">
        <is>
          <t xml:space="preserve">Food and non-food retailers </t>
        </is>
      </c>
      <c r="R357" t="inlineStr">
        <is>
          <t>USD</t>
        </is>
      </c>
      <c r="S357" t="inlineStr">
        <is>
          <t>Latin America</t>
        </is>
      </c>
      <c r="T357" t="inlineStr">
        <is>
          <t>BBB-</t>
        </is>
      </c>
      <c r="U357" t="inlineStr">
        <is>
          <t>BBB-</t>
        </is>
      </c>
    </row>
    <row r="358">
      <c r="A358" t="inlineStr">
        <is>
          <t>CH1371736831</t>
        </is>
      </c>
      <c r="B358" t="inlineStr">
        <is>
          <t>Hold</t>
        </is>
      </c>
      <c r="C358" t="inlineStr">
        <is>
          <t>Fed Caisses Desjardins</t>
        </is>
      </c>
      <c r="D358" t="n">
        <v>1.4875</v>
      </c>
      <c r="E358" t="inlineStr">
        <is>
          <t>Sr Unsecured</t>
        </is>
      </c>
      <c r="F358" t="inlineStr">
        <is>
          <t>11.09.2029</t>
        </is>
      </c>
      <c r="G358" t="inlineStr">
        <is>
          <t>Canada</t>
        </is>
      </c>
      <c r="H358" t="inlineStr">
        <is>
          <t>Financial</t>
        </is>
      </c>
      <c r="I358" t="n">
        <v>5</v>
      </c>
      <c r="J358" t="n">
        <v>102.432</v>
      </c>
      <c r="K358" t="n">
        <v>0.8908740000000001</v>
      </c>
      <c r="L358" t="n">
        <v>0.026339</v>
      </c>
      <c r="M358" t="n">
        <v>0.188597</v>
      </c>
      <c r="N358" t="n">
        <v>80.60453396</v>
      </c>
      <c r="O358" t="n">
        <v>4.362146329</v>
      </c>
      <c r="P358" t="n">
        <v>0</v>
      </c>
      <c r="Q358" t="inlineStr">
        <is>
          <t xml:space="preserve">Candian cooperative financial group </t>
        </is>
      </c>
      <c r="R358" t="inlineStr">
        <is>
          <t>CHF</t>
        </is>
      </c>
      <c r="S358" t="inlineStr">
        <is>
          <t>Investment Grade</t>
        </is>
      </c>
      <c r="T358" t="inlineStr">
        <is>
          <t>A</t>
        </is>
      </c>
      <c r="U358" t="inlineStr">
        <is>
          <t>A</t>
        </is>
      </c>
    </row>
    <row r="359">
      <c r="A359" t="inlineStr">
        <is>
          <t>FR0013518057</t>
        </is>
      </c>
      <c r="B359" t="inlineStr">
        <is>
          <t>Hold</t>
        </is>
      </c>
      <c r="C359" t="inlineStr">
        <is>
          <t>Societe Generale</t>
        </is>
      </c>
      <c r="D359" t="n">
        <v>1.25</v>
      </c>
      <c r="E359" t="inlineStr">
        <is>
          <t>Sr Non Preferred</t>
        </is>
      </c>
      <c r="F359" t="inlineStr">
        <is>
          <t>12.06.2030</t>
        </is>
      </c>
      <c r="G359" t="inlineStr">
        <is>
          <t>France</t>
        </is>
      </c>
      <c r="H359" t="inlineStr">
        <is>
          <t>Financial</t>
        </is>
      </c>
      <c r="I359" t="n">
        <v>100</v>
      </c>
      <c r="J359" t="n">
        <v>91.679</v>
      </c>
      <c r="K359" t="n">
        <v>3.096417</v>
      </c>
      <c r="L359" t="n">
        <v>-0.060332</v>
      </c>
      <c r="M359" t="n">
        <v>-0.145992</v>
      </c>
      <c r="N359" t="n">
        <v>80.41958102</v>
      </c>
      <c r="O359" t="n">
        <v>4.936566993</v>
      </c>
      <c r="P359" t="n">
        <v>60</v>
      </c>
      <c r="Q359" t="inlineStr">
        <is>
          <t>One of the largest banks in Europe</t>
        </is>
      </c>
      <c r="R359" t="inlineStr">
        <is>
          <t>EUR</t>
        </is>
      </c>
      <c r="S359" t="inlineStr">
        <is>
          <t>Investment Grade</t>
        </is>
      </c>
      <c r="T359" t="inlineStr">
        <is>
          <t>BBB</t>
        </is>
      </c>
      <c r="U359" t="inlineStr">
        <is>
          <t>BBB</t>
        </is>
      </c>
    </row>
    <row r="360">
      <c r="A360" t="inlineStr">
        <is>
          <t>XS2801963716</t>
        </is>
      </c>
      <c r="B360" t="inlineStr">
        <is>
          <t>Top Pick</t>
        </is>
      </c>
      <c r="C360" t="inlineStr">
        <is>
          <t>Jefferies Fin Group Inc</t>
        </is>
      </c>
      <c r="D360" t="n">
        <v>4</v>
      </c>
      <c r="E360" t="inlineStr">
        <is>
          <t>Sr Unsecured</t>
        </is>
      </c>
      <c r="F360" t="inlineStr">
        <is>
          <t>16.04.2029</t>
        </is>
      </c>
      <c r="G360" t="inlineStr">
        <is>
          <t>United states</t>
        </is>
      </c>
      <c r="H360" t="inlineStr">
        <is>
          <t>Financial</t>
        </is>
      </c>
      <c r="I360" t="n">
        <v>100</v>
      </c>
      <c r="J360" t="n">
        <v>103.802</v>
      </c>
      <c r="K360" t="n">
        <v>2.917485</v>
      </c>
      <c r="L360" t="n">
        <v>-0.059342</v>
      </c>
      <c r="M360" t="n">
        <v>-0.125767</v>
      </c>
      <c r="N360" t="n">
        <v>80.39695738</v>
      </c>
      <c r="O360" t="n">
        <v>3.661400272</v>
      </c>
      <c r="P360" t="n">
        <v>60</v>
      </c>
      <c r="Q360" t="inlineStr">
        <is>
          <t xml:space="preserve">US investment bank </t>
        </is>
      </c>
      <c r="R360" t="inlineStr">
        <is>
          <t>EUR</t>
        </is>
      </c>
      <c r="S360" t="inlineStr">
        <is>
          <t>Investment Grade</t>
        </is>
      </c>
      <c r="T360" t="inlineStr">
        <is>
          <t>BBB</t>
        </is>
      </c>
      <c r="U360" t="inlineStr">
        <is>
          <t>BBB</t>
        </is>
      </c>
    </row>
    <row r="361">
      <c r="A361" t="inlineStr">
        <is>
          <t>FR0014008NE2</t>
        </is>
      </c>
      <c r="B361" t="inlineStr">
        <is>
          <t xml:space="preserve">Hold </t>
        </is>
      </c>
      <c r="C361" t="inlineStr">
        <is>
          <t>Bnp Paribas</t>
        </is>
      </c>
      <c r="D361" t="n">
        <v>2.875</v>
      </c>
      <c r="E361" t="inlineStr">
        <is>
          <t>Sr Non Preferred</t>
        </is>
      </c>
      <c r="F361" t="inlineStr">
        <is>
          <t>24.02.2029</t>
        </is>
      </c>
      <c r="G361" t="inlineStr">
        <is>
          <t>France</t>
        </is>
      </c>
      <c r="H361" t="inlineStr">
        <is>
          <t>Financial</t>
        </is>
      </c>
      <c r="I361" t="n">
        <v>100</v>
      </c>
      <c r="J361" t="n">
        <v>94.164</v>
      </c>
      <c r="K361" t="n">
        <v>4.60222</v>
      </c>
      <c r="L361" t="n">
        <v>-0.048085</v>
      </c>
      <c r="M361" t="n">
        <v>-0.295346</v>
      </c>
      <c r="N361" t="n">
        <v>80.39259534999999</v>
      </c>
      <c r="O361" t="n">
        <v>3.64311789</v>
      </c>
      <c r="P361" t="n">
        <v>85</v>
      </c>
      <c r="Q361" t="inlineStr">
        <is>
          <t>France's largest bank with a world leading position</t>
        </is>
      </c>
      <c r="R361" t="inlineStr">
        <is>
          <t>GBP</t>
        </is>
      </c>
      <c r="S361" t="inlineStr">
        <is>
          <t>Investment Grade</t>
        </is>
      </c>
      <c r="T361" t="inlineStr">
        <is>
          <t>A-</t>
        </is>
      </c>
      <c r="U361" t="inlineStr">
        <is>
          <t>A-</t>
        </is>
      </c>
    </row>
    <row r="362">
      <c r="A362" t="inlineStr">
        <is>
          <t>US817565CE22</t>
        </is>
      </c>
      <c r="B362" t="inlineStr">
        <is>
          <t xml:space="preserve">Top Pick </t>
        </is>
      </c>
      <c r="C362" t="inlineStr">
        <is>
          <t>Service Corp Intl</t>
        </is>
      </c>
      <c r="D362" t="n">
        <v>5.125</v>
      </c>
      <c r="E362" t="inlineStr">
        <is>
          <t>Sr Unsecured</t>
        </is>
      </c>
      <c r="F362" t="inlineStr">
        <is>
          <t>01.06.2029</t>
        </is>
      </c>
      <c r="G362" t="inlineStr">
        <is>
          <t>United states</t>
        </is>
      </c>
      <c r="H362" t="inlineStr">
        <is>
          <t>Consumer, Non-cyclical</t>
        </is>
      </c>
      <c r="I362" t="n">
        <v>2</v>
      </c>
      <c r="J362" t="n">
        <v>99.91200000000001</v>
      </c>
      <c r="K362" t="n">
        <v>5.153418</v>
      </c>
      <c r="L362" t="n">
        <v>0.03072</v>
      </c>
      <c r="M362" t="n">
        <v>-0.116001</v>
      </c>
      <c r="N362" t="n">
        <v>80.35695805</v>
      </c>
      <c r="O362" t="n">
        <v>3.744823606</v>
      </c>
      <c r="P362" t="n">
        <v>0</v>
      </c>
      <c r="Q362" t="inlineStr">
        <is>
          <t>US leading funeral services provider</t>
        </is>
      </c>
      <c r="R362" t="inlineStr">
        <is>
          <t>USD</t>
        </is>
      </c>
      <c r="S362" t="inlineStr">
        <is>
          <t>High Yield</t>
        </is>
      </c>
      <c r="T362" t="inlineStr">
        <is>
          <t>BB-</t>
        </is>
      </c>
      <c r="U362" t="inlineStr">
        <is>
          <t>BB-</t>
        </is>
      </c>
    </row>
    <row r="363">
      <c r="A363" t="inlineStr">
        <is>
          <t>US92338CAF05</t>
        </is>
      </c>
      <c r="B363" t="inlineStr">
        <is>
          <t>Top Pick</t>
        </is>
      </c>
      <c r="C363" t="inlineStr">
        <is>
          <t>Veralto Corp</t>
        </is>
      </c>
      <c r="D363" t="n">
        <v>5.45</v>
      </c>
      <c r="E363" t="inlineStr">
        <is>
          <t>Sr Unsecured</t>
        </is>
      </c>
      <c r="F363" t="inlineStr">
        <is>
          <t>18.09.2033</t>
        </is>
      </c>
      <c r="G363" t="inlineStr">
        <is>
          <t>United states</t>
        </is>
      </c>
      <c r="H363" t="inlineStr">
        <is>
          <t>Industrial</t>
        </is>
      </c>
      <c r="I363" t="n">
        <v>2</v>
      </c>
      <c r="J363" t="n">
        <v>102.668</v>
      </c>
      <c r="K363" t="n">
        <v>5.037894</v>
      </c>
      <c r="L363" t="n">
        <v>-0.004275</v>
      </c>
      <c r="M363" t="n">
        <v>-0.149055</v>
      </c>
      <c r="N363" t="n">
        <v>80.01549343000001</v>
      </c>
      <c r="O363" t="n">
        <v>6.483939938</v>
      </c>
      <c r="P363" t="n">
        <v>75</v>
      </c>
      <c r="Q363" t="inlineStr">
        <is>
          <t xml:space="preserve">Spinoff from Danaher, emerging as an independent company within the water treatment industry. </t>
        </is>
      </c>
      <c r="R363" t="inlineStr">
        <is>
          <t>USD</t>
        </is>
      </c>
      <c r="S363" t="inlineStr">
        <is>
          <t>Investment Grade</t>
        </is>
      </c>
      <c r="T363" t="inlineStr">
        <is>
          <t>BBB</t>
        </is>
      </c>
      <c r="U363" t="inlineStr">
        <is>
          <t>BBB</t>
        </is>
      </c>
    </row>
    <row r="364">
      <c r="A364" t="inlineStr">
        <is>
          <t>XS2386287689</t>
        </is>
      </c>
      <c r="B364" t="inlineStr">
        <is>
          <t>Hold</t>
        </is>
      </c>
      <c r="C364" t="inlineStr">
        <is>
          <t>Mediobanca Di Cred Fin</t>
        </is>
      </c>
      <c r="D364" t="n">
        <v>0.75</v>
      </c>
      <c r="E364" t="inlineStr">
        <is>
          <t>Sr Non Preferred</t>
        </is>
      </c>
      <c r="F364" t="inlineStr">
        <is>
          <t>02.11.2028</t>
        </is>
      </c>
      <c r="G364" t="inlineStr">
        <is>
          <t>Italy</t>
        </is>
      </c>
      <c r="H364" t="inlineStr">
        <is>
          <t>Financial</t>
        </is>
      </c>
      <c r="I364" t="n">
        <v>250</v>
      </c>
      <c r="J364" t="n">
        <v>95.854</v>
      </c>
      <c r="K364" t="n">
        <v>2.616107</v>
      </c>
      <c r="L364" t="n">
        <v>-0.075271</v>
      </c>
      <c r="M364" t="n">
        <v>-0.06651600000000001</v>
      </c>
      <c r="N364" t="n">
        <v>79.96506787</v>
      </c>
      <c r="O364" t="n">
        <v>2.585887684</v>
      </c>
      <c r="P364" t="n">
        <v>60</v>
      </c>
      <c r="Q364" t="inlineStr">
        <is>
          <t>European investment banking boutique.</t>
        </is>
      </c>
      <c r="R364" t="inlineStr">
        <is>
          <t>EUR</t>
        </is>
      </c>
      <c r="S364" t="inlineStr">
        <is>
          <t>Investment Grade</t>
        </is>
      </c>
      <c r="T364" t="inlineStr">
        <is>
          <t>BBB-</t>
        </is>
      </c>
      <c r="U364" t="inlineStr">
        <is>
          <t>BBB-</t>
        </is>
      </c>
    </row>
    <row r="365">
      <c r="A365" t="inlineStr">
        <is>
          <t>US458140BH27</t>
        </is>
      </c>
      <c r="B365" t="inlineStr">
        <is>
          <t>Hold</t>
        </is>
      </c>
      <c r="C365" t="inlineStr">
        <is>
          <t>Intel Corp</t>
        </is>
      </c>
      <c r="D365" t="n">
        <v>2.45</v>
      </c>
      <c r="E365" t="inlineStr">
        <is>
          <t>Sr Unsecured</t>
        </is>
      </c>
      <c r="F365" t="inlineStr">
        <is>
          <t>15.11.2029</t>
        </is>
      </c>
      <c r="G365" t="inlineStr">
        <is>
          <t>United states</t>
        </is>
      </c>
      <c r="H365" t="inlineStr">
        <is>
          <t>Technology</t>
        </is>
      </c>
      <c r="I365" t="n">
        <v>2</v>
      </c>
      <c r="J365" t="n">
        <v>91.211</v>
      </c>
      <c r="K365" t="n">
        <v>4.705982</v>
      </c>
      <c r="L365" t="n">
        <v>0.009612000000000001</v>
      </c>
      <c r="M365" t="n">
        <v>-0.168502</v>
      </c>
      <c r="N365" t="n">
        <v>79.77149249999999</v>
      </c>
      <c r="O365" t="n">
        <v>4.338210826</v>
      </c>
      <c r="P365" t="n">
        <v>80</v>
      </c>
      <c r="Q365" t="inlineStr">
        <is>
          <t>One of the world's largest semiconductor companies</t>
        </is>
      </c>
      <c r="R365" t="inlineStr">
        <is>
          <t>USD</t>
        </is>
      </c>
      <c r="S365" t="inlineStr">
        <is>
          <t>Investment Grade</t>
        </is>
      </c>
      <c r="T365" t="inlineStr">
        <is>
          <t>BBB</t>
        </is>
      </c>
      <c r="U365" t="inlineStr">
        <is>
          <t>BBB</t>
        </is>
      </c>
    </row>
    <row r="366">
      <c r="A366" t="inlineStr">
        <is>
          <t>XS1985037974</t>
        </is>
      </c>
      <c r="B366" t="inlineStr">
        <is>
          <t>Hold</t>
        </is>
      </c>
      <c r="C366" t="inlineStr">
        <is>
          <t>Next Group Plc</t>
        </is>
      </c>
      <c r="D366" t="n">
        <v>3</v>
      </c>
      <c r="E366" t="inlineStr">
        <is>
          <t>Sr Unsecured</t>
        </is>
      </c>
      <c r="F366" t="inlineStr">
        <is>
          <t>26.08.2025</t>
        </is>
      </c>
      <c r="G366" t="inlineStr">
        <is>
          <t>United Kingdom</t>
        </is>
      </c>
      <c r="H366" t="inlineStr">
        <is>
          <t>Consumer, Cyclical</t>
        </is>
      </c>
      <c r="I366" t="n">
        <v>100</v>
      </c>
      <c r="J366" t="n">
        <v>99.773</v>
      </c>
      <c r="K366" t="n">
        <v>4.655754</v>
      </c>
      <c r="L366" t="n">
        <v>0.000924</v>
      </c>
      <c r="M366" t="n">
        <v>-0.522828</v>
      </c>
      <c r="N366" t="n">
        <v>79.66191015</v>
      </c>
      <c r="O366" t="n">
        <v>0.490446282</v>
      </c>
      <c r="P366" t="n">
        <v>60</v>
      </c>
      <c r="Q366" t="inlineStr">
        <is>
          <t>British clothing, footwear and home products company</t>
        </is>
      </c>
      <c r="R366" t="inlineStr">
        <is>
          <t>GBP</t>
        </is>
      </c>
      <c r="S366" t="inlineStr">
        <is>
          <t>Investment Grade</t>
        </is>
      </c>
      <c r="T366" t="inlineStr">
        <is>
          <t>BBB</t>
        </is>
      </c>
      <c r="U366" t="inlineStr">
        <is>
          <t>BBB</t>
        </is>
      </c>
    </row>
    <row r="367">
      <c r="A367" t="inlineStr">
        <is>
          <t>XS1910948329</t>
        </is>
      </c>
      <c r="B367" t="inlineStr">
        <is>
          <t>Hold</t>
        </is>
      </c>
      <c r="C367" t="inlineStr">
        <is>
          <t>Volkswagen Intl Fin Nv</t>
        </is>
      </c>
      <c r="D367" t="n">
        <v>3.25</v>
      </c>
      <c r="E367" t="inlineStr">
        <is>
          <t>Sr Unsecured</t>
        </is>
      </c>
      <c r="F367" t="inlineStr">
        <is>
          <t>18.11.2030</t>
        </is>
      </c>
      <c r="G367" t="inlineStr">
        <is>
          <t>Germany</t>
        </is>
      </c>
      <c r="H367" t="inlineStr">
        <is>
          <t>Consumer, Cyclical</t>
        </is>
      </c>
      <c r="I367" t="n">
        <v>100</v>
      </c>
      <c r="J367" t="n">
        <v>100.477</v>
      </c>
      <c r="K367" t="n">
        <v>3.149628</v>
      </c>
      <c r="L367" t="n">
        <v>-0.110362</v>
      </c>
      <c r="M367" t="n">
        <v>-0.170393</v>
      </c>
      <c r="N367" t="n">
        <v>79.64646025</v>
      </c>
      <c r="O367" t="n">
        <v>5.097755247</v>
      </c>
      <c r="P367" t="n">
        <v>60</v>
      </c>
      <c r="Q367" t="inlineStr">
        <is>
          <t>Financial arm of multinational auto manufacturing company</t>
        </is>
      </c>
      <c r="R367" t="inlineStr">
        <is>
          <t>EUR</t>
        </is>
      </c>
      <c r="S367" t="inlineStr">
        <is>
          <t>Investment Grade</t>
        </is>
      </c>
      <c r="T367" t="inlineStr">
        <is>
          <t>BBB+</t>
        </is>
      </c>
      <c r="U367" t="inlineStr">
        <is>
          <t>BBB+</t>
        </is>
      </c>
    </row>
    <row r="368">
      <c r="A368" t="inlineStr">
        <is>
          <t>XS2533094400</t>
        </is>
      </c>
      <c r="B368" t="inlineStr">
        <is>
          <t>Hold</t>
        </is>
      </c>
      <c r="C368" t="inlineStr">
        <is>
          <t>Mediobanca Di Cred Fin</t>
        </is>
      </c>
      <c r="D368" t="n">
        <v>3.4</v>
      </c>
      <c r="E368" t="inlineStr">
        <is>
          <t>Sr Preferred</t>
        </is>
      </c>
      <c r="F368" t="inlineStr">
        <is>
          <t>21.10.2026</t>
        </is>
      </c>
      <c r="G368" t="inlineStr">
        <is>
          <t>Italy</t>
        </is>
      </c>
      <c r="H368" t="inlineStr">
        <is>
          <t>Financial</t>
        </is>
      </c>
      <c r="I368" t="n">
        <v>1</v>
      </c>
      <c r="J368" t="n">
        <v>100.929</v>
      </c>
      <c r="K368" t="n">
        <v>2.647438</v>
      </c>
      <c r="L368" t="n">
        <v>-0.045753</v>
      </c>
      <c r="M368" t="n">
        <v>-0.10343</v>
      </c>
      <c r="N368" t="n">
        <v>79.41251908</v>
      </c>
      <c r="O368" t="n">
        <v>1.575451478</v>
      </c>
      <c r="P368" t="n">
        <v>80</v>
      </c>
      <c r="Q368" t="inlineStr">
        <is>
          <t>European Investment banking boutique</t>
        </is>
      </c>
      <c r="R368" t="inlineStr">
        <is>
          <t>EUR</t>
        </is>
      </c>
      <c r="S368" t="inlineStr">
        <is>
          <t>Investment Grade</t>
        </is>
      </c>
      <c r="T368" t="inlineStr">
        <is>
          <t>BBB</t>
        </is>
      </c>
      <c r="U368" t="inlineStr">
        <is>
          <t>BBB</t>
        </is>
      </c>
    </row>
    <row r="369">
      <c r="A369" t="inlineStr">
        <is>
          <t>XS2989441899</t>
        </is>
      </c>
      <c r="B369" t="inlineStr">
        <is>
          <t xml:space="preserve">Hold </t>
        </is>
      </c>
      <c r="C369" t="inlineStr">
        <is>
          <t>J Sainsbury Plc</t>
        </is>
      </c>
      <c r="D369" t="n">
        <v>5.125</v>
      </c>
      <c r="E369" t="inlineStr">
        <is>
          <t>Sr Unsecured</t>
        </is>
      </c>
      <c r="F369" t="inlineStr">
        <is>
          <t>29.06.2030</t>
        </is>
      </c>
      <c r="G369" t="inlineStr">
        <is>
          <t>United Kingdom</t>
        </is>
      </c>
      <c r="H369" t="inlineStr">
        <is>
          <t>Consumer, Non-cyclical</t>
        </is>
      </c>
      <c r="I369" t="n">
        <v>100</v>
      </c>
      <c r="J369" t="n">
        <v>101.596</v>
      </c>
      <c r="K369" t="n">
        <v>4.744793</v>
      </c>
      <c r="L369" t="n">
        <v>-0.070425</v>
      </c>
      <c r="M369" t="n">
        <v>-0.31912</v>
      </c>
      <c r="N369" t="n">
        <v>79.17403519</v>
      </c>
      <c r="O369" t="n">
        <v>4.416086361</v>
      </c>
      <c r="P369" t="n">
        <v>0</v>
      </c>
      <c r="Q369" t="inlineStr">
        <is>
          <t>UK supermarket</t>
        </is>
      </c>
      <c r="R369" t="inlineStr">
        <is>
          <t>GBP</t>
        </is>
      </c>
      <c r="S369" t="inlineStr">
        <is>
          <t>Investment Grade</t>
        </is>
      </c>
      <c r="T369" t="inlineStr">
        <is>
          <t>BBB-</t>
        </is>
      </c>
      <c r="U369" t="inlineStr">
        <is>
          <t>BBB-</t>
        </is>
      </c>
    </row>
    <row r="370">
      <c r="A370" t="inlineStr">
        <is>
          <t>US24703DBL47</t>
        </is>
      </c>
      <c r="B370" t="inlineStr">
        <is>
          <t>Hold</t>
        </is>
      </c>
      <c r="C370" t="inlineStr">
        <is>
          <t>Dell Int Llc / Emc Corp</t>
        </is>
      </c>
      <c r="D370" t="n">
        <v>5.75</v>
      </c>
      <c r="E370" t="inlineStr">
        <is>
          <t>Sr Unsecured</t>
        </is>
      </c>
      <c r="F370" t="inlineStr">
        <is>
          <t>01.02.2033</t>
        </is>
      </c>
      <c r="G370" t="inlineStr">
        <is>
          <t>United states</t>
        </is>
      </c>
      <c r="H370" t="inlineStr">
        <is>
          <t>Technology</t>
        </is>
      </c>
      <c r="I370" t="n">
        <v>2</v>
      </c>
      <c r="J370" t="n">
        <v>104.728</v>
      </c>
      <c r="K370" t="n">
        <v>4.971379</v>
      </c>
      <c r="L370" t="n">
        <v>-0.037618</v>
      </c>
      <c r="M370" t="n">
        <v>-0.229988</v>
      </c>
      <c r="N370" t="n">
        <v>79.12618187</v>
      </c>
      <c r="O370" t="n">
        <v>6.16833289</v>
      </c>
      <c r="P370" t="n">
        <v>85</v>
      </c>
      <c r="Q370" t="inlineStr">
        <is>
          <t>Tobacco company</t>
        </is>
      </c>
      <c r="R370" t="inlineStr">
        <is>
          <t>USD</t>
        </is>
      </c>
      <c r="S370" t="inlineStr">
        <is>
          <t>Investment Grade</t>
        </is>
      </c>
      <c r="T370" t="inlineStr">
        <is>
          <t>BBB</t>
        </is>
      </c>
      <c r="U370" t="inlineStr">
        <is>
          <t>BBB</t>
        </is>
      </c>
    </row>
    <row r="371">
      <c r="A371" t="inlineStr">
        <is>
          <t>CH1239495042</t>
        </is>
      </c>
      <c r="B371" t="inlineStr">
        <is>
          <t xml:space="preserve">Hold </t>
        </is>
      </c>
      <c r="C371" t="inlineStr">
        <is>
          <t>Hyundai Capital Services</t>
        </is>
      </c>
      <c r="D371" t="n">
        <v>3.0325</v>
      </c>
      <c r="E371" t="inlineStr">
        <is>
          <t>Sr Unsecured</t>
        </is>
      </c>
      <c r="F371" t="inlineStr">
        <is>
          <t>01.02.2028</t>
        </is>
      </c>
      <c r="G371" t="inlineStr">
        <is>
          <t>South Korea</t>
        </is>
      </c>
      <c r="H371" t="inlineStr">
        <is>
          <t>Consumer, Cyclical</t>
        </is>
      </c>
      <c r="I371" t="n">
        <v>5</v>
      </c>
      <c r="J371" t="n">
        <v>105.725</v>
      </c>
      <c r="K371" t="n">
        <v>0.765487</v>
      </c>
      <c r="L371" t="n">
        <v>0.003234</v>
      </c>
      <c r="M371" t="n">
        <v>0.105159</v>
      </c>
      <c r="N371" t="n">
        <v>79.06754234</v>
      </c>
      <c r="O371" t="n">
        <v>2.824639823</v>
      </c>
      <c r="P371" t="n">
        <v>80</v>
      </c>
      <c r="Q371" t="inlineStr">
        <is>
          <t>Offers auto financing, durable goods financing, leasing services, and loans in Korea</t>
        </is>
      </c>
      <c r="R371" t="inlineStr">
        <is>
          <t>CHF</t>
        </is>
      </c>
      <c r="S371" t="inlineStr">
        <is>
          <t>Investment Grade</t>
        </is>
      </c>
      <c r="T371" t="inlineStr">
        <is>
          <t>NR</t>
        </is>
      </c>
      <c r="U371" t="inlineStr">
        <is>
          <t>NR</t>
        </is>
      </c>
    </row>
    <row r="372">
      <c r="A372" t="inlineStr">
        <is>
          <t>XS2627338580</t>
        </is>
      </c>
      <c r="B372" t="inlineStr">
        <is>
          <t>Hold</t>
        </is>
      </c>
      <c r="C372" t="inlineStr">
        <is>
          <t>Aldar Investment Propert</t>
        </is>
      </c>
      <c r="D372" t="n">
        <v>4.875</v>
      </c>
      <c r="E372" t="inlineStr">
        <is>
          <t>Sr Unsecured</t>
        </is>
      </c>
      <c r="F372" t="inlineStr">
        <is>
          <t>24.05.2033</t>
        </is>
      </c>
      <c r="G372" t="inlineStr">
        <is>
          <t>U.A.E</t>
        </is>
      </c>
      <c r="H372" t="inlineStr">
        <is>
          <t>Financial</t>
        </is>
      </c>
      <c r="I372" t="n">
        <v>200</v>
      </c>
      <c r="J372" t="n">
        <v>99.267</v>
      </c>
      <c r="K372" t="n">
        <v>4.987746</v>
      </c>
      <c r="L372" t="n">
        <v>-0.029336</v>
      </c>
      <c r="M372" t="n">
        <v>-0.094113</v>
      </c>
      <c r="N372" t="n">
        <v>78.75485048</v>
      </c>
      <c r="O372" t="n">
        <v>6.60405166</v>
      </c>
      <c r="P372" t="n">
        <v>50</v>
      </c>
      <c r="Q372" t="inlineStr">
        <is>
          <t>Abu Dhabi property company with partial state ownership</t>
        </is>
      </c>
      <c r="R372" t="inlineStr">
        <is>
          <t>USD</t>
        </is>
      </c>
      <c r="S372" t="inlineStr">
        <is>
          <t>Investment Grade</t>
        </is>
      </c>
      <c r="T372" t="inlineStr">
        <is>
          <t>NR</t>
        </is>
      </c>
      <c r="U372" t="inlineStr">
        <is>
          <t>NR</t>
        </is>
      </c>
    </row>
    <row r="373">
      <c r="A373" t="inlineStr">
        <is>
          <t>US05526DBW48</t>
        </is>
      </c>
      <c r="B373" t="inlineStr">
        <is>
          <t>Top Pick</t>
        </is>
      </c>
      <c r="C373" t="inlineStr">
        <is>
          <t>Bat Capital Corp</t>
        </is>
      </c>
      <c r="D373" t="n">
        <v>4.742</v>
      </c>
      <c r="E373" t="inlineStr">
        <is>
          <t>Sr Unsecured</t>
        </is>
      </c>
      <c r="F373" t="inlineStr">
        <is>
          <t>16.03.2032</t>
        </is>
      </c>
      <c r="G373" t="inlineStr">
        <is>
          <t>United Kingdom</t>
        </is>
      </c>
      <c r="H373" t="inlineStr">
        <is>
          <t>Consumer, Non-cyclical</t>
        </is>
      </c>
      <c r="I373" t="n">
        <v>2</v>
      </c>
      <c r="J373" t="n">
        <v>99.126</v>
      </c>
      <c r="K373" t="n">
        <v>4.895519</v>
      </c>
      <c r="L373" t="n">
        <v>-0.027335</v>
      </c>
      <c r="M373" t="n">
        <v>-0.202385</v>
      </c>
      <c r="N373" t="n">
        <v>78.28746568</v>
      </c>
      <c r="O373" t="n">
        <v>5.791818061</v>
      </c>
      <c r="P373" t="n">
        <v>60</v>
      </c>
      <c r="Q373" t="inlineStr">
        <is>
          <t>Tobacco company</t>
        </is>
      </c>
      <c r="R373" t="inlineStr">
        <is>
          <t>USD</t>
        </is>
      </c>
      <c r="S373" t="inlineStr">
        <is>
          <t>Investment Grade</t>
        </is>
      </c>
      <c r="T373" t="inlineStr">
        <is>
          <t>BBB+</t>
        </is>
      </c>
      <c r="U373" t="inlineStr">
        <is>
          <t>BBB+</t>
        </is>
      </c>
    </row>
    <row r="374">
      <c r="A374" t="inlineStr">
        <is>
          <t>US03938LBC72</t>
        </is>
      </c>
      <c r="B374" t="inlineStr">
        <is>
          <t>Top Pick</t>
        </is>
      </c>
      <c r="C374" t="inlineStr">
        <is>
          <t>Arcelormittal</t>
        </is>
      </c>
      <c r="D374" t="n">
        <v>4.25</v>
      </c>
      <c r="E374" t="inlineStr">
        <is>
          <t>Sr Unsecured</t>
        </is>
      </c>
      <c r="F374" t="inlineStr">
        <is>
          <t>16.07.2029</t>
        </is>
      </c>
      <c r="G374" t="inlineStr">
        <is>
          <t>Luxembourg</t>
        </is>
      </c>
      <c r="H374" t="inlineStr">
        <is>
          <t>Basic Materials</t>
        </is>
      </c>
      <c r="I374" t="n">
        <v>2</v>
      </c>
      <c r="J374" t="n">
        <v>98.468</v>
      </c>
      <c r="K374" t="n">
        <v>4.671922</v>
      </c>
      <c r="L374" t="n">
        <v>0.040566</v>
      </c>
      <c r="M374" t="n">
        <v>-0.219396</v>
      </c>
      <c r="N374" t="n">
        <v>78.27461259</v>
      </c>
      <c r="O374" t="n">
        <v>3.943280682</v>
      </c>
      <c r="P374" t="n">
        <v>60</v>
      </c>
      <c r="Q374" t="inlineStr">
        <is>
          <t>World's largest producer of steel</t>
        </is>
      </c>
      <c r="R374" t="inlineStr">
        <is>
          <t>USD</t>
        </is>
      </c>
      <c r="S374" t="inlineStr">
        <is>
          <t>Investment Grade</t>
        </is>
      </c>
      <c r="T374" t="inlineStr">
        <is>
          <t>BBB-</t>
        </is>
      </c>
      <c r="U374" t="inlineStr">
        <is>
          <t>BBB-</t>
        </is>
      </c>
    </row>
    <row r="375">
      <c r="A375" t="inlineStr">
        <is>
          <t>XS2554488978</t>
        </is>
      </c>
      <c r="B375" t="inlineStr">
        <is>
          <t xml:space="preserve">Hold </t>
        </is>
      </c>
      <c r="C375" t="inlineStr">
        <is>
          <t>Volkswagen Intl Fin Nv</t>
        </is>
      </c>
      <c r="D375" t="n">
        <v>4.25</v>
      </c>
      <c r="E375" t="inlineStr">
        <is>
          <t>Sr Unsecured</t>
        </is>
      </c>
      <c r="F375" t="inlineStr">
        <is>
          <t>15.02.2028</t>
        </is>
      </c>
      <c r="G375" t="inlineStr">
        <is>
          <t>Germany</t>
        </is>
      </c>
      <c r="H375" t="inlineStr">
        <is>
          <t>Consumer, Cyclical</t>
        </is>
      </c>
      <c r="I375" t="n">
        <v>100</v>
      </c>
      <c r="J375" t="n">
        <v>103.755</v>
      </c>
      <c r="K375" t="n">
        <v>2.732009</v>
      </c>
      <c r="L375" t="n">
        <v>-0.044377</v>
      </c>
      <c r="M375" t="n">
        <v>-0.020586</v>
      </c>
      <c r="N375" t="n">
        <v>78.25141716</v>
      </c>
      <c r="O375" t="n">
        <v>2.771371955</v>
      </c>
      <c r="P375" t="n">
        <v>60</v>
      </c>
      <c r="Q375" t="inlineStr">
        <is>
          <t>Financial arm of multinational auto manufacturing company</t>
        </is>
      </c>
      <c r="R375" t="inlineStr">
        <is>
          <t>EUR</t>
        </is>
      </c>
      <c r="S375" t="inlineStr">
        <is>
          <t>Investment Grade</t>
        </is>
      </c>
      <c r="T375" t="inlineStr">
        <is>
          <t>BBB+</t>
        </is>
      </c>
      <c r="U375" t="inlineStr">
        <is>
          <t>BBB+</t>
        </is>
      </c>
    </row>
    <row r="376">
      <c r="A376" t="inlineStr">
        <is>
          <t>US03027XBW92</t>
        </is>
      </c>
      <c r="B376" t="inlineStr">
        <is>
          <t>Top Pick</t>
        </is>
      </c>
      <c r="C376" t="inlineStr">
        <is>
          <t>American Tower Corp</t>
        </is>
      </c>
      <c r="D376" t="n">
        <v>4.05</v>
      </c>
      <c r="E376" t="inlineStr">
        <is>
          <t>Sr Unsecured</t>
        </is>
      </c>
      <c r="F376" t="inlineStr">
        <is>
          <t>15.03.2032</t>
        </is>
      </c>
      <c r="G376" t="inlineStr">
        <is>
          <t>United states</t>
        </is>
      </c>
      <c r="H376" t="inlineStr">
        <is>
          <t>Financial</t>
        </is>
      </c>
      <c r="I376" t="n">
        <v>2</v>
      </c>
      <c r="J376" t="n">
        <v>95.268</v>
      </c>
      <c r="K376" t="n">
        <v>4.887177</v>
      </c>
      <c r="L376" t="n">
        <v>0.004289</v>
      </c>
      <c r="M376" t="n">
        <v>-0.103751</v>
      </c>
      <c r="N376" t="n">
        <v>78.08029117</v>
      </c>
      <c r="O376" t="n">
        <v>5.914366614</v>
      </c>
      <c r="P376" t="n">
        <v>60</v>
      </c>
      <c r="Q376" t="inlineStr">
        <is>
          <t xml:space="preserve">Owns and operate telecom towers </t>
        </is>
      </c>
      <c r="R376" t="inlineStr">
        <is>
          <t>USD</t>
        </is>
      </c>
      <c r="S376" t="inlineStr">
        <is>
          <t>Investment Grade</t>
        </is>
      </c>
      <c r="T376" t="inlineStr">
        <is>
          <t>BBB</t>
        </is>
      </c>
      <c r="U376" t="inlineStr">
        <is>
          <t>BBB</t>
        </is>
      </c>
    </row>
    <row r="377">
      <c r="A377" t="inlineStr">
        <is>
          <t>US47233WBM01</t>
        </is>
      </c>
      <c r="B377" t="inlineStr">
        <is>
          <t>Top Pick</t>
        </is>
      </c>
      <c r="C377" t="inlineStr">
        <is>
          <t>Jefferies Fin Group Inc</t>
        </is>
      </c>
      <c r="D377" t="n">
        <v>5.875</v>
      </c>
      <c r="E377" t="inlineStr">
        <is>
          <t>Sr Unsecured</t>
        </is>
      </c>
      <c r="F377" t="inlineStr">
        <is>
          <t>21.07.2028</t>
        </is>
      </c>
      <c r="G377" t="inlineStr">
        <is>
          <t>United states</t>
        </is>
      </c>
      <c r="H377" t="inlineStr">
        <is>
          <t>Financial</t>
        </is>
      </c>
      <c r="I377" t="n">
        <v>1</v>
      </c>
      <c r="J377" t="n">
        <v>103.43</v>
      </c>
      <c r="K377" t="n">
        <v>4.619858</v>
      </c>
      <c r="L377" t="n">
        <v>0.010161</v>
      </c>
      <c r="M377" t="n">
        <v>-0.260162</v>
      </c>
      <c r="N377" t="n">
        <v>78.08011775</v>
      </c>
      <c r="O377" t="n">
        <v>2.991135184</v>
      </c>
      <c r="P377" t="n">
        <v>0</v>
      </c>
      <c r="Q377" t="inlineStr">
        <is>
          <t xml:space="preserve">US investment bank </t>
        </is>
      </c>
      <c r="R377" t="inlineStr">
        <is>
          <t>USD</t>
        </is>
      </c>
      <c r="S377" t="inlineStr">
        <is>
          <t>Investment Grade</t>
        </is>
      </c>
      <c r="T377" t="inlineStr">
        <is>
          <t>BBB</t>
        </is>
      </c>
      <c r="U377" t="inlineStr">
        <is>
          <t>BBB</t>
        </is>
      </c>
    </row>
    <row r="378">
      <c r="A378" t="inlineStr">
        <is>
          <t>US44891CBG78</t>
        </is>
      </c>
      <c r="B378" t="inlineStr">
        <is>
          <t xml:space="preserve">Hold </t>
        </is>
      </c>
      <c r="C378" t="inlineStr">
        <is>
          <t>Hyundai Capital America</t>
        </is>
      </c>
      <c r="D378" t="n">
        <v>3</v>
      </c>
      <c r="E378" t="inlineStr">
        <is>
          <t>Sr Unsecured</t>
        </is>
      </c>
      <c r="F378" t="inlineStr">
        <is>
          <t>10.02.2027</t>
        </is>
      </c>
      <c r="G378" t="inlineStr">
        <is>
          <t>United states</t>
        </is>
      </c>
      <c r="H378" t="inlineStr">
        <is>
          <t>Consumer, Cyclical</t>
        </is>
      </c>
      <c r="I378" t="n">
        <v>2</v>
      </c>
      <c r="J378" t="n">
        <v>97.426</v>
      </c>
      <c r="K378" t="n">
        <v>4.698483</v>
      </c>
      <c r="L378" t="n">
        <v>0.071046</v>
      </c>
      <c r="M378" t="n">
        <v>-0.12524</v>
      </c>
      <c r="N378" t="n">
        <v>77.88364227</v>
      </c>
      <c r="O378" t="n">
        <v>1.879464953</v>
      </c>
      <c r="P378" t="n">
        <v>60</v>
      </c>
      <c r="Q378" t="inlineStr">
        <is>
          <t>Provides commercial finance services</t>
        </is>
      </c>
      <c r="R378" t="inlineStr">
        <is>
          <t>USD</t>
        </is>
      </c>
      <c r="S378" t="inlineStr">
        <is>
          <t>Investment Grade</t>
        </is>
      </c>
      <c r="T378" t="inlineStr">
        <is>
          <t>A-</t>
        </is>
      </c>
      <c r="U378" t="inlineStr">
        <is>
          <t>A-</t>
        </is>
      </c>
    </row>
    <row r="379">
      <c r="A379" t="inlineStr">
        <is>
          <t>US05526DBY04</t>
        </is>
      </c>
      <c r="B379" t="inlineStr">
        <is>
          <t>Top Pick</t>
        </is>
      </c>
      <c r="C379" t="inlineStr">
        <is>
          <t>Bat Capital Corp</t>
        </is>
      </c>
      <c r="D379" t="n">
        <v>5.834</v>
      </c>
      <c r="E379" t="inlineStr">
        <is>
          <t>Sr Unsecured</t>
        </is>
      </c>
      <c r="F379" t="inlineStr">
        <is>
          <t>20.02.2031</t>
        </is>
      </c>
      <c r="G379" t="inlineStr">
        <is>
          <t>United Kingdom</t>
        </is>
      </c>
      <c r="H379" t="inlineStr">
        <is>
          <t>Consumer, Non-cyclical</t>
        </is>
      </c>
      <c r="I379" t="n">
        <v>2</v>
      </c>
      <c r="J379" t="n">
        <v>104.997</v>
      </c>
      <c r="K379" t="n">
        <v>4.78156</v>
      </c>
      <c r="L379" t="n">
        <v>0.01031</v>
      </c>
      <c r="M379" t="n">
        <v>-0.186288</v>
      </c>
      <c r="N379" t="n">
        <v>77.69301563</v>
      </c>
      <c r="O379" t="n">
        <v>4.910397476</v>
      </c>
      <c r="P379" t="n">
        <v>60</v>
      </c>
      <c r="Q379" t="inlineStr">
        <is>
          <t>Tobacco company</t>
        </is>
      </c>
      <c r="R379" t="inlineStr">
        <is>
          <t>USD</t>
        </is>
      </c>
      <c r="S379" t="inlineStr">
        <is>
          <t>Investment Grade</t>
        </is>
      </c>
      <c r="T379" t="inlineStr">
        <is>
          <t>BBB+</t>
        </is>
      </c>
      <c r="U379" t="inlineStr">
        <is>
          <t>BBB+</t>
        </is>
      </c>
    </row>
    <row r="380">
      <c r="A380" t="inlineStr">
        <is>
          <t>XS1795261822</t>
        </is>
      </c>
      <c r="B380" t="inlineStr">
        <is>
          <t>Hold</t>
        </is>
      </c>
      <c r="C380" t="inlineStr">
        <is>
          <t>Natwest Group Plc</t>
        </is>
      </c>
      <c r="D380" t="n">
        <v>2.875</v>
      </c>
      <c r="E380" t="inlineStr">
        <is>
          <t>Sr Unsecured</t>
        </is>
      </c>
      <c r="F380" t="inlineStr">
        <is>
          <t>19.09.2026</t>
        </is>
      </c>
      <c r="G380" t="inlineStr">
        <is>
          <t>United Kingdom</t>
        </is>
      </c>
      <c r="H380" t="inlineStr">
        <is>
          <t>Financial</t>
        </is>
      </c>
      <c r="I380" t="n">
        <v>100</v>
      </c>
      <c r="J380" t="n">
        <v>99.59</v>
      </c>
      <c r="K380" t="n">
        <v>2.786796</v>
      </c>
      <c r="L380" t="n">
        <v>-0.052885</v>
      </c>
      <c r="M380" t="n">
        <v>-0.20203</v>
      </c>
      <c r="N380" t="n">
        <v>77.66829362</v>
      </c>
      <c r="O380" t="n">
        <v>0.551922018</v>
      </c>
      <c r="P380" t="n">
        <v>60</v>
      </c>
      <c r="Q380" t="inlineStr">
        <is>
          <t>Banking and Financial service company</t>
        </is>
      </c>
      <c r="R380" t="inlineStr">
        <is>
          <t>GBP</t>
        </is>
      </c>
      <c r="S380" t="inlineStr">
        <is>
          <t>Investment Grade</t>
        </is>
      </c>
      <c r="T380" t="inlineStr">
        <is>
          <t>A-</t>
        </is>
      </c>
      <c r="U380" t="inlineStr">
        <is>
          <t>A-</t>
        </is>
      </c>
    </row>
    <row r="381">
      <c r="A381" t="inlineStr">
        <is>
          <t>US30216KAG76</t>
        </is>
      </c>
      <c r="B381" t="inlineStr">
        <is>
          <t xml:space="preserve">Hold </t>
        </is>
      </c>
      <c r="C381" t="inlineStr">
        <is>
          <t>Export-Import Bk India</t>
        </is>
      </c>
      <c r="D381" t="n">
        <v>5.5</v>
      </c>
      <c r="E381" t="inlineStr">
        <is>
          <t>Sr Unsecured</t>
        </is>
      </c>
      <c r="F381" t="inlineStr">
        <is>
          <t>18.01.2033</t>
        </is>
      </c>
      <c r="G381" t="inlineStr">
        <is>
          <t>India</t>
        </is>
      </c>
      <c r="H381" t="inlineStr">
        <is>
          <t>Government</t>
        </is>
      </c>
      <c r="I381" t="n">
        <v>200</v>
      </c>
      <c r="J381" t="n">
        <v>103.46</v>
      </c>
      <c r="K381" t="n">
        <v>4.943673</v>
      </c>
      <c r="L381" t="n">
        <v>0.027037</v>
      </c>
      <c r="M381" t="n">
        <v>-0.146303</v>
      </c>
      <c r="N381" t="n">
        <v>77.60742203</v>
      </c>
      <c r="O381" t="n">
        <v>6.32585646</v>
      </c>
      <c r="P381" t="n">
        <v>60</v>
      </c>
      <c r="Q381" t="inlineStr">
        <is>
          <t>Operates as a bank to exporters and importers, 100% state-owned</t>
        </is>
      </c>
      <c r="R381" t="inlineStr">
        <is>
          <t>USD</t>
        </is>
      </c>
      <c r="S381" t="inlineStr">
        <is>
          <t>Investment Grade</t>
        </is>
      </c>
      <c r="T381" t="inlineStr">
        <is>
          <t>BBB-</t>
        </is>
      </c>
      <c r="U381" t="inlineStr">
        <is>
          <t>BBB-</t>
        </is>
      </c>
    </row>
    <row r="382">
      <c r="A382" t="inlineStr">
        <is>
          <t>US30303M8Q83</t>
        </is>
      </c>
      <c r="B382" t="inlineStr">
        <is>
          <t>Hold</t>
        </is>
      </c>
      <c r="C382" t="inlineStr">
        <is>
          <t>Meta Platforms Inc</t>
        </is>
      </c>
      <c r="D382" t="n">
        <v>5.6</v>
      </c>
      <c r="E382" t="inlineStr">
        <is>
          <t>Sr Unsecured</t>
        </is>
      </c>
      <c r="F382" t="inlineStr">
        <is>
          <t>15.05.2053</t>
        </is>
      </c>
      <c r="G382" t="inlineStr">
        <is>
          <t>United states</t>
        </is>
      </c>
      <c r="H382" t="inlineStr">
        <is>
          <t>Communications</t>
        </is>
      </c>
      <c r="I382" t="n">
        <v>2</v>
      </c>
      <c r="J382" t="n">
        <v>99.426</v>
      </c>
      <c r="K382" t="n">
        <v>5.640494</v>
      </c>
      <c r="L382" t="n">
        <v>-0.025186</v>
      </c>
      <c r="M382" t="n">
        <v>-0.056893</v>
      </c>
      <c r="N382" t="n">
        <v>77.53659888999999</v>
      </c>
      <c r="O382" t="n">
        <v>13.82570311</v>
      </c>
      <c r="P382" t="n">
        <v>80</v>
      </c>
      <c r="Q382" t="inlineStr">
        <is>
          <t>A social technology company</t>
        </is>
      </c>
      <c r="R382" t="inlineStr">
        <is>
          <t>USD</t>
        </is>
      </c>
      <c r="S382" t="inlineStr">
        <is>
          <t>Investment Grade</t>
        </is>
      </c>
      <c r="T382" t="inlineStr">
        <is>
          <t>AA-</t>
        </is>
      </c>
      <c r="U382" t="inlineStr">
        <is>
          <t>AA-</t>
        </is>
      </c>
    </row>
    <row r="383">
      <c r="A383" t="inlineStr">
        <is>
          <t>XS2057072121</t>
        </is>
      </c>
      <c r="B383" t="inlineStr">
        <is>
          <t>Top Pick</t>
        </is>
      </c>
      <c r="C383" t="inlineStr">
        <is>
          <t>Ck Hutchison Group</t>
        </is>
      </c>
      <c r="D383" t="n">
        <v>2</v>
      </c>
      <c r="E383" t="inlineStr">
        <is>
          <t>Sr Unsecured</t>
        </is>
      </c>
      <c r="F383" t="inlineStr">
        <is>
          <t>17.10.2027</t>
        </is>
      </c>
      <c r="G383" t="inlineStr">
        <is>
          <t>United Kingdom</t>
        </is>
      </c>
      <c r="H383" t="inlineStr">
        <is>
          <t>Communications</t>
        </is>
      </c>
      <c r="I383" t="n">
        <v>200</v>
      </c>
      <c r="J383" t="n">
        <v>94.61</v>
      </c>
      <c r="K383" t="n">
        <v>4.496734</v>
      </c>
      <c r="L383" t="n">
        <v>0.043999</v>
      </c>
      <c r="M383" t="n">
        <v>-0.027916</v>
      </c>
      <c r="N383" t="n">
        <v>77.50002369000001</v>
      </c>
      <c r="O383" t="n">
        <v>2.456727983</v>
      </c>
      <c r="P383" t="n">
        <v>60</v>
      </c>
      <c r="Q383" t="inlineStr">
        <is>
          <t xml:space="preserve">Investment group active in services, telecommunication and retail </t>
        </is>
      </c>
      <c r="R383" t="inlineStr">
        <is>
          <t>GBP</t>
        </is>
      </c>
      <c r="S383" t="inlineStr">
        <is>
          <t>Investment Grade</t>
        </is>
      </c>
      <c r="T383" t="inlineStr">
        <is>
          <t>BBB+</t>
        </is>
      </c>
      <c r="U383" t="inlineStr">
        <is>
          <t>BBB+</t>
        </is>
      </c>
    </row>
    <row r="384">
      <c r="A384" t="inlineStr">
        <is>
          <t>US455780DS23</t>
        </is>
      </c>
      <c r="B384" t="inlineStr">
        <is>
          <t xml:space="preserve">Hold </t>
        </is>
      </c>
      <c r="C384" t="inlineStr">
        <is>
          <t>Republic Of Indonesia</t>
        </is>
      </c>
      <c r="D384" t="n">
        <v>5.65</v>
      </c>
      <c r="E384" t="inlineStr">
        <is>
          <t>Sr Unsecured</t>
        </is>
      </c>
      <c r="F384" t="inlineStr">
        <is>
          <t>11.01.2053</t>
        </is>
      </c>
      <c r="G384" t="inlineStr">
        <is>
          <t>Indonesia</t>
        </is>
      </c>
      <c r="H384" t="inlineStr">
        <is>
          <t>Government</t>
        </is>
      </c>
      <c r="I384" t="n">
        <v>200</v>
      </c>
      <c r="J384" t="n">
        <v>100.139</v>
      </c>
      <c r="K384" t="n">
        <v>5.639868</v>
      </c>
      <c r="L384" t="n">
        <v>-0.07436</v>
      </c>
      <c r="M384" t="n">
        <v>-0.159804</v>
      </c>
      <c r="N384" t="n">
        <v>77.47469867</v>
      </c>
      <c r="O384" t="n">
        <v>13.85087729</v>
      </c>
      <c r="P384" t="n">
        <v>50</v>
      </c>
      <c r="Q384" t="inlineStr">
        <is>
          <t>Republic Of Indonesia</t>
        </is>
      </c>
      <c r="R384" t="inlineStr">
        <is>
          <t>USD</t>
        </is>
      </c>
      <c r="S384" t="inlineStr">
        <is>
          <t>Investment Grade</t>
        </is>
      </c>
      <c r="T384" t="inlineStr">
        <is>
          <t>BBB</t>
        </is>
      </c>
      <c r="U384" t="inlineStr">
        <is>
          <t>BBB</t>
        </is>
      </c>
    </row>
    <row r="385">
      <c r="A385" t="inlineStr">
        <is>
          <t>US87264ACY91</t>
        </is>
      </c>
      <c r="B385" t="inlineStr">
        <is>
          <t>Top Pick</t>
        </is>
      </c>
      <c r="C385" t="inlineStr">
        <is>
          <t>T-Mobile Usa Inc</t>
        </is>
      </c>
      <c r="D385" t="n">
        <v>5.05</v>
      </c>
      <c r="E385" t="inlineStr">
        <is>
          <t>Sr Unsecured</t>
        </is>
      </c>
      <c r="F385" t="inlineStr">
        <is>
          <t>15.07.2033</t>
        </is>
      </c>
      <c r="G385" t="inlineStr">
        <is>
          <t>United states</t>
        </is>
      </c>
      <c r="H385" t="inlineStr">
        <is>
          <t>Communications</t>
        </is>
      </c>
      <c r="I385" t="n">
        <v>2</v>
      </c>
      <c r="J385" t="n">
        <v>100.32</v>
      </c>
      <c r="K385" t="n">
        <v>5.000517</v>
      </c>
      <c r="L385" t="n">
        <v>-0.017233</v>
      </c>
      <c r="M385" t="n">
        <v>-0.169317</v>
      </c>
      <c r="N385" t="n">
        <v>77.05508312000001</v>
      </c>
      <c r="O385" t="n">
        <v>6.724358611</v>
      </c>
      <c r="P385" t="n">
        <v>60</v>
      </c>
      <c r="Q385" t="inlineStr">
        <is>
          <t>Provides telecommunications services</t>
        </is>
      </c>
      <c r="R385" t="inlineStr">
        <is>
          <t>USD</t>
        </is>
      </c>
      <c r="S385" t="inlineStr">
        <is>
          <t>Investment Grade</t>
        </is>
      </c>
      <c r="T385" t="inlineStr">
        <is>
          <t>BBB</t>
        </is>
      </c>
      <c r="U385" t="inlineStr">
        <is>
          <t>BBB</t>
        </is>
      </c>
    </row>
    <row r="386">
      <c r="A386" t="inlineStr">
        <is>
          <t>XS1792122266</t>
        </is>
      </c>
      <c r="B386" t="inlineStr">
        <is>
          <t xml:space="preserve">Hold </t>
        </is>
      </c>
      <c r="C386" t="inlineStr">
        <is>
          <t>Ntpc Ltd</t>
        </is>
      </c>
      <c r="D386" t="n">
        <v>4.5</v>
      </c>
      <c r="E386" t="inlineStr">
        <is>
          <t>Sr Unsecured</t>
        </is>
      </c>
      <c r="F386" t="inlineStr">
        <is>
          <t>19.03.2028</t>
        </is>
      </c>
      <c r="G386" t="inlineStr">
        <is>
          <t>India</t>
        </is>
      </c>
      <c r="H386" t="inlineStr">
        <is>
          <t>Utilities</t>
        </is>
      </c>
      <c r="I386" t="n">
        <v>200</v>
      </c>
      <c r="J386" t="n">
        <v>99.74299999999999</v>
      </c>
      <c r="K386" t="n">
        <v>4.600079</v>
      </c>
      <c r="L386" t="n">
        <v>0.090074</v>
      </c>
      <c r="M386" t="n">
        <v>-0.08021300000000001</v>
      </c>
      <c r="N386" t="n">
        <v>76.98154196</v>
      </c>
      <c r="O386" t="n">
        <v>2.775367546</v>
      </c>
      <c r="P386" t="n">
        <v>85</v>
      </c>
      <c r="Q386" t="inlineStr">
        <is>
          <t xml:space="preserve">Majority state-owned power generation company </t>
        </is>
      </c>
      <c r="R386" t="inlineStr">
        <is>
          <t>USD</t>
        </is>
      </c>
      <c r="S386" t="inlineStr">
        <is>
          <t>Investment Grade</t>
        </is>
      </c>
      <c r="T386" t="inlineStr">
        <is>
          <t>BBB-</t>
        </is>
      </c>
      <c r="U386" t="inlineStr">
        <is>
          <t>BBB-</t>
        </is>
      </c>
    </row>
    <row r="387">
      <c r="A387" t="inlineStr">
        <is>
          <t>US44891CCT80</t>
        </is>
      </c>
      <c r="B387" t="inlineStr">
        <is>
          <t xml:space="preserve">Hold </t>
        </is>
      </c>
      <c r="C387" t="inlineStr">
        <is>
          <t>Hyundai Capital America</t>
        </is>
      </c>
      <c r="D387" t="n">
        <v>5.25</v>
      </c>
      <c r="E387" t="inlineStr">
        <is>
          <t>Sr Unsecured</t>
        </is>
      </c>
      <c r="F387" t="inlineStr">
        <is>
          <t>08.01.2027</t>
        </is>
      </c>
      <c r="G387" t="inlineStr">
        <is>
          <t>United states</t>
        </is>
      </c>
      <c r="H387" t="inlineStr">
        <is>
          <t>Consumer, Cyclical</t>
        </is>
      </c>
      <c r="I387" t="n">
        <v>2</v>
      </c>
      <c r="J387" t="n">
        <v>100.793</v>
      </c>
      <c r="K387" t="n">
        <v>4.696313</v>
      </c>
      <c r="L387" t="n">
        <v>0.07877000000000001</v>
      </c>
      <c r="M387" t="n">
        <v>-0.200901</v>
      </c>
      <c r="N387" t="n">
        <v>76.96620568</v>
      </c>
      <c r="O387" t="n">
        <v>1.763080704</v>
      </c>
      <c r="P387" t="n">
        <v>0</v>
      </c>
      <c r="Q387" t="inlineStr">
        <is>
          <t>Provides commercial finance services</t>
        </is>
      </c>
      <c r="R387" t="inlineStr">
        <is>
          <t>USD</t>
        </is>
      </c>
      <c r="S387" t="inlineStr">
        <is>
          <t>Investment Grade</t>
        </is>
      </c>
      <c r="T387" t="inlineStr">
        <is>
          <t>A-</t>
        </is>
      </c>
      <c r="U387" t="inlineStr">
        <is>
          <t>A-</t>
        </is>
      </c>
    </row>
    <row r="388">
      <c r="A388" t="inlineStr">
        <is>
          <t>US03027XBG43</t>
        </is>
      </c>
      <c r="B388" t="inlineStr">
        <is>
          <t>Top Pick</t>
        </is>
      </c>
      <c r="C388" t="inlineStr">
        <is>
          <t>American Tower Corp</t>
        </is>
      </c>
      <c r="D388" t="n">
        <v>1.875</v>
      </c>
      <c r="E388" t="inlineStr">
        <is>
          <t>Sr Unsecured</t>
        </is>
      </c>
      <c r="F388" t="inlineStr">
        <is>
          <t>15.10.2030</t>
        </is>
      </c>
      <c r="G388" t="inlineStr">
        <is>
          <t>United states</t>
        </is>
      </c>
      <c r="H388" t="inlineStr">
        <is>
          <t>Financial</t>
        </is>
      </c>
      <c r="I388" t="n">
        <v>2</v>
      </c>
      <c r="J388" t="n">
        <v>86.80800000000001</v>
      </c>
      <c r="K388" t="n">
        <v>4.732241</v>
      </c>
      <c r="L388" t="n">
        <v>0.001884</v>
      </c>
      <c r="M388" t="n">
        <v>-0.167177</v>
      </c>
      <c r="N388" t="n">
        <v>76.63925244000001</v>
      </c>
      <c r="O388" t="n">
        <v>5.18619177</v>
      </c>
      <c r="P388" t="n">
        <v>60</v>
      </c>
      <c r="Q388" t="inlineStr">
        <is>
          <t xml:space="preserve">Owns and operate telecom towers </t>
        </is>
      </c>
      <c r="R388" t="inlineStr">
        <is>
          <t>USD</t>
        </is>
      </c>
      <c r="S388" t="inlineStr">
        <is>
          <t>Investment Grade</t>
        </is>
      </c>
      <c r="T388" t="inlineStr">
        <is>
          <t>BBB</t>
        </is>
      </c>
      <c r="U388" t="inlineStr">
        <is>
          <t>BBB</t>
        </is>
      </c>
    </row>
    <row r="389">
      <c r="A389" t="inlineStr">
        <is>
          <t>XS2384274366</t>
        </is>
      </c>
      <c r="B389" t="inlineStr">
        <is>
          <t>Hold</t>
        </is>
      </c>
      <c r="C389" t="inlineStr">
        <is>
          <t>General Motors Finl Co</t>
        </is>
      </c>
      <c r="D389" t="n">
        <v>0.65</v>
      </c>
      <c r="E389" t="inlineStr">
        <is>
          <t>Sr Unsecured</t>
        </is>
      </c>
      <c r="F389" t="inlineStr">
        <is>
          <t>07.09.2028</t>
        </is>
      </c>
      <c r="G389" t="inlineStr">
        <is>
          <t>United states</t>
        </is>
      </c>
      <c r="H389" t="inlineStr">
        <is>
          <t>Consumer, Cyclical</t>
        </is>
      </c>
      <c r="I389" t="n">
        <v>100</v>
      </c>
      <c r="J389" t="n">
        <v>93.607</v>
      </c>
      <c r="K389" t="n">
        <v>2.788521</v>
      </c>
      <c r="L389" t="n">
        <v>-0.07809099999999999</v>
      </c>
      <c r="M389" t="n">
        <v>-0.115364</v>
      </c>
      <c r="N389" t="n">
        <v>76.40114677</v>
      </c>
      <c r="O389" t="n">
        <v>3.390971889</v>
      </c>
      <c r="P389" t="n">
        <v>75</v>
      </c>
      <c r="Q389" t="inlineStr">
        <is>
          <t>World's third largest automaker owning Chevrolet, Buick and Cadillac</t>
        </is>
      </c>
      <c r="R389" t="inlineStr">
        <is>
          <t>EUR</t>
        </is>
      </c>
      <c r="S389" t="inlineStr">
        <is>
          <t>Investment Grade</t>
        </is>
      </c>
      <c r="T389" t="inlineStr">
        <is>
          <t>BBB</t>
        </is>
      </c>
      <c r="U389" t="inlineStr">
        <is>
          <t>BBB</t>
        </is>
      </c>
    </row>
    <row r="390">
      <c r="A390" t="inlineStr">
        <is>
          <t xml:space="preserve"> XS2861550817</t>
        </is>
      </c>
      <c r="B390" t="inlineStr">
        <is>
          <t xml:space="preserve">Hold </t>
        </is>
      </c>
      <c r="C390" t="inlineStr">
        <is>
          <t>Saudi Arabian Oil Co</t>
        </is>
      </c>
      <c r="D390" t="n">
        <v>5.25</v>
      </c>
      <c r="E390" t="inlineStr">
        <is>
          <t>Sr Unsecured</t>
        </is>
      </c>
      <c r="F390" t="inlineStr">
        <is>
          <t>17.07.2034</t>
        </is>
      </c>
      <c r="G390" t="inlineStr">
        <is>
          <t>Saudi Arabia</t>
        </is>
      </c>
      <c r="H390" t="inlineStr">
        <is>
          <t>Energy</t>
        </is>
      </c>
      <c r="I390" t="n">
        <v>200</v>
      </c>
      <c r="J390" t="n">
        <v>101.312</v>
      </c>
      <c r="K390" t="n">
        <v>5.06354</v>
      </c>
      <c r="L390" t="n">
        <v>-0.022529</v>
      </c>
      <c r="M390" t="n">
        <v>-0.131312</v>
      </c>
      <c r="N390" t="n">
        <v>76.34220834</v>
      </c>
      <c r="O390" t="n">
        <v>7.288482067</v>
      </c>
      <c r="P390" t="n">
        <v>0</v>
      </c>
      <c r="Q390" t="inlineStr">
        <is>
          <t>Saudi state-owned integrated energy company</t>
        </is>
      </c>
      <c r="R390" t="inlineStr">
        <is>
          <t>USD</t>
        </is>
      </c>
      <c r="S390" t="inlineStr">
        <is>
          <t>Investment Grade</t>
        </is>
      </c>
      <c r="T390" t="inlineStr">
        <is>
          <t>A+</t>
        </is>
      </c>
      <c r="U390" t="inlineStr">
        <is>
          <t>A+</t>
        </is>
      </c>
    </row>
    <row r="391">
      <c r="A391" t="inlineStr">
        <is>
          <t>USN29505AA70</t>
        </is>
      </c>
      <c r="B391" t="inlineStr">
        <is>
          <t xml:space="preserve">Hold </t>
        </is>
      </c>
      <c r="C391" t="inlineStr">
        <is>
          <t>Embraer Netherlands Fina</t>
        </is>
      </c>
      <c r="D391" t="n">
        <v>6.95</v>
      </c>
      <c r="E391" t="inlineStr">
        <is>
          <t>Sr Unsecured</t>
        </is>
      </c>
      <c r="F391" t="inlineStr">
        <is>
          <t>17.01.2028</t>
        </is>
      </c>
      <c r="G391" t="inlineStr">
        <is>
          <t>Brazil</t>
        </is>
      </c>
      <c r="H391" t="inlineStr">
        <is>
          <t>Industrial</t>
        </is>
      </c>
      <c r="I391" t="n">
        <v>200</v>
      </c>
      <c r="J391" t="n">
        <v>104.969</v>
      </c>
      <c r="K391" t="n">
        <v>4.626781</v>
      </c>
      <c r="L391" t="n">
        <v>0.003488</v>
      </c>
      <c r="M391" t="n">
        <v>-0.156058</v>
      </c>
      <c r="N391" t="n">
        <v>76.1056103</v>
      </c>
      <c r="O391" t="n">
        <v>2.400698385</v>
      </c>
      <c r="P391" t="n">
        <v>25</v>
      </c>
      <c r="Q391" t="inlineStr">
        <is>
          <t>Leading manufacturer of regional jet airplanes</t>
        </is>
      </c>
      <c r="R391" t="inlineStr">
        <is>
          <t>USD</t>
        </is>
      </c>
      <c r="S391" t="inlineStr">
        <is>
          <t>Latin America</t>
        </is>
      </c>
      <c r="T391" t="inlineStr">
        <is>
          <t>BBB-</t>
        </is>
      </c>
      <c r="U391" t="inlineStr">
        <is>
          <t>BBB-</t>
        </is>
      </c>
    </row>
    <row r="392">
      <c r="A392" t="inlineStr">
        <is>
          <t>XS2771418097</t>
        </is>
      </c>
      <c r="B392" t="inlineStr">
        <is>
          <t>Top Pick</t>
        </is>
      </c>
      <c r="C392" t="inlineStr">
        <is>
          <t>Securitas Treasury Irela</t>
        </is>
      </c>
      <c r="D392" t="n">
        <v>3.875</v>
      </c>
      <c r="E392" t="inlineStr">
        <is>
          <t>Sr Unsecured</t>
        </is>
      </c>
      <c r="F392" t="inlineStr">
        <is>
          <t>23.02.2030</t>
        </is>
      </c>
      <c r="G392" t="inlineStr">
        <is>
          <t>Sweden</t>
        </is>
      </c>
      <c r="H392" t="inlineStr">
        <is>
          <t>Consumer, Non-cyclical</t>
        </is>
      </c>
      <c r="I392" t="n">
        <v>100</v>
      </c>
      <c r="J392" t="n">
        <v>103.544</v>
      </c>
      <c r="K392" t="n">
        <v>2.997829</v>
      </c>
      <c r="L392" t="n">
        <v>-0.043717</v>
      </c>
      <c r="M392" t="n">
        <v>-0.030557</v>
      </c>
      <c r="N392" t="n">
        <v>75.85512454000001</v>
      </c>
      <c r="O392" t="n">
        <v>4.288950222</v>
      </c>
      <c r="P392" t="n">
        <v>60</v>
      </c>
      <c r="Q392" t="inlineStr">
        <is>
          <t xml:space="preserve">Security services provider </t>
        </is>
      </c>
      <c r="R392" t="inlineStr">
        <is>
          <t>EUR</t>
        </is>
      </c>
      <c r="S392" t="inlineStr">
        <is>
          <t>Investment Grade</t>
        </is>
      </c>
      <c r="T392" t="inlineStr">
        <is>
          <t>NR</t>
        </is>
      </c>
      <c r="U392" t="inlineStr">
        <is>
          <t>NR</t>
        </is>
      </c>
    </row>
    <row r="393">
      <c r="A393" t="inlineStr">
        <is>
          <t>XS2247936342</t>
        </is>
      </c>
      <c r="B393" t="inlineStr">
        <is>
          <t>Hold</t>
        </is>
      </c>
      <c r="C393" t="inlineStr">
        <is>
          <t>Banco Santander Sa</t>
        </is>
      </c>
      <c r="D393" t="n">
        <v>1.625</v>
      </c>
      <c r="E393" t="inlineStr">
        <is>
          <t>Subordinated</t>
        </is>
      </c>
      <c r="F393" t="inlineStr">
        <is>
          <t>22.10.2030</t>
        </is>
      </c>
      <c r="G393" t="inlineStr">
        <is>
          <t>Spain</t>
        </is>
      </c>
      <c r="H393" t="inlineStr">
        <is>
          <t>Financial</t>
        </is>
      </c>
      <c r="I393" t="n">
        <v>100</v>
      </c>
      <c r="J393" t="n">
        <v>92.861</v>
      </c>
      <c r="K393" t="n">
        <v>3.109013</v>
      </c>
      <c r="L393" t="n">
        <v>-0.077449</v>
      </c>
      <c r="M393" t="n">
        <v>-0.122449</v>
      </c>
      <c r="N393" t="n">
        <v>75.82480218000001</v>
      </c>
      <c r="O393" t="n">
        <v>5.242177866</v>
      </c>
      <c r="P393" t="n">
        <v>60</v>
      </c>
      <c r="Q393" t="inlineStr">
        <is>
          <t>Spain's largest banking group</t>
        </is>
      </c>
      <c r="R393" t="inlineStr">
        <is>
          <t>EUR</t>
        </is>
      </c>
      <c r="S393" t="inlineStr">
        <is>
          <t>Investment Grade</t>
        </is>
      </c>
      <c r="T393" t="inlineStr">
        <is>
          <t>BBB</t>
        </is>
      </c>
      <c r="U393" t="inlineStr">
        <is>
          <t>BBB</t>
        </is>
      </c>
    </row>
    <row r="394">
      <c r="A394" t="inlineStr">
        <is>
          <t>US817565CD49</t>
        </is>
      </c>
      <c r="B394" t="inlineStr">
        <is>
          <t xml:space="preserve">Hold </t>
        </is>
      </c>
      <c r="C394" t="inlineStr">
        <is>
          <t>Service Corp Intl</t>
        </is>
      </c>
      <c r="D394" t="n">
        <v>4.625</v>
      </c>
      <c r="E394" t="inlineStr">
        <is>
          <t>Sr Unsecured</t>
        </is>
      </c>
      <c r="F394" t="inlineStr">
        <is>
          <t>15.12.2027</t>
        </is>
      </c>
      <c r="G394" t="inlineStr">
        <is>
          <t>United states</t>
        </is>
      </c>
      <c r="H394" t="inlineStr">
        <is>
          <t>Consumer, Non-cyclical</t>
        </is>
      </c>
      <c r="I394" t="n">
        <v>2</v>
      </c>
      <c r="J394" t="n">
        <v>99.244</v>
      </c>
      <c r="K394" t="n">
        <v>4.956662</v>
      </c>
      <c r="L394" t="n">
        <v>0.020199</v>
      </c>
      <c r="M394" t="n">
        <v>-0.188608</v>
      </c>
      <c r="N394" t="n">
        <v>75.76803119</v>
      </c>
      <c r="O394" t="n">
        <v>2.582549548</v>
      </c>
      <c r="P394" t="n">
        <v>0</v>
      </c>
      <c r="Q394" t="inlineStr">
        <is>
          <t>US leading funeral services provider</t>
        </is>
      </c>
      <c r="R394" t="inlineStr">
        <is>
          <t>USD</t>
        </is>
      </c>
      <c r="S394" t="inlineStr">
        <is>
          <t>High Yield</t>
        </is>
      </c>
      <c r="T394" t="inlineStr">
        <is>
          <t>BB-</t>
        </is>
      </c>
      <c r="U394" t="inlineStr">
        <is>
          <t>BB-</t>
        </is>
      </c>
    </row>
    <row r="395">
      <c r="A395" t="inlineStr">
        <is>
          <t>FR001400FAR2</t>
        </is>
      </c>
      <c r="B395" t="inlineStr">
        <is>
          <t xml:space="preserve">Hold </t>
        </is>
      </c>
      <c r="C395" t="inlineStr">
        <is>
          <t>Credit Agricole Sa</t>
        </is>
      </c>
      <c r="D395" t="n">
        <v>4.875</v>
      </c>
      <c r="E395" t="inlineStr">
        <is>
          <t>Sr Preferred</t>
        </is>
      </c>
      <c r="F395" t="inlineStr">
        <is>
          <t>23.10.2029</t>
        </is>
      </c>
      <c r="G395" t="inlineStr">
        <is>
          <t>France</t>
        </is>
      </c>
      <c r="H395" t="inlineStr">
        <is>
          <t>Financial</t>
        </is>
      </c>
      <c r="I395" t="n">
        <v>100</v>
      </c>
      <c r="J395" t="n">
        <v>100.76</v>
      </c>
      <c r="K395" t="n">
        <v>4.616252</v>
      </c>
      <c r="L395" t="n">
        <v>0.003934</v>
      </c>
      <c r="M395" t="n">
        <v>-0.204446</v>
      </c>
      <c r="N395" t="n">
        <v>75.71545741</v>
      </c>
      <c r="O395" t="n">
        <v>4.013484574</v>
      </c>
      <c r="P395" t="n">
        <v>80</v>
      </c>
      <c r="Q395" t="inlineStr">
        <is>
          <t>One of the largest retail bank in Europe</t>
        </is>
      </c>
      <c r="R395" t="inlineStr">
        <is>
          <t>GBP</t>
        </is>
      </c>
      <c r="S395" t="inlineStr">
        <is>
          <t>Investment Grade</t>
        </is>
      </c>
      <c r="T395" t="inlineStr">
        <is>
          <t>A+</t>
        </is>
      </c>
      <c r="U395" t="inlineStr">
        <is>
          <t>A+</t>
        </is>
      </c>
    </row>
    <row r="396">
      <c r="A396" t="inlineStr">
        <is>
          <t>XS2583742668</t>
        </is>
      </c>
      <c r="B396" t="inlineStr">
        <is>
          <t>Hold</t>
        </is>
      </c>
      <c r="C396" t="inlineStr">
        <is>
          <t>Ibm Corp</t>
        </is>
      </c>
      <c r="D396" t="n">
        <v>4</v>
      </c>
      <c r="E396" t="inlineStr">
        <is>
          <t>Sr Unsecured</t>
        </is>
      </c>
      <c r="F396" t="inlineStr">
        <is>
          <t>06.02.2043</t>
        </is>
      </c>
      <c r="G396" t="inlineStr">
        <is>
          <t>United states</t>
        </is>
      </c>
      <c r="H396" t="inlineStr">
        <is>
          <t>Technology</t>
        </is>
      </c>
      <c r="I396" t="n">
        <v>100</v>
      </c>
      <c r="J396" t="n">
        <v>99.652</v>
      </c>
      <c r="K396" t="n">
        <v>4.026415</v>
      </c>
      <c r="L396" t="n">
        <v>-0.08320900000000001</v>
      </c>
      <c r="M396" t="n">
        <v>-0.057869</v>
      </c>
      <c r="N396" t="n">
        <v>75.40399515999999</v>
      </c>
      <c r="O396" t="n">
        <v>12.44147202</v>
      </c>
      <c r="P396" t="n">
        <v>80</v>
      </c>
      <c r="Q396" t="inlineStr">
        <is>
          <t>International Business Machines Corporation (IBM) provides computer solutions</t>
        </is>
      </c>
      <c r="R396" t="inlineStr">
        <is>
          <t>EUR</t>
        </is>
      </c>
      <c r="S396" t="inlineStr">
        <is>
          <t>Investment Grade</t>
        </is>
      </c>
      <c r="T396" t="inlineStr">
        <is>
          <t>A-</t>
        </is>
      </c>
      <c r="U396" t="inlineStr">
        <is>
          <t>A-</t>
        </is>
      </c>
    </row>
    <row r="397">
      <c r="A397" t="inlineStr">
        <is>
          <t>XS2356219084</t>
        </is>
      </c>
      <c r="B397" t="inlineStr">
        <is>
          <t xml:space="preserve">Hold </t>
        </is>
      </c>
      <c r="C397" t="inlineStr">
        <is>
          <t>Emaar Sukuk Ltd</t>
        </is>
      </c>
      <c r="D397" t="n">
        <v>3.7</v>
      </c>
      <c r="E397" t="inlineStr">
        <is>
          <t>Sr Unsecured</t>
        </is>
      </c>
      <c r="F397" t="inlineStr">
        <is>
          <t>06.07.2031</t>
        </is>
      </c>
      <c r="G397" t="inlineStr">
        <is>
          <t>U.A.E</t>
        </is>
      </c>
      <c r="H397" t="inlineStr">
        <is>
          <t>Financial</t>
        </is>
      </c>
      <c r="I397" t="n">
        <v>200</v>
      </c>
      <c r="J397" t="n">
        <v>94.375</v>
      </c>
      <c r="K397" t="n">
        <v>4.790945</v>
      </c>
      <c r="L397" t="n">
        <v>-0.010478</v>
      </c>
      <c r="M397" t="n">
        <v>-0.082417</v>
      </c>
      <c r="N397" t="n">
        <v>75.31759527</v>
      </c>
      <c r="O397" t="n">
        <v>5.521683872</v>
      </c>
      <c r="P397" t="n">
        <v>60</v>
      </c>
      <c r="Q397" t="inlineStr">
        <is>
          <t xml:space="preserve">Dubai partially state-owned property company </t>
        </is>
      </c>
      <c r="R397" t="inlineStr">
        <is>
          <t>USD</t>
        </is>
      </c>
      <c r="S397" t="inlineStr">
        <is>
          <t>Investment Grade</t>
        </is>
      </c>
      <c r="T397" t="inlineStr">
        <is>
          <t>BBB+</t>
        </is>
      </c>
      <c r="U397" t="inlineStr">
        <is>
          <t>BBB</t>
        </is>
      </c>
    </row>
    <row r="398">
      <c r="A398" t="inlineStr">
        <is>
          <t>US65339KCP30</t>
        </is>
      </c>
      <c r="B398" t="inlineStr">
        <is>
          <t>Top Pick</t>
        </is>
      </c>
      <c r="C398" t="inlineStr">
        <is>
          <t>Nextera Energy Capital</t>
        </is>
      </c>
      <c r="D398" t="n">
        <v>5.05</v>
      </c>
      <c r="E398" t="inlineStr">
        <is>
          <t>Sr Unsecured</t>
        </is>
      </c>
      <c r="F398" t="inlineStr">
        <is>
          <t>28.02.2033</t>
        </is>
      </c>
      <c r="G398" t="inlineStr">
        <is>
          <t>United states</t>
        </is>
      </c>
      <c r="H398" t="inlineStr">
        <is>
          <t>Utilities</t>
        </is>
      </c>
      <c r="I398" t="n">
        <v>2</v>
      </c>
      <c r="J398" t="n">
        <v>100.6</v>
      </c>
      <c r="K398" t="n">
        <v>4.951912</v>
      </c>
      <c r="L398" t="n">
        <v>-0.019914</v>
      </c>
      <c r="M398" t="n">
        <v>-0.172243</v>
      </c>
      <c r="N398" t="n">
        <v>75.25701992</v>
      </c>
      <c r="O398" t="n">
        <v>6.35336492</v>
      </c>
      <c r="P398" t="n">
        <v>60</v>
      </c>
      <c r="Q398" t="inlineStr">
        <is>
          <t>Develops, constructs, operates and manages wind and solar energy plants</t>
        </is>
      </c>
      <c r="R398" t="inlineStr">
        <is>
          <t>USD</t>
        </is>
      </c>
      <c r="S398" t="inlineStr">
        <is>
          <t>Investment Grade</t>
        </is>
      </c>
      <c r="T398" t="inlineStr">
        <is>
          <t>BBB+</t>
        </is>
      </c>
      <c r="U398" t="inlineStr">
        <is>
          <t>BBB+</t>
        </is>
      </c>
    </row>
    <row r="399">
      <c r="A399" t="inlineStr">
        <is>
          <t>US571903BH57</t>
        </is>
      </c>
      <c r="B399" t="inlineStr">
        <is>
          <t>Hold</t>
        </is>
      </c>
      <c r="C399" t="inlineStr">
        <is>
          <t>Marriott International</t>
        </is>
      </c>
      <c r="D399" t="n">
        <v>2.75</v>
      </c>
      <c r="E399" t="inlineStr">
        <is>
          <t>Sr Unsecured</t>
        </is>
      </c>
      <c r="F399" t="inlineStr">
        <is>
          <t>15.10.2033</t>
        </is>
      </c>
      <c r="G399" t="inlineStr">
        <is>
          <t>United states</t>
        </is>
      </c>
      <c r="H399" t="inlineStr">
        <is>
          <t>Consumer, Cyclical</t>
        </is>
      </c>
      <c r="I399" t="n">
        <v>2</v>
      </c>
      <c r="J399" t="n">
        <v>84.874</v>
      </c>
      <c r="K399" t="n">
        <v>5.005526</v>
      </c>
      <c r="L399" t="n">
        <v>-0.028017</v>
      </c>
      <c r="M399" t="n">
        <v>-0.252781</v>
      </c>
      <c r="N399" t="n">
        <v>75.17288299000001</v>
      </c>
      <c r="O399" t="n">
        <v>7.35852831</v>
      </c>
      <c r="P399" t="n">
        <v>25</v>
      </c>
      <c r="Q399" t="inlineStr">
        <is>
          <t>Worldwide operator and franchisor of hotels</t>
        </is>
      </c>
      <c r="R399" t="inlineStr">
        <is>
          <t>USD</t>
        </is>
      </c>
      <c r="S399" t="inlineStr">
        <is>
          <t>Investment Grade</t>
        </is>
      </c>
      <c r="T399" t="inlineStr">
        <is>
          <t>BBB</t>
        </is>
      </c>
      <c r="U399" t="inlineStr">
        <is>
          <t>BBB</t>
        </is>
      </c>
    </row>
    <row r="400">
      <c r="A400" t="inlineStr">
        <is>
          <t>XS2622275969</t>
        </is>
      </c>
      <c r="B400" t="inlineStr">
        <is>
          <t xml:space="preserve">Hold </t>
        </is>
      </c>
      <c r="C400" t="inlineStr">
        <is>
          <t>American Tower Corp</t>
        </is>
      </c>
      <c r="D400" t="n">
        <v>4.625</v>
      </c>
      <c r="E400" t="inlineStr">
        <is>
          <t>Sr Unsecured</t>
        </is>
      </c>
      <c r="F400" t="inlineStr">
        <is>
          <t>16.05.2031</t>
        </is>
      </c>
      <c r="G400" t="inlineStr">
        <is>
          <t>United states</t>
        </is>
      </c>
      <c r="H400" t="inlineStr">
        <is>
          <t>Financial</t>
        </is>
      </c>
      <c r="I400" t="n">
        <v>100</v>
      </c>
      <c r="J400" t="n">
        <v>107.442</v>
      </c>
      <c r="K400" t="n">
        <v>3.156826</v>
      </c>
      <c r="L400" t="n">
        <v>-0.120476</v>
      </c>
      <c r="M400" t="n">
        <v>-0.08555</v>
      </c>
      <c r="N400" t="n">
        <v>74.99278532</v>
      </c>
      <c r="O400" t="n">
        <v>5.037955048</v>
      </c>
      <c r="P400" t="n">
        <v>60</v>
      </c>
      <c r="Q400" t="inlineStr">
        <is>
          <t>Europe's largest telecom tower operator</t>
        </is>
      </c>
      <c r="R400" t="inlineStr">
        <is>
          <t>EUR</t>
        </is>
      </c>
      <c r="S400" t="inlineStr">
        <is>
          <t>Investment Grade</t>
        </is>
      </c>
      <c r="T400" t="inlineStr">
        <is>
          <t>BBB</t>
        </is>
      </c>
      <c r="U400" t="inlineStr">
        <is>
          <t>BBB</t>
        </is>
      </c>
    </row>
    <row r="401">
      <c r="A401" t="inlineStr">
        <is>
          <t>USN8438JAB46</t>
        </is>
      </c>
      <c r="B401" t="inlineStr">
        <is>
          <t>Top Pick</t>
        </is>
      </c>
      <c r="C401" t="inlineStr">
        <is>
          <t>Suzano Intl Finance Bv</t>
        </is>
      </c>
      <c r="D401" t="n">
        <v>5.5</v>
      </c>
      <c r="E401" t="inlineStr">
        <is>
          <t>Sr Unsecured</t>
        </is>
      </c>
      <c r="F401" t="inlineStr">
        <is>
          <t>17.01.2027</t>
        </is>
      </c>
      <c r="G401" t="inlineStr">
        <is>
          <t>Brazil</t>
        </is>
      </c>
      <c r="H401" t="inlineStr">
        <is>
          <t>Basic Materials</t>
        </is>
      </c>
      <c r="I401" t="n">
        <v>2</v>
      </c>
      <c r="J401" t="n">
        <v>101.206</v>
      </c>
      <c r="K401" t="n">
        <v>4.670109</v>
      </c>
      <c r="L401" t="n">
        <v>-0.014491</v>
      </c>
      <c r="M401" t="n">
        <v>-0.213391</v>
      </c>
      <c r="N401" t="n">
        <v>74.79637787999999</v>
      </c>
      <c r="O401" t="n">
        <v>1.783689276</v>
      </c>
      <c r="P401" t="n">
        <v>0</v>
      </c>
      <c r="Q401" t="inlineStr">
        <is>
          <t>World's leading pulp producer</t>
        </is>
      </c>
      <c r="R401" t="inlineStr">
        <is>
          <t>USD</t>
        </is>
      </c>
      <c r="S401" t="inlineStr">
        <is>
          <t>Latin America</t>
        </is>
      </c>
      <c r="T401" t="inlineStr">
        <is>
          <t>BBB-</t>
        </is>
      </c>
      <c r="U401" t="inlineStr">
        <is>
          <t>BBB-</t>
        </is>
      </c>
    </row>
    <row r="402">
      <c r="A402" t="inlineStr">
        <is>
          <t>XS2390400807</t>
        </is>
      </c>
      <c r="B402" t="inlineStr">
        <is>
          <t>Hold</t>
        </is>
      </c>
      <c r="C402" t="inlineStr">
        <is>
          <t>Enel Finance Intl Nv</t>
        </is>
      </c>
      <c r="D402" t="n">
        <v>0.875</v>
      </c>
      <c r="E402" t="inlineStr">
        <is>
          <t>Sr Unsecured</t>
        </is>
      </c>
      <c r="F402" t="inlineStr">
        <is>
          <t>28.09.2034</t>
        </is>
      </c>
      <c r="G402" t="inlineStr">
        <is>
          <t>Italy</t>
        </is>
      </c>
      <c r="H402" t="inlineStr">
        <is>
          <t>Utilities</t>
        </is>
      </c>
      <c r="I402" t="n">
        <v>100</v>
      </c>
      <c r="J402" t="n">
        <v>79.02200000000001</v>
      </c>
      <c r="K402" t="n">
        <v>3.586611</v>
      </c>
      <c r="L402" t="n">
        <v>-0.010184</v>
      </c>
      <c r="M402" t="n">
        <v>0.002153</v>
      </c>
      <c r="N402" t="n">
        <v>74.77176855</v>
      </c>
      <c r="O402" t="n">
        <v>8.839520444</v>
      </c>
      <c r="P402" t="n">
        <v>60</v>
      </c>
      <c r="Q402" t="inlineStr">
        <is>
          <t xml:space="preserve">Italian utility company </t>
        </is>
      </c>
      <c r="R402" t="inlineStr">
        <is>
          <t>EUR</t>
        </is>
      </c>
      <c r="S402" t="inlineStr">
        <is>
          <t>Investment Grade</t>
        </is>
      </c>
      <c r="T402" t="inlineStr">
        <is>
          <t>BBB</t>
        </is>
      </c>
      <c r="U402" t="inlineStr">
        <is>
          <t>BBB</t>
        </is>
      </c>
    </row>
    <row r="403">
      <c r="A403" t="inlineStr">
        <is>
          <t>CH1271360625</t>
        </is>
      </c>
      <c r="B403" t="inlineStr">
        <is>
          <t xml:space="preserve">Hold </t>
        </is>
      </c>
      <c r="C403" t="inlineStr">
        <is>
          <t>Equinix Europe Financing</t>
        </is>
      </c>
      <c r="D403" t="n">
        <v>2.875</v>
      </c>
      <c r="E403" t="inlineStr">
        <is>
          <t>Sr Unsecured</t>
        </is>
      </c>
      <c r="F403" t="inlineStr">
        <is>
          <t>12.09.2028</t>
        </is>
      </c>
      <c r="G403" t="inlineStr">
        <is>
          <t>United states</t>
        </is>
      </c>
      <c r="H403" t="inlineStr">
        <is>
          <t>Financial</t>
        </is>
      </c>
      <c r="I403" t="n">
        <v>5</v>
      </c>
      <c r="J403" t="n">
        <v>106.095</v>
      </c>
      <c r="K403" t="n">
        <v>0.760223</v>
      </c>
      <c r="L403" t="n">
        <v>0.052047</v>
      </c>
      <c r="M403" t="n">
        <v>0.246882</v>
      </c>
      <c r="N403" t="n">
        <v>74.75000875000001</v>
      </c>
      <c r="O403" t="n">
        <v>3.131818685</v>
      </c>
      <c r="P403" t="n">
        <v>0</v>
      </c>
      <c r="Q403" t="inlineStr">
        <is>
          <t xml:space="preserve">Owns and opeates data centres </t>
        </is>
      </c>
      <c r="R403" t="inlineStr">
        <is>
          <t>CHF</t>
        </is>
      </c>
      <c r="S403" t="inlineStr">
        <is>
          <t>Investment Grade</t>
        </is>
      </c>
      <c r="T403" t="inlineStr">
        <is>
          <t>BBB</t>
        </is>
      </c>
      <c r="U403" t="inlineStr">
        <is>
          <t>BBB</t>
        </is>
      </c>
    </row>
    <row r="404">
      <c r="A404" t="inlineStr">
        <is>
          <t xml:space="preserve"> CH1396329752</t>
        </is>
      </c>
      <c r="B404" t="inlineStr">
        <is>
          <t>Top Pick</t>
        </is>
      </c>
      <c r="C404" t="inlineStr">
        <is>
          <t>Toyota Motor Finance Bv</t>
        </is>
      </c>
      <c r="D404" t="n">
        <v>1.1225</v>
      </c>
      <c r="E404" t="inlineStr">
        <is>
          <t>Sr Unsecured</t>
        </is>
      </c>
      <c r="F404" t="inlineStr">
        <is>
          <t>22.05.2030</t>
        </is>
      </c>
      <c r="G404" t="inlineStr">
        <is>
          <t>Japan</t>
        </is>
      </c>
      <c r="H404" t="inlineStr">
        <is>
          <t>Consumer, Cyclical</t>
        </is>
      </c>
      <c r="I404" t="n">
        <v>5</v>
      </c>
      <c r="J404" t="n">
        <v>101.196</v>
      </c>
      <c r="K404" t="n">
        <v>0.870043</v>
      </c>
      <c r="L404" t="n">
        <v>0.037589</v>
      </c>
      <c r="M404" t="n">
        <v>0.168873</v>
      </c>
      <c r="N404" t="n">
        <v>74.47362461</v>
      </c>
      <c r="O404" t="n">
        <v>5.055750118</v>
      </c>
      <c r="P404" t="n">
        <v>0</v>
      </c>
      <c r="Q404" t="inlineStr">
        <is>
          <t>Japan's largest auto maker</t>
        </is>
      </c>
      <c r="R404" t="inlineStr">
        <is>
          <t>CHF</t>
        </is>
      </c>
      <c r="S404" t="inlineStr">
        <is>
          <t>Investment Grade</t>
        </is>
      </c>
      <c r="T404" t="inlineStr">
        <is>
          <t>A+</t>
        </is>
      </c>
      <c r="U404" t="inlineStr">
        <is>
          <t>A+</t>
        </is>
      </c>
    </row>
    <row r="405">
      <c r="A405" t="inlineStr">
        <is>
          <t>XS2135361686</t>
        </is>
      </c>
      <c r="B405" t="inlineStr">
        <is>
          <t>Hold</t>
        </is>
      </c>
      <c r="C405" t="inlineStr">
        <is>
          <t>United Mexican States</t>
        </is>
      </c>
      <c r="D405" t="n">
        <v>1.35</v>
      </c>
      <c r="E405" t="inlineStr">
        <is>
          <t>Sr Unsecured</t>
        </is>
      </c>
      <c r="F405" t="inlineStr">
        <is>
          <t>18.09.2027</t>
        </is>
      </c>
      <c r="G405" t="inlineStr">
        <is>
          <t>Mexico</t>
        </is>
      </c>
      <c r="H405" t="inlineStr">
        <is>
          <t>Government</t>
        </is>
      </c>
      <c r="I405" t="n">
        <v>100</v>
      </c>
      <c r="J405" t="n">
        <v>97.273</v>
      </c>
      <c r="K405" t="n">
        <v>2.644081</v>
      </c>
      <c r="L405" t="n">
        <v>-0.131129</v>
      </c>
      <c r="M405" t="n">
        <v>-0.257958</v>
      </c>
      <c r="N405" t="n">
        <v>74.33918658</v>
      </c>
      <c r="O405" t="n">
        <v>2.442899108</v>
      </c>
      <c r="P405" t="n">
        <v>60</v>
      </c>
      <c r="Q405" t="inlineStr">
        <is>
          <t>Mexican Government</t>
        </is>
      </c>
      <c r="R405" t="inlineStr">
        <is>
          <t>EUR</t>
        </is>
      </c>
      <c r="S405" t="inlineStr">
        <is>
          <t>Latin America</t>
        </is>
      </c>
      <c r="T405" t="inlineStr">
        <is>
          <t>BBB-</t>
        </is>
      </c>
      <c r="U405" t="inlineStr">
        <is>
          <t>BBB-</t>
        </is>
      </c>
    </row>
    <row r="406">
      <c r="A406" t="inlineStr">
        <is>
          <t>XS2588885025</t>
        </is>
      </c>
      <c r="B406" t="inlineStr">
        <is>
          <t>Hold</t>
        </is>
      </c>
      <c r="C406" t="inlineStr">
        <is>
          <t>Unicredit Spa</t>
        </is>
      </c>
      <c r="D406" t="n">
        <v>4.45</v>
      </c>
      <c r="E406" t="inlineStr">
        <is>
          <t>Sr Non Preferred</t>
        </is>
      </c>
      <c r="F406" t="inlineStr">
        <is>
          <t>16.02.2029</t>
        </is>
      </c>
      <c r="G406" t="inlineStr">
        <is>
          <t>Italy</t>
        </is>
      </c>
      <c r="H406" t="inlineStr">
        <is>
          <t>Financial</t>
        </is>
      </c>
      <c r="I406" t="n">
        <v>150</v>
      </c>
      <c r="J406" t="n">
        <v>104.636</v>
      </c>
      <c r="K406" t="n">
        <v>2.5837</v>
      </c>
      <c r="L406" t="n">
        <v>-0.098507</v>
      </c>
      <c r="M406" t="n">
        <v>-0.163281</v>
      </c>
      <c r="N406" t="n">
        <v>73.91631053</v>
      </c>
      <c r="O406" t="n">
        <v>2.771403983</v>
      </c>
      <c r="P406" t="n">
        <v>60</v>
      </c>
      <c r="Q406" t="inlineStr">
        <is>
          <t>One of the largest bank in italy</t>
        </is>
      </c>
      <c r="R406" t="inlineStr">
        <is>
          <t>EUR</t>
        </is>
      </c>
      <c r="S406" t="inlineStr">
        <is>
          <t>Investment Grade</t>
        </is>
      </c>
      <c r="T406" t="inlineStr">
        <is>
          <t>BBB-</t>
        </is>
      </c>
      <c r="U406" t="inlineStr">
        <is>
          <t>BBB-</t>
        </is>
      </c>
    </row>
    <row r="407">
      <c r="A407" t="inlineStr">
        <is>
          <t>XS1968703345</t>
        </is>
      </c>
      <c r="B407" t="inlineStr">
        <is>
          <t xml:space="preserve">Top pick </t>
        </is>
      </c>
      <c r="C407" t="inlineStr">
        <is>
          <t>Glencore Finance Europe</t>
        </is>
      </c>
      <c r="D407" t="n">
        <v>3.125</v>
      </c>
      <c r="E407" t="inlineStr">
        <is>
          <t>Sr Unsecured</t>
        </is>
      </c>
      <c r="F407" t="inlineStr">
        <is>
          <t>26.03.2026</t>
        </is>
      </c>
      <c r="G407" t="inlineStr">
        <is>
          <t>Australia</t>
        </is>
      </c>
      <c r="H407" t="inlineStr">
        <is>
          <t>Basic Materials</t>
        </is>
      </c>
      <c r="I407" t="n">
        <v>100</v>
      </c>
      <c r="J407" t="n">
        <v>98.96899999999999</v>
      </c>
      <c r="K407" t="n">
        <v>4.557183</v>
      </c>
      <c r="L407" t="n">
        <v>-0.025958</v>
      </c>
      <c r="M407" t="n">
        <v>-0.223596</v>
      </c>
      <c r="N407" t="n">
        <v>73.53695662</v>
      </c>
      <c r="O407" t="n">
        <v>1.004894179</v>
      </c>
      <c r="P407" t="n">
        <v>60</v>
      </c>
      <c r="Q407" t="inlineStr">
        <is>
          <t>Leading diversified natural resources group</t>
        </is>
      </c>
      <c r="R407" t="inlineStr">
        <is>
          <t>GBP</t>
        </is>
      </c>
      <c r="S407" t="inlineStr">
        <is>
          <t>Investment Grade</t>
        </is>
      </c>
      <c r="T407" t="inlineStr">
        <is>
          <t>BBB+</t>
        </is>
      </c>
      <c r="U407" t="inlineStr">
        <is>
          <t>BBB+</t>
        </is>
      </c>
    </row>
    <row r="408">
      <c r="A408" t="inlineStr">
        <is>
          <t>XS2052469165</t>
        </is>
      </c>
      <c r="B408" t="inlineStr">
        <is>
          <t>Hold</t>
        </is>
      </c>
      <c r="C408" t="inlineStr">
        <is>
          <t>Emaar Sukuk Ltd</t>
        </is>
      </c>
      <c r="D408" t="n">
        <v>3.875</v>
      </c>
      <c r="E408" t="inlineStr">
        <is>
          <t>Sr Unsecured</t>
        </is>
      </c>
      <c r="F408" t="inlineStr">
        <is>
          <t>17.09.2029</t>
        </is>
      </c>
      <c r="G408" t="inlineStr">
        <is>
          <t>U.A.E</t>
        </is>
      </c>
      <c r="H408" t="inlineStr">
        <is>
          <t>Financial</t>
        </is>
      </c>
      <c r="I408" t="n">
        <v>200</v>
      </c>
      <c r="J408" t="n">
        <v>97.13200000000001</v>
      </c>
      <c r="K408" t="n">
        <v>4.634773</v>
      </c>
      <c r="L408" t="n">
        <v>-0.006612</v>
      </c>
      <c r="M408" t="n">
        <v>-0.186981</v>
      </c>
      <c r="N408" t="n">
        <v>73.52325825</v>
      </c>
      <c r="O408" t="n">
        <v>4.035477565</v>
      </c>
      <c r="P408" t="n">
        <v>60</v>
      </c>
      <c r="Q408" t="inlineStr">
        <is>
          <t xml:space="preserve">Dubai partially state-owned property company </t>
        </is>
      </c>
      <c r="R408" t="inlineStr">
        <is>
          <t>USD</t>
        </is>
      </c>
      <c r="S408" t="inlineStr">
        <is>
          <t>Investment Grade</t>
        </is>
      </c>
      <c r="T408" t="inlineStr">
        <is>
          <t>BBB+</t>
        </is>
      </c>
      <c r="U408" t="inlineStr">
        <is>
          <t>BBB</t>
        </is>
      </c>
    </row>
    <row r="409">
      <c r="A409" t="inlineStr">
        <is>
          <t>XS2641777235</t>
        </is>
      </c>
      <c r="B409" t="inlineStr">
        <is>
          <t xml:space="preserve">Hold </t>
        </is>
      </c>
      <c r="C409" t="inlineStr">
        <is>
          <t>Almarai Co Jsc</t>
        </is>
      </c>
      <c r="D409" t="n">
        <v>5.233</v>
      </c>
      <c r="E409" t="inlineStr">
        <is>
          <t>Sr Unsecured</t>
        </is>
      </c>
      <c r="F409" t="inlineStr">
        <is>
          <t>25.07.2033</t>
        </is>
      </c>
      <c r="G409" t="inlineStr">
        <is>
          <t>Saudi Arabia</t>
        </is>
      </c>
      <c r="H409" t="inlineStr">
        <is>
          <t>Consumer, Non-cyclical</t>
        </is>
      </c>
      <c r="I409" t="n">
        <v>200</v>
      </c>
      <c r="J409" t="n">
        <v>101.872</v>
      </c>
      <c r="K409" t="n">
        <v>4.947618</v>
      </c>
      <c r="L409" t="n">
        <v>-0.049892</v>
      </c>
      <c r="M409" t="n">
        <v>-0.185599</v>
      </c>
      <c r="N409" t="n">
        <v>73.51872071</v>
      </c>
      <c r="O409" t="n">
        <v>6.710026138</v>
      </c>
      <c r="P409" t="n">
        <v>60</v>
      </c>
      <c r="Q409" t="inlineStr">
        <is>
          <t>Saudi partially state-owned food and dairy company</t>
        </is>
      </c>
      <c r="R409" t="inlineStr">
        <is>
          <t>USD</t>
        </is>
      </c>
      <c r="S409" t="inlineStr">
        <is>
          <t>Investment Grade</t>
        </is>
      </c>
      <c r="T409" t="inlineStr">
        <is>
          <t>BBB-</t>
        </is>
      </c>
      <c r="U409" t="inlineStr">
        <is>
          <t>BBB-</t>
        </is>
      </c>
    </row>
    <row r="410">
      <c r="A410" t="inlineStr">
        <is>
          <t>USU7136QAB78</t>
        </is>
      </c>
      <c r="B410" t="inlineStr">
        <is>
          <t>Hold</t>
        </is>
      </c>
      <c r="C410" t="inlineStr">
        <is>
          <t>Pernod Ric Intl Fin Llc</t>
        </is>
      </c>
      <c r="D410" t="n">
        <v>1.625</v>
      </c>
      <c r="E410" t="inlineStr">
        <is>
          <t>Sr Unsecured</t>
        </is>
      </c>
      <c r="F410" t="inlineStr">
        <is>
          <t>01.04.2031</t>
        </is>
      </c>
      <c r="G410" t="inlineStr">
        <is>
          <t>United states</t>
        </is>
      </c>
      <c r="H410" t="inlineStr">
        <is>
          <t>Consumer, Non-cyclical</t>
        </is>
      </c>
      <c r="I410" t="n">
        <v>150</v>
      </c>
      <c r="J410" t="n">
        <v>84.465</v>
      </c>
      <c r="K410" t="n">
        <v>4.753273</v>
      </c>
      <c r="L410" t="n">
        <v>-0.05705</v>
      </c>
      <c r="M410" t="n">
        <v>-0.253865</v>
      </c>
      <c r="N410" t="n">
        <v>73.41397202</v>
      </c>
      <c r="O410" t="n">
        <v>5.615748591</v>
      </c>
      <c r="P410" t="n">
        <v>45</v>
      </c>
      <c r="Q410" t="inlineStr">
        <is>
          <t>Pernod Ricard International Finance LLC manufactures alcoholic beverages.</t>
        </is>
      </c>
      <c r="R410" t="inlineStr">
        <is>
          <t>USD</t>
        </is>
      </c>
      <c r="S410" t="inlineStr">
        <is>
          <t>Investment Grade</t>
        </is>
      </c>
      <c r="T410" t="inlineStr">
        <is>
          <t>BBB+</t>
        </is>
      </c>
      <c r="U410" t="inlineStr">
        <is>
          <t>BBB+</t>
        </is>
      </c>
    </row>
    <row r="411">
      <c r="A411" t="inlineStr">
        <is>
          <t>FR001400F5F6</t>
        </is>
      </c>
      <c r="B411" t="inlineStr">
        <is>
          <t>Hold</t>
        </is>
      </c>
      <c r="C411" t="inlineStr">
        <is>
          <t>La Banque Postale</t>
        </is>
      </c>
      <c r="D411" t="n">
        <v>4.375</v>
      </c>
      <c r="E411" t="inlineStr">
        <is>
          <t>Sr Non Preferred</t>
        </is>
      </c>
      <c r="F411" t="inlineStr">
        <is>
          <t>17.01.2030</t>
        </is>
      </c>
      <c r="G411" t="inlineStr">
        <is>
          <t>France</t>
        </is>
      </c>
      <c r="H411" t="inlineStr">
        <is>
          <t>Financial</t>
        </is>
      </c>
      <c r="I411" t="n">
        <v>100</v>
      </c>
      <c r="J411" t="n">
        <v>105.906</v>
      </c>
      <c r="K411" t="n">
        <v>2.95783</v>
      </c>
      <c r="L411" t="n">
        <v>-0.066654</v>
      </c>
      <c r="M411" t="n">
        <v>-0.135978</v>
      </c>
      <c r="N411" t="n">
        <v>73.35544179999999</v>
      </c>
      <c r="O411" t="n">
        <v>4.367745985</v>
      </c>
      <c r="P411" t="n">
        <v>60</v>
      </c>
      <c r="Q411" t="inlineStr">
        <is>
          <t>La Banque Postale provides banking services in France</t>
        </is>
      </c>
      <c r="R411" t="inlineStr">
        <is>
          <t>EUR</t>
        </is>
      </c>
      <c r="S411" t="inlineStr">
        <is>
          <t>Investment Grade</t>
        </is>
      </c>
      <c r="T411" t="inlineStr">
        <is>
          <t>BBB+</t>
        </is>
      </c>
      <c r="U411" t="inlineStr">
        <is>
          <t>BBB+</t>
        </is>
      </c>
    </row>
    <row r="412">
      <c r="A412" t="inlineStr">
        <is>
          <t>FR001400KPC2</t>
        </is>
      </c>
      <c r="B412" t="inlineStr">
        <is>
          <t>Hold</t>
        </is>
      </c>
      <c r="C412" t="inlineStr">
        <is>
          <t>Pernod Ricard Sa</t>
        </is>
      </c>
      <c r="D412" t="n">
        <v>3.75</v>
      </c>
      <c r="E412" t="inlineStr">
        <is>
          <t>Sr Unsecured</t>
        </is>
      </c>
      <c r="F412" t="inlineStr">
        <is>
          <t>15.09.2033</t>
        </is>
      </c>
      <c r="G412" t="inlineStr">
        <is>
          <t>France</t>
        </is>
      </c>
      <c r="H412" t="inlineStr">
        <is>
          <t>Consumer, Non-cyclical</t>
        </is>
      </c>
      <c r="I412" t="n">
        <v>100</v>
      </c>
      <c r="J412" t="n">
        <v>102.219</v>
      </c>
      <c r="K412" t="n">
        <v>3.42601</v>
      </c>
      <c r="L412" t="n">
        <v>-0.120833</v>
      </c>
      <c r="M412" t="n">
        <v>-0.10533</v>
      </c>
      <c r="N412" t="n">
        <v>73.34130694</v>
      </c>
      <c r="O412" t="n">
        <v>6.949579238</v>
      </c>
      <c r="P412" t="n">
        <v>60</v>
      </c>
      <c r="Q412" t="inlineStr">
        <is>
          <t>Pernod Ricard produces and markets alcoholic beverages.</t>
        </is>
      </c>
      <c r="R412" t="inlineStr">
        <is>
          <t>EUR</t>
        </is>
      </c>
      <c r="S412" t="inlineStr">
        <is>
          <t>Investment Grade</t>
        </is>
      </c>
      <c r="T412" t="inlineStr">
        <is>
          <t>BBB+</t>
        </is>
      </c>
      <c r="U412" t="inlineStr">
        <is>
          <t>BBB+</t>
        </is>
      </c>
    </row>
    <row r="413">
      <c r="A413" t="inlineStr">
        <is>
          <t>XS2830466137</t>
        </is>
      </c>
      <c r="B413" t="inlineStr">
        <is>
          <t>Top Pick</t>
        </is>
      </c>
      <c r="C413" t="inlineStr">
        <is>
          <t>American Tower Corp</t>
        </is>
      </c>
      <c r="D413" t="n">
        <v>3.9</v>
      </c>
      <c r="E413" t="inlineStr">
        <is>
          <t>Sr Unsecured</t>
        </is>
      </c>
      <c r="F413" t="inlineStr">
        <is>
          <t>16.05.2030</t>
        </is>
      </c>
      <c r="G413" t="inlineStr">
        <is>
          <t>United states</t>
        </is>
      </c>
      <c r="H413" t="inlineStr">
        <is>
          <t>Financial</t>
        </is>
      </c>
      <c r="I413" t="n">
        <v>100</v>
      </c>
      <c r="J413" t="n">
        <v>103.826</v>
      </c>
      <c r="K413" t="n">
        <v>2.999164</v>
      </c>
      <c r="L413" t="n">
        <v>-0.096414</v>
      </c>
      <c r="M413" t="n">
        <v>-0.082409</v>
      </c>
      <c r="N413" t="n">
        <v>73.05401225</v>
      </c>
      <c r="O413" t="n">
        <v>4.357010054</v>
      </c>
      <c r="P413" t="n">
        <v>60</v>
      </c>
      <c r="Q413" t="inlineStr">
        <is>
          <t>Europe's largest telecom tower operator</t>
        </is>
      </c>
      <c r="R413" t="inlineStr">
        <is>
          <t>EUR</t>
        </is>
      </c>
      <c r="S413" t="inlineStr">
        <is>
          <t>Investment Grade</t>
        </is>
      </c>
      <c r="T413" t="inlineStr">
        <is>
          <t>BBB</t>
        </is>
      </c>
      <c r="U413" t="inlineStr">
        <is>
          <t>BBB</t>
        </is>
      </c>
    </row>
    <row r="414">
      <c r="A414" t="inlineStr">
        <is>
          <t>US278642BB85</t>
        </is>
      </c>
      <c r="B414" t="inlineStr">
        <is>
          <t>Hold</t>
        </is>
      </c>
      <c r="C414" t="inlineStr">
        <is>
          <t>Ebay Inc</t>
        </is>
      </c>
      <c r="D414" t="n">
        <v>6.3</v>
      </c>
      <c r="E414" t="inlineStr">
        <is>
          <t>Sr Unsecured</t>
        </is>
      </c>
      <c r="F414" t="inlineStr">
        <is>
          <t>22.11.2032</t>
        </is>
      </c>
      <c r="G414" t="inlineStr">
        <is>
          <t>United states</t>
        </is>
      </c>
      <c r="H414" t="inlineStr">
        <is>
          <t>Communications</t>
        </is>
      </c>
      <c r="I414" t="n">
        <v>2</v>
      </c>
      <c r="J414" t="n">
        <v>108.466</v>
      </c>
      <c r="K414" t="n">
        <v>4.878428</v>
      </c>
      <c r="L414" t="n">
        <v>0.06383800000000001</v>
      </c>
      <c r="M414" t="n">
        <v>-0.135301</v>
      </c>
      <c r="N414" t="n">
        <v>72.88875345</v>
      </c>
      <c r="O414" t="n">
        <v>5.907190381</v>
      </c>
      <c r="P414" t="n">
        <v>85</v>
      </c>
      <c r="Q414" t="inlineStr">
        <is>
          <t>E-commerce company providing C2C and B2C sales services via internet</t>
        </is>
      </c>
      <c r="R414" t="inlineStr">
        <is>
          <t>USD</t>
        </is>
      </c>
      <c r="S414" t="inlineStr">
        <is>
          <t>Investment Grade</t>
        </is>
      </c>
      <c r="T414" t="inlineStr">
        <is>
          <t>BBB+</t>
        </is>
      </c>
      <c r="U414" t="inlineStr">
        <is>
          <t>BBB+</t>
        </is>
      </c>
    </row>
    <row r="415">
      <c r="A415" t="inlineStr">
        <is>
          <t xml:space="preserve">FR001400F2Q0 </t>
        </is>
      </c>
      <c r="B415" t="inlineStr">
        <is>
          <t xml:space="preserve">Hold </t>
        </is>
      </c>
      <c r="C415" t="inlineStr">
        <is>
          <t>Air France-Klm</t>
        </is>
      </c>
      <c r="D415" t="n">
        <v>7.25</v>
      </c>
      <c r="E415" t="inlineStr">
        <is>
          <t>Sr Unsecured</t>
        </is>
      </c>
      <c r="F415" t="inlineStr">
        <is>
          <t>31.05.2026</t>
        </is>
      </c>
      <c r="G415" t="inlineStr">
        <is>
          <t>France</t>
        </is>
      </c>
      <c r="H415" t="inlineStr">
        <is>
          <t>Consumer, Cyclical</t>
        </is>
      </c>
      <c r="I415" t="n">
        <v>100</v>
      </c>
      <c r="J415" t="n">
        <v>103.697</v>
      </c>
      <c r="K415" t="n">
        <v>2.561821</v>
      </c>
      <c r="L415" t="n">
        <v>-0.13952</v>
      </c>
      <c r="M415" t="n">
        <v>-0.144487</v>
      </c>
      <c r="N415" t="n">
        <v>72.58380403</v>
      </c>
      <c r="O415" t="n">
        <v>1.089174688</v>
      </c>
      <c r="P415" t="n">
        <v>25</v>
      </c>
      <c r="Q415" t="inlineStr">
        <is>
          <t>Offers air transportation services</t>
        </is>
      </c>
      <c r="R415" t="inlineStr">
        <is>
          <t>EUR</t>
        </is>
      </c>
      <c r="S415" t="inlineStr">
        <is>
          <t>High Yield</t>
        </is>
      </c>
      <c r="T415" t="inlineStr">
        <is>
          <t>BB+</t>
        </is>
      </c>
      <c r="U415" t="inlineStr">
        <is>
          <t>BB+</t>
        </is>
      </c>
    </row>
    <row r="416">
      <c r="A416" t="inlineStr">
        <is>
          <t>US487836BZ07</t>
        </is>
      </c>
      <c r="B416" t="inlineStr">
        <is>
          <t>Hold</t>
        </is>
      </c>
      <c r="C416" t="inlineStr">
        <is>
          <t>Kellanova</t>
        </is>
      </c>
      <c r="D416" t="n">
        <v>5.25</v>
      </c>
      <c r="E416" t="inlineStr">
        <is>
          <t>Sr Unsecured</t>
        </is>
      </c>
      <c r="F416" t="inlineStr">
        <is>
          <t>01.03.2033</t>
        </is>
      </c>
      <c r="G416" t="inlineStr">
        <is>
          <t>United states</t>
        </is>
      </c>
      <c r="H416" t="inlineStr">
        <is>
          <t>Consumer, Non-cyclical</t>
        </is>
      </c>
      <c r="I416" t="n">
        <v>2</v>
      </c>
      <c r="J416" t="n">
        <v>102.044</v>
      </c>
      <c r="K416" t="n">
        <v>4.916789</v>
      </c>
      <c r="L416" t="n">
        <v>-0.033377</v>
      </c>
      <c r="M416" t="n">
        <v>-0.189357</v>
      </c>
      <c r="N416" t="n">
        <v>72.37488833</v>
      </c>
      <c r="O416" t="n">
        <v>6.32912097</v>
      </c>
      <c r="P416" t="n">
        <v>60</v>
      </c>
      <c r="Q416" t="inlineStr">
        <is>
          <t>Leading producer of cereals, cookies, crackers, snacks and frozen food</t>
        </is>
      </c>
      <c r="R416" t="inlineStr">
        <is>
          <t>USD</t>
        </is>
      </c>
      <c r="S416" t="inlineStr">
        <is>
          <t>Investment Grade</t>
        </is>
      </c>
      <c r="T416" t="inlineStr">
        <is>
          <t>BBB+</t>
        </is>
      </c>
      <c r="U416" t="inlineStr">
        <is>
          <t>BBB</t>
        </is>
      </c>
    </row>
    <row r="417">
      <c r="A417" t="inlineStr">
        <is>
          <t xml:space="preserve"> XS1944412748</t>
        </is>
      </c>
      <c r="B417" t="inlineStr">
        <is>
          <t>Top Pick</t>
        </is>
      </c>
      <c r="C417" t="inlineStr">
        <is>
          <t>Oman Gov Interntl Bond</t>
        </is>
      </c>
      <c r="D417" t="n">
        <v>6</v>
      </c>
      <c r="E417" t="inlineStr">
        <is>
          <t>Sr Unsecured</t>
        </is>
      </c>
      <c r="F417" t="inlineStr">
        <is>
          <t>01.08.2029</t>
        </is>
      </c>
      <c r="G417" t="inlineStr">
        <is>
          <t>Oman</t>
        </is>
      </c>
      <c r="H417" t="inlineStr">
        <is>
          <t>Government</t>
        </is>
      </c>
      <c r="I417" t="n">
        <v>200</v>
      </c>
      <c r="J417" t="n">
        <v>105.072</v>
      </c>
      <c r="K417" t="n">
        <v>4.615203</v>
      </c>
      <c r="L417" t="n">
        <v>-0.0631</v>
      </c>
      <c r="M417" t="n">
        <v>-0.409598</v>
      </c>
      <c r="N417" t="n">
        <v>72.17294265</v>
      </c>
      <c r="O417" t="n">
        <v>3.847162372</v>
      </c>
      <c r="P417" t="n">
        <v>0</v>
      </c>
      <c r="Q417" t="inlineStr">
        <is>
          <t xml:space="preserve">Oman government bond </t>
        </is>
      </c>
      <c r="R417" t="inlineStr">
        <is>
          <t>USD</t>
        </is>
      </c>
      <c r="S417" t="inlineStr">
        <is>
          <t>High Yield</t>
        </is>
      </c>
      <c r="T417" t="inlineStr">
        <is>
          <t>BB+</t>
        </is>
      </c>
      <c r="U417" t="inlineStr">
        <is>
          <t>BB+</t>
        </is>
      </c>
    </row>
    <row r="418">
      <c r="A418" t="inlineStr">
        <is>
          <t>XS2247549731</t>
        </is>
      </c>
      <c r="B418" t="inlineStr">
        <is>
          <t>Top Pick</t>
        </is>
      </c>
      <c r="C418" t="inlineStr">
        <is>
          <t>Cellnex Telecom Sa</t>
        </is>
      </c>
      <c r="D418" t="n">
        <v>1.75</v>
      </c>
      <c r="E418" t="inlineStr">
        <is>
          <t>Sr Unsecured</t>
        </is>
      </c>
      <c r="F418" t="inlineStr">
        <is>
          <t>23.10.2030</t>
        </is>
      </c>
      <c r="G418" t="inlineStr">
        <is>
          <t>Spain</t>
        </is>
      </c>
      <c r="H418" t="inlineStr">
        <is>
          <t>Industrial</t>
        </is>
      </c>
      <c r="I418" t="n">
        <v>100</v>
      </c>
      <c r="J418" t="n">
        <v>93.663</v>
      </c>
      <c r="K418" t="n">
        <v>3.064752</v>
      </c>
      <c r="L418" t="n">
        <v>-0.117244</v>
      </c>
      <c r="M418" t="n">
        <v>-0.09760199999999999</v>
      </c>
      <c r="N418" t="n">
        <v>71.42557477</v>
      </c>
      <c r="O418" t="n">
        <v>5.225022178</v>
      </c>
      <c r="P418" t="n">
        <v>60</v>
      </c>
      <c r="Q418" t="inlineStr">
        <is>
          <t>Europe's largest telecom tower operator</t>
        </is>
      </c>
      <c r="R418" t="inlineStr">
        <is>
          <t>EUR</t>
        </is>
      </c>
      <c r="S418" t="inlineStr">
        <is>
          <t>Investment Grade</t>
        </is>
      </c>
      <c r="T418" t="inlineStr">
        <is>
          <t>BBB-</t>
        </is>
      </c>
      <c r="U418" t="inlineStr">
        <is>
          <t>BBB-</t>
        </is>
      </c>
    </row>
    <row r="419">
      <c r="A419" t="inlineStr">
        <is>
          <t>XS2676818482</t>
        </is>
      </c>
      <c r="B419" t="inlineStr">
        <is>
          <t>Hold</t>
        </is>
      </c>
      <c r="C419" t="inlineStr">
        <is>
          <t>Securitas Treasury Irela</t>
        </is>
      </c>
      <c r="D419" t="n">
        <v>4.375</v>
      </c>
      <c r="E419" t="inlineStr">
        <is>
          <t>Sr Unsecured</t>
        </is>
      </c>
      <c r="F419" t="inlineStr">
        <is>
          <t>06.03.2029</t>
        </is>
      </c>
      <c r="G419" t="inlineStr">
        <is>
          <t>Sweden</t>
        </is>
      </c>
      <c r="H419" t="inlineStr">
        <is>
          <t>Consumer, Non-cyclical</t>
        </is>
      </c>
      <c r="I419" t="n">
        <v>100</v>
      </c>
      <c r="J419" t="n">
        <v>105.092</v>
      </c>
      <c r="K419" t="n">
        <v>2.788462</v>
      </c>
      <c r="L419" t="n">
        <v>-0.088112</v>
      </c>
      <c r="M419" t="n">
        <v>-0.09637999999999999</v>
      </c>
      <c r="N419" t="n">
        <v>70.71961595000001</v>
      </c>
      <c r="O419" t="n">
        <v>3.327238929</v>
      </c>
      <c r="P419" t="n">
        <v>60</v>
      </c>
      <c r="Q419" t="inlineStr">
        <is>
          <t>Provides security services</t>
        </is>
      </c>
      <c r="R419" t="inlineStr">
        <is>
          <t>EUR</t>
        </is>
      </c>
      <c r="S419" t="inlineStr">
        <is>
          <t>Investment Grade</t>
        </is>
      </c>
      <c r="T419" t="inlineStr">
        <is>
          <t>NR</t>
        </is>
      </c>
      <c r="U419" t="inlineStr">
        <is>
          <t>NR</t>
        </is>
      </c>
    </row>
    <row r="420">
      <c r="A420" t="inlineStr">
        <is>
          <t>XS2577396430</t>
        </is>
      </c>
      <c r="B420" t="inlineStr">
        <is>
          <t xml:space="preserve">Hold </t>
        </is>
      </c>
      <c r="C420" t="inlineStr">
        <is>
          <t>Pirelli &amp; C Spa</t>
        </is>
      </c>
      <c r="D420" t="n">
        <v>4.25</v>
      </c>
      <c r="E420" t="inlineStr">
        <is>
          <t>Sr Unsecured</t>
        </is>
      </c>
      <c r="F420" t="inlineStr">
        <is>
          <t>18.01.2028</t>
        </is>
      </c>
      <c r="G420" t="inlineStr">
        <is>
          <t>Italy</t>
        </is>
      </c>
      <c r="H420" t="inlineStr">
        <is>
          <t>Consumer, Cyclical</t>
        </is>
      </c>
      <c r="I420" t="n">
        <v>100</v>
      </c>
      <c r="J420" t="n">
        <v>103.746</v>
      </c>
      <c r="K420" t="n">
        <v>2.642798</v>
      </c>
      <c r="L420" t="n">
        <v>-0.078719</v>
      </c>
      <c r="M420" t="n">
        <v>-0.155586</v>
      </c>
      <c r="N420" t="n">
        <v>70.69221862000001</v>
      </c>
      <c r="O420" t="n">
        <v>2.62649132</v>
      </c>
      <c r="P420" t="n">
        <v>60</v>
      </c>
      <c r="Q420" t="inlineStr">
        <is>
          <t>Designs, produces and sells tires for cars, motorcycles and bicycles</t>
        </is>
      </c>
      <c r="R420" t="inlineStr">
        <is>
          <t>EUR</t>
        </is>
      </c>
      <c r="S420" t="inlineStr">
        <is>
          <t>Investment Grade</t>
        </is>
      </c>
      <c r="T420" t="inlineStr">
        <is>
          <t>BBB-</t>
        </is>
      </c>
      <c r="U420" t="inlineStr">
        <is>
          <t>BBB-</t>
        </is>
      </c>
    </row>
    <row r="421">
      <c r="A421" t="inlineStr">
        <is>
          <t>XS2892967949</t>
        </is>
      </c>
      <c r="B421" t="inlineStr">
        <is>
          <t>Hold</t>
        </is>
      </c>
      <c r="C421" t="inlineStr">
        <is>
          <t>Fed Caisses Desjardins</t>
        </is>
      </c>
      <c r="D421" t="n">
        <v>3.467</v>
      </c>
      <c r="E421" t="inlineStr">
        <is>
          <t>Sr Unsecured</t>
        </is>
      </c>
      <c r="F421" t="inlineStr">
        <is>
          <t>05.09.2029</t>
        </is>
      </c>
      <c r="G421" t="inlineStr">
        <is>
          <t>Canada</t>
        </is>
      </c>
      <c r="H421" t="inlineStr">
        <is>
          <t>Financial</t>
        </is>
      </c>
      <c r="I421" t="n">
        <v>100</v>
      </c>
      <c r="J421" t="n">
        <v>102.28</v>
      </c>
      <c r="K421" t="n">
        <v>2.875801</v>
      </c>
      <c r="L421" t="n">
        <v>-0.025078</v>
      </c>
      <c r="M421" t="n">
        <v>0.009783</v>
      </c>
      <c r="N421" t="n">
        <v>70.56457574</v>
      </c>
      <c r="O421" t="n">
        <v>4.085077125</v>
      </c>
      <c r="P421" t="n">
        <v>0</v>
      </c>
      <c r="Q421" t="inlineStr">
        <is>
          <t xml:space="preserve">Candian cooperative financial group </t>
        </is>
      </c>
      <c r="R421" t="inlineStr">
        <is>
          <t>EUR</t>
        </is>
      </c>
      <c r="S421" t="inlineStr">
        <is>
          <t>Investment Grade</t>
        </is>
      </c>
      <c r="T421" t="inlineStr">
        <is>
          <t>A+</t>
        </is>
      </c>
      <c r="U421" t="inlineStr">
        <is>
          <t>A+</t>
        </is>
      </c>
    </row>
    <row r="422">
      <c r="A422" t="inlineStr">
        <is>
          <t>XS2574220971</t>
        </is>
      </c>
      <c r="B422" t="inlineStr">
        <is>
          <t xml:space="preserve">Hold </t>
        </is>
      </c>
      <c r="C422" t="inlineStr">
        <is>
          <t>Toronto-Dominion Bank</t>
        </is>
      </c>
      <c r="D422" t="n">
        <v>5.288</v>
      </c>
      <c r="E422" t="inlineStr">
        <is>
          <t>Sr Unsecured</t>
        </is>
      </c>
      <c r="F422" t="inlineStr">
        <is>
          <t>11.01.2028</t>
        </is>
      </c>
      <c r="G422" t="inlineStr">
        <is>
          <t>Canada</t>
        </is>
      </c>
      <c r="H422" t="inlineStr">
        <is>
          <t>Financial</t>
        </is>
      </c>
      <c r="I422" t="n">
        <v>100</v>
      </c>
      <c r="J422" t="n">
        <v>101.858</v>
      </c>
      <c r="K422" t="n">
        <v>4.427809</v>
      </c>
      <c r="L422" t="n">
        <v>-0.036802</v>
      </c>
      <c r="M422" t="n">
        <v>-0.279461</v>
      </c>
      <c r="N422" t="n">
        <v>70.05101379</v>
      </c>
      <c r="O422" t="n">
        <v>2.606477517</v>
      </c>
      <c r="P422" t="n">
        <v>80</v>
      </c>
      <c r="Q422" t="inlineStr">
        <is>
          <t>Second largest bank in Canada</t>
        </is>
      </c>
      <c r="R422" t="inlineStr">
        <is>
          <t>GBP</t>
        </is>
      </c>
      <c r="S422" t="inlineStr">
        <is>
          <t>Investment Grade</t>
        </is>
      </c>
      <c r="T422" t="inlineStr">
        <is>
          <t>A</t>
        </is>
      </c>
      <c r="U422" t="inlineStr">
        <is>
          <t>A</t>
        </is>
      </c>
    </row>
    <row r="423">
      <c r="A423" t="inlineStr">
        <is>
          <t>USG21776AA08</t>
        </is>
      </c>
      <c r="B423" t="inlineStr">
        <is>
          <t>Top pick</t>
        </is>
      </c>
      <c r="C423" t="inlineStr">
        <is>
          <t>Ck Hutchison Intl 24 Ii</t>
        </is>
      </c>
      <c r="D423" t="n">
        <v>4.375</v>
      </c>
      <c r="E423" t="inlineStr">
        <is>
          <t>Sr Unsecured</t>
        </is>
      </c>
      <c r="F423" t="inlineStr">
        <is>
          <t>13.03.2030</t>
        </is>
      </c>
      <c r="G423" t="inlineStr">
        <is>
          <t>United Kingdom</t>
        </is>
      </c>
      <c r="H423" t="inlineStr">
        <is>
          <t>Consumer, Cyclical</t>
        </is>
      </c>
      <c r="I423" t="n">
        <v>200</v>
      </c>
      <c r="J423" t="n">
        <v>98.95099999999999</v>
      </c>
      <c r="K423" t="n">
        <v>4.625439</v>
      </c>
      <c r="L423" t="n">
        <v>0.064523</v>
      </c>
      <c r="M423" t="n">
        <v>-0.107273</v>
      </c>
      <c r="N423" t="n">
        <v>70.00796016</v>
      </c>
      <c r="O423" t="n">
        <v>4.398008322</v>
      </c>
      <c r="P423" t="n">
        <v>0</v>
      </c>
      <c r="Q423" t="inlineStr">
        <is>
          <t xml:space="preserve">Retails prescription drugs and medicines </t>
        </is>
      </c>
      <c r="R423" t="inlineStr">
        <is>
          <t>USD</t>
        </is>
      </c>
      <c r="S423" t="inlineStr">
        <is>
          <t>Investment Grade</t>
        </is>
      </c>
      <c r="T423" t="inlineStr">
        <is>
          <t>A-</t>
        </is>
      </c>
      <c r="U423" t="inlineStr">
        <is>
          <t>A-</t>
        </is>
      </c>
    </row>
    <row r="424">
      <c r="A424" t="inlineStr">
        <is>
          <t>FR001400G3Y1</t>
        </is>
      </c>
      <c r="B424" t="inlineStr">
        <is>
          <t>Not accumulate</t>
        </is>
      </c>
      <c r="C424" t="inlineStr">
        <is>
          <t>Kering</t>
        </is>
      </c>
      <c r="D424" t="n">
        <v>3.25</v>
      </c>
      <c r="E424" t="inlineStr">
        <is>
          <t>Sr Unsecured</t>
        </is>
      </c>
      <c r="F424" t="inlineStr">
        <is>
          <t>27.02.2029</t>
        </is>
      </c>
      <c r="G424" t="inlineStr">
        <is>
          <t>France</t>
        </is>
      </c>
      <c r="H424" t="inlineStr">
        <is>
          <t>Consumer, Cyclical</t>
        </is>
      </c>
      <c r="I424" t="n">
        <v>100</v>
      </c>
      <c r="J424" t="n">
        <v>101.423</v>
      </c>
      <c r="K424" t="n">
        <v>2.80292</v>
      </c>
      <c r="L424" t="n">
        <v>-0.05905</v>
      </c>
      <c r="M424" t="n">
        <v>-0.006844</v>
      </c>
      <c r="N424" t="n">
        <v>69.97520686</v>
      </c>
      <c r="O424" t="n">
        <v>3.387266427</v>
      </c>
      <c r="P424" t="n">
        <v>85</v>
      </c>
      <c r="Q424" t="inlineStr">
        <is>
          <t>Designs, manufactures, and markets fashion and leather goods</t>
        </is>
      </c>
      <c r="R424" t="inlineStr">
        <is>
          <t>EUR</t>
        </is>
      </c>
      <c r="S424" t="inlineStr">
        <is>
          <t>Investment Grade</t>
        </is>
      </c>
      <c r="T424" t="inlineStr">
        <is>
          <t>NR</t>
        </is>
      </c>
      <c r="U424" t="inlineStr">
        <is>
          <t>NR</t>
        </is>
      </c>
    </row>
    <row r="425">
      <c r="A425" t="inlineStr">
        <is>
          <t>XS1664644983</t>
        </is>
      </c>
      <c r="B425" t="inlineStr">
        <is>
          <t>Top Pick</t>
        </is>
      </c>
      <c r="C425" t="inlineStr">
        <is>
          <t>Bat Intl Finance Plc</t>
        </is>
      </c>
      <c r="D425" t="n">
        <v>2.25</v>
      </c>
      <c r="E425" t="inlineStr">
        <is>
          <t>Sr Unsecured</t>
        </is>
      </c>
      <c r="F425" t="inlineStr">
        <is>
          <t>16.01.2030</t>
        </is>
      </c>
      <c r="G425" t="inlineStr">
        <is>
          <t>United Kingdom</t>
        </is>
      </c>
      <c r="H425" t="inlineStr">
        <is>
          <t>Consumer, Non-cyclical</t>
        </is>
      </c>
      <c r="I425" t="n">
        <v>100</v>
      </c>
      <c r="J425" t="n">
        <v>97.122</v>
      </c>
      <c r="K425" t="n">
        <v>2.936921</v>
      </c>
      <c r="L425" t="n">
        <v>-0.082562</v>
      </c>
      <c r="M425" t="n">
        <v>-0.101718</v>
      </c>
      <c r="N425" t="n">
        <v>69.96512928999999</v>
      </c>
      <c r="O425" t="n">
        <v>4.525232603</v>
      </c>
      <c r="P425" t="n">
        <v>60</v>
      </c>
      <c r="Q425" t="inlineStr">
        <is>
          <t>B.A.T. International Finance P.L.C. provides tobacco products.</t>
        </is>
      </c>
      <c r="R425" t="inlineStr">
        <is>
          <t>EUR</t>
        </is>
      </c>
      <c r="S425" t="inlineStr">
        <is>
          <t>Investment Grade</t>
        </is>
      </c>
      <c r="T425" t="inlineStr">
        <is>
          <t>BBB+</t>
        </is>
      </c>
      <c r="U425" t="inlineStr">
        <is>
          <t>BBB+</t>
        </is>
      </c>
    </row>
    <row r="426">
      <c r="A426" t="inlineStr">
        <is>
          <t>USY77108AA93</t>
        </is>
      </c>
      <c r="B426" t="inlineStr">
        <is>
          <t>Top Pick</t>
        </is>
      </c>
      <c r="C426" t="inlineStr">
        <is>
          <t>Xiaomi Best Time Intl</t>
        </is>
      </c>
      <c r="D426" t="n">
        <v>3.375</v>
      </c>
      <c r="E426" t="inlineStr">
        <is>
          <t>Sr Unsecured</t>
        </is>
      </c>
      <c r="F426" t="inlineStr">
        <is>
          <t>29.04.2030</t>
        </is>
      </c>
      <c r="G426" t="inlineStr">
        <is>
          <t>China</t>
        </is>
      </c>
      <c r="H426" t="inlineStr">
        <is>
          <t>Communications</t>
        </is>
      </c>
      <c r="I426" t="n">
        <v>200</v>
      </c>
      <c r="J426" t="n">
        <v>94.651</v>
      </c>
      <c r="K426" t="n">
        <v>4.627492</v>
      </c>
      <c r="L426" t="n">
        <v>0.072755</v>
      </c>
      <c r="M426" t="n">
        <v>-0.004062</v>
      </c>
      <c r="N426" t="n">
        <v>69.85560191</v>
      </c>
      <c r="O426" t="n">
        <v>4.616413321</v>
      </c>
      <c r="P426" t="n">
        <v>25</v>
      </c>
      <c r="Q426" t="inlineStr">
        <is>
          <t>Xiaomi Best time International Limited is a special purpose vehicle</t>
        </is>
      </c>
      <c r="R426" t="inlineStr">
        <is>
          <t>USD</t>
        </is>
      </c>
      <c r="S426" t="inlineStr">
        <is>
          <t>Investment Grade</t>
        </is>
      </c>
      <c r="T426" t="inlineStr">
        <is>
          <t>BBB</t>
        </is>
      </c>
      <c r="U426" t="inlineStr">
        <is>
          <t>BBB-</t>
        </is>
      </c>
    </row>
    <row r="427">
      <c r="A427" t="inlineStr">
        <is>
          <t>XS0291949120</t>
        </is>
      </c>
      <c r="B427" t="inlineStr">
        <is>
          <t>Hold</t>
        </is>
      </c>
      <c r="C427" t="inlineStr">
        <is>
          <t>At&amp;T Inc</t>
        </is>
      </c>
      <c r="D427" t="n">
        <v>5.5</v>
      </c>
      <c r="E427" t="inlineStr">
        <is>
          <t>Sr Unsecured</t>
        </is>
      </c>
      <c r="F427" t="inlineStr">
        <is>
          <t>15.03.2027</t>
        </is>
      </c>
      <c r="G427" t="inlineStr">
        <is>
          <t>United states</t>
        </is>
      </c>
      <c r="H427" t="inlineStr">
        <is>
          <t>Communications</t>
        </is>
      </c>
      <c r="I427" t="n">
        <v>50</v>
      </c>
      <c r="J427" t="n">
        <v>101.597</v>
      </c>
      <c r="K427" t="n">
        <v>4.428232</v>
      </c>
      <c r="L427" t="n">
        <v>-0.029061</v>
      </c>
      <c r="M427" t="n">
        <v>-0.26753</v>
      </c>
      <c r="N427" t="n">
        <v>69.81092217</v>
      </c>
      <c r="O427" t="n">
        <v>1.814029859</v>
      </c>
      <c r="P427" t="n">
        <v>75</v>
      </c>
      <c r="Q427" t="inlineStr">
        <is>
          <t xml:space="preserve">One of the largest US telecom companies </t>
        </is>
      </c>
      <c r="R427" t="inlineStr">
        <is>
          <t>GBP</t>
        </is>
      </c>
      <c r="S427" t="inlineStr">
        <is>
          <t>Investment Grade</t>
        </is>
      </c>
      <c r="T427" t="inlineStr">
        <is>
          <t>BBB</t>
        </is>
      </c>
      <c r="U427" t="inlineStr">
        <is>
          <t>BBB</t>
        </is>
      </c>
    </row>
    <row r="428">
      <c r="A428" t="inlineStr">
        <is>
          <t>CH1154887140</t>
        </is>
      </c>
      <c r="B428" t="inlineStr">
        <is>
          <t>Hold</t>
        </is>
      </c>
      <c r="C428" t="inlineStr">
        <is>
          <t>Holcim Helvetia</t>
        </is>
      </c>
      <c r="D428" t="n">
        <v>1</v>
      </c>
      <c r="E428" t="inlineStr">
        <is>
          <t>Sr Unsecured</t>
        </is>
      </c>
      <c r="F428" t="inlineStr">
        <is>
          <t>19.01.2032</t>
        </is>
      </c>
      <c r="G428" t="inlineStr">
        <is>
          <t>Switzerland</t>
        </is>
      </c>
      <c r="H428" t="inlineStr">
        <is>
          <t>Industrial</t>
        </is>
      </c>
      <c r="I428" t="n">
        <v>5</v>
      </c>
      <c r="J428" t="n">
        <v>100.379</v>
      </c>
      <c r="K428" t="n">
        <v>0.9375790000000001</v>
      </c>
      <c r="L428" t="n">
        <v>0.015717</v>
      </c>
      <c r="M428" t="n">
        <v>0.158852</v>
      </c>
      <c r="N428" t="n">
        <v>69.57367981</v>
      </c>
      <c r="O428" t="n">
        <v>6.402624669</v>
      </c>
      <c r="P428" t="n">
        <v>60</v>
      </c>
      <c r="Q428" t="inlineStr">
        <is>
          <t>Provides construction materials and solutions</t>
        </is>
      </c>
      <c r="R428" t="inlineStr">
        <is>
          <t>CHF</t>
        </is>
      </c>
      <c r="S428" t="inlineStr">
        <is>
          <t>Investment Grade</t>
        </is>
      </c>
      <c r="T428" t="inlineStr">
        <is>
          <t>BBB+</t>
        </is>
      </c>
      <c r="U428" t="inlineStr">
        <is>
          <t>BBB+</t>
        </is>
      </c>
    </row>
    <row r="429">
      <c r="A429" t="inlineStr">
        <is>
          <t>XS2626291129</t>
        </is>
      </c>
      <c r="B429" t="inlineStr">
        <is>
          <t xml:space="preserve">Hold </t>
        </is>
      </c>
      <c r="C429" t="inlineStr">
        <is>
          <t>Maf Sukuk Ltd</t>
        </is>
      </c>
      <c r="D429" t="n">
        <v>5</v>
      </c>
      <c r="E429" t="inlineStr">
        <is>
          <t>Sr Unsecured</t>
        </is>
      </c>
      <c r="F429" t="inlineStr">
        <is>
          <t>01.06.2033</t>
        </is>
      </c>
      <c r="G429" t="inlineStr">
        <is>
          <t>U.A.E</t>
        </is>
      </c>
      <c r="H429" t="inlineStr">
        <is>
          <t>Financial</t>
        </is>
      </c>
      <c r="I429" t="n">
        <v>200</v>
      </c>
      <c r="J429" t="n">
        <v>100.654</v>
      </c>
      <c r="K429" t="n">
        <v>4.89826</v>
      </c>
      <c r="L429" t="n">
        <v>-0.069506</v>
      </c>
      <c r="M429" t="n">
        <v>-0.229916</v>
      </c>
      <c r="N429" t="n">
        <v>69.54100381000001</v>
      </c>
      <c r="O429" t="n">
        <v>6.605909935</v>
      </c>
      <c r="P429" t="n">
        <v>60</v>
      </c>
      <c r="Q429" t="inlineStr">
        <is>
          <t>UAE conglomerate in shopping centres and exclusive Carrefour franchisee</t>
        </is>
      </c>
      <c r="R429" t="inlineStr">
        <is>
          <t>USD</t>
        </is>
      </c>
      <c r="S429" t="inlineStr">
        <is>
          <t>Investment Grade</t>
        </is>
      </c>
      <c r="T429" t="inlineStr">
        <is>
          <t>BBB</t>
        </is>
      </c>
      <c r="U429" t="inlineStr">
        <is>
          <t>BBB</t>
        </is>
      </c>
    </row>
    <row r="430">
      <c r="A430" t="inlineStr">
        <is>
          <t>US105756BZ27</t>
        </is>
      </c>
      <c r="B430" t="inlineStr">
        <is>
          <t>Hold</t>
        </is>
      </c>
      <c r="C430" t="inlineStr">
        <is>
          <t>Fed Republic Of Brazil</t>
        </is>
      </c>
      <c r="D430" t="n">
        <v>4.625</v>
      </c>
      <c r="E430" t="inlineStr">
        <is>
          <t>Sr Unsecured</t>
        </is>
      </c>
      <c r="F430" t="inlineStr">
        <is>
          <t>13.01.2028</t>
        </is>
      </c>
      <c r="G430" t="inlineStr">
        <is>
          <t>Brazil</t>
        </is>
      </c>
      <c r="H430" t="inlineStr">
        <is>
          <t>Government</t>
        </is>
      </c>
      <c r="I430" t="n">
        <v>200</v>
      </c>
      <c r="J430" t="n">
        <v>100.057</v>
      </c>
      <c r="K430" t="n">
        <v>4.602129</v>
      </c>
      <c r="L430" t="n">
        <v>-0.027345</v>
      </c>
      <c r="M430" t="n">
        <v>-0.375914</v>
      </c>
      <c r="N430" t="n">
        <v>69.06819668999999</v>
      </c>
      <c r="O430" t="n">
        <v>2.655217784</v>
      </c>
      <c r="P430" t="n">
        <v>25</v>
      </c>
      <c r="Q430" t="inlineStr">
        <is>
          <t>Brazilian Governemnt</t>
        </is>
      </c>
      <c r="R430" t="inlineStr">
        <is>
          <t>USD</t>
        </is>
      </c>
      <c r="S430" t="inlineStr">
        <is>
          <t>Latin America</t>
        </is>
      </c>
      <c r="T430" t="inlineStr">
        <is>
          <t>BB</t>
        </is>
      </c>
      <c r="U430" t="inlineStr">
        <is>
          <t>BB</t>
        </is>
      </c>
    </row>
    <row r="431">
      <c r="A431" t="inlineStr">
        <is>
          <t>XS2555221246</t>
        </is>
      </c>
      <c r="B431" t="inlineStr">
        <is>
          <t xml:space="preserve">Hold </t>
        </is>
      </c>
      <c r="C431" t="inlineStr">
        <is>
          <t>Booking Holdings Inc</t>
        </is>
      </c>
      <c r="D431" t="n">
        <v>4.75</v>
      </c>
      <c r="E431" t="inlineStr">
        <is>
          <t>Sr Unsecured</t>
        </is>
      </c>
      <c r="F431" t="inlineStr">
        <is>
          <t>15.11.2034</t>
        </is>
      </c>
      <c r="G431" t="inlineStr">
        <is>
          <t>United states</t>
        </is>
      </c>
      <c r="H431" t="inlineStr">
        <is>
          <t>Communications</t>
        </is>
      </c>
      <c r="I431" t="n">
        <v>100</v>
      </c>
      <c r="J431" t="n">
        <v>109.795</v>
      </c>
      <c r="K431" t="n">
        <v>3.47542</v>
      </c>
      <c r="L431" t="n">
        <v>-0.163743</v>
      </c>
      <c r="M431" t="n">
        <v>-0.08579000000000001</v>
      </c>
      <c r="N431" t="n">
        <v>68.83934911999999</v>
      </c>
      <c r="O431" t="n">
        <v>7.592051132</v>
      </c>
      <c r="P431" t="n">
        <v>80</v>
      </c>
      <c r="Q431" t="inlineStr">
        <is>
          <t>Online travel company</t>
        </is>
      </c>
      <c r="R431" t="inlineStr">
        <is>
          <t>EUR</t>
        </is>
      </c>
      <c r="S431" t="inlineStr">
        <is>
          <t>Investment Grade</t>
        </is>
      </c>
      <c r="T431" t="inlineStr">
        <is>
          <t>A-</t>
        </is>
      </c>
      <c r="U431" t="inlineStr">
        <is>
          <t>A-</t>
        </is>
      </c>
    </row>
    <row r="432">
      <c r="A432" t="inlineStr">
        <is>
          <t>US437076CK64</t>
        </is>
      </c>
      <c r="B432" t="inlineStr">
        <is>
          <t>Hold</t>
        </is>
      </c>
      <c r="C432" t="inlineStr">
        <is>
          <t>Home Depot Inc</t>
        </is>
      </c>
      <c r="D432" t="n">
        <v>2.75</v>
      </c>
      <c r="E432" t="inlineStr">
        <is>
          <t>Sr Unsecured</t>
        </is>
      </c>
      <c r="F432" t="inlineStr">
        <is>
          <t>15.09.2051</t>
        </is>
      </c>
      <c r="G432" t="inlineStr">
        <is>
          <t>United states</t>
        </is>
      </c>
      <c r="H432" t="inlineStr">
        <is>
          <t>Consumer, Cyclical</t>
        </is>
      </c>
      <c r="I432" t="n">
        <v>2</v>
      </c>
      <c r="J432" t="n">
        <v>61.133</v>
      </c>
      <c r="K432" t="n">
        <v>5.595165</v>
      </c>
      <c r="L432" t="n">
        <v>-0.041785</v>
      </c>
      <c r="M432" t="n">
        <v>-0.121853</v>
      </c>
      <c r="N432" t="n">
        <v>68.38681990000001</v>
      </c>
      <c r="O432" t="n">
        <v>15.86245956</v>
      </c>
      <c r="P432" t="n">
        <v>55</v>
      </c>
      <c r="Q432" t="inlineStr">
        <is>
          <t>Home improvement retailer</t>
        </is>
      </c>
      <c r="R432" t="inlineStr">
        <is>
          <t>USD</t>
        </is>
      </c>
      <c r="S432" t="inlineStr">
        <is>
          <t>Investment Grade</t>
        </is>
      </c>
      <c r="T432" t="inlineStr">
        <is>
          <t>A</t>
        </is>
      </c>
      <c r="U432" t="inlineStr">
        <is>
          <t>A</t>
        </is>
      </c>
    </row>
    <row r="433">
      <c r="A433" t="inlineStr">
        <is>
          <t xml:space="preserve"> US718172DQ97</t>
        </is>
      </c>
      <c r="B433" t="inlineStr">
        <is>
          <t xml:space="preserve">Hold </t>
        </is>
      </c>
      <c r="C433" t="inlineStr">
        <is>
          <t>Philip Morris Intl Inc</t>
        </is>
      </c>
      <c r="D433" t="n">
        <v>4.9</v>
      </c>
      <c r="E433" t="inlineStr">
        <is>
          <t>Sr Unsecured</t>
        </is>
      </c>
      <c r="F433" t="inlineStr">
        <is>
          <t>01.11.2034</t>
        </is>
      </c>
      <c r="G433" t="inlineStr">
        <is>
          <t>United states</t>
        </is>
      </c>
      <c r="H433" t="inlineStr">
        <is>
          <t>Consumer, Non-cyclical</t>
        </is>
      </c>
      <c r="I433" t="n">
        <v>2</v>
      </c>
      <c r="J433" t="n">
        <v>99.20399999999999</v>
      </c>
      <c r="K433" t="n">
        <v>5.006954</v>
      </c>
      <c r="L433" t="n">
        <v>-0.011279</v>
      </c>
      <c r="M433" t="n">
        <v>-0.129724</v>
      </c>
      <c r="N433" t="n">
        <v>68.32566378999999</v>
      </c>
      <c r="O433" t="n">
        <v>7.484815146</v>
      </c>
      <c r="P433" t="n">
        <v>0</v>
      </c>
      <c r="Q433" t="inlineStr">
        <is>
          <t>World's leading international tobacco company</t>
        </is>
      </c>
      <c r="R433" t="inlineStr">
        <is>
          <t>USD</t>
        </is>
      </c>
      <c r="S433" t="inlineStr">
        <is>
          <t>Investment Grade</t>
        </is>
      </c>
      <c r="T433" t="inlineStr">
        <is>
          <t>A-</t>
        </is>
      </c>
      <c r="U433" t="inlineStr">
        <is>
          <t>A-</t>
        </is>
      </c>
    </row>
    <row r="434">
      <c r="A434" t="inlineStr">
        <is>
          <t>US91087BAU44</t>
        </is>
      </c>
      <c r="B434" t="inlineStr">
        <is>
          <t>Hold</t>
        </is>
      </c>
      <c r="C434" t="inlineStr">
        <is>
          <t>United Mexican States</t>
        </is>
      </c>
      <c r="D434" t="n">
        <v>5.4</v>
      </c>
      <c r="E434" t="inlineStr">
        <is>
          <t>Sr Unsecured</t>
        </is>
      </c>
      <c r="F434" t="inlineStr">
        <is>
          <t>09.02.2028</t>
        </is>
      </c>
      <c r="G434" t="inlineStr">
        <is>
          <t>Mexico</t>
        </is>
      </c>
      <c r="H434" t="inlineStr">
        <is>
          <t>Government</t>
        </is>
      </c>
      <c r="I434" t="n">
        <v>200</v>
      </c>
      <c r="J434" t="n">
        <v>102.014</v>
      </c>
      <c r="K434" t="n">
        <v>4.539179</v>
      </c>
      <c r="L434" t="n">
        <v>0.049674</v>
      </c>
      <c r="M434" t="n">
        <v>-0.08450299999999999</v>
      </c>
      <c r="N434" t="n">
        <v>68.2575938</v>
      </c>
      <c r="O434" t="n">
        <v>2.634731245</v>
      </c>
      <c r="P434" t="n">
        <v>60</v>
      </c>
      <c r="Q434" t="inlineStr">
        <is>
          <t>Mexican Government</t>
        </is>
      </c>
      <c r="R434" t="inlineStr">
        <is>
          <t>USD</t>
        </is>
      </c>
      <c r="S434" t="inlineStr">
        <is>
          <t>Latin America</t>
        </is>
      </c>
      <c r="T434" t="inlineStr">
        <is>
          <t>BBB-</t>
        </is>
      </c>
      <c r="U434" t="inlineStr">
        <is>
          <t>BBB-</t>
        </is>
      </c>
    </row>
    <row r="435">
      <c r="A435" t="inlineStr">
        <is>
          <t>USG3925DAD24</t>
        </is>
      </c>
      <c r="B435" t="inlineStr">
        <is>
          <t xml:space="preserve">Hold </t>
        </is>
      </c>
      <c r="C435" t="inlineStr">
        <is>
          <t>Gerdau Trade Inc</t>
        </is>
      </c>
      <c r="D435" t="n">
        <v>4.875</v>
      </c>
      <c r="E435" t="inlineStr">
        <is>
          <t>Sr Unsecured</t>
        </is>
      </c>
      <c r="F435" t="inlineStr">
        <is>
          <t>24.10.2027</t>
        </is>
      </c>
      <c r="G435" t="inlineStr">
        <is>
          <t>Brazil</t>
        </is>
      </c>
      <c r="H435" t="inlineStr">
        <is>
          <t>Basic Materials</t>
        </is>
      </c>
      <c r="I435" t="n">
        <v>200</v>
      </c>
      <c r="J435" t="n">
        <v>100.737</v>
      </c>
      <c r="K435" t="n">
        <v>4.530123</v>
      </c>
      <c r="L435" t="e">
        <v>#VALUE!</v>
      </c>
      <c r="M435" t="n">
        <v>0.003387</v>
      </c>
      <c r="N435" t="n">
        <v>68.13571424</v>
      </c>
      <c r="O435" t="n">
        <v>2.440282761</v>
      </c>
      <c r="P435" t="n">
        <v>60</v>
      </c>
      <c r="Q435" t="inlineStr">
        <is>
          <t>Leading producer of steel in the Americas</t>
        </is>
      </c>
      <c r="R435" t="inlineStr">
        <is>
          <t>USD</t>
        </is>
      </c>
      <c r="S435" t="inlineStr">
        <is>
          <t>Latin America</t>
        </is>
      </c>
      <c r="T435" t="inlineStr">
        <is>
          <t>BBB</t>
        </is>
      </c>
      <c r="U435" t="inlineStr">
        <is>
          <t>BBB</t>
        </is>
      </c>
    </row>
    <row r="436">
      <c r="A436" t="inlineStr">
        <is>
          <t>XS2747766090</t>
        </is>
      </c>
      <c r="B436" t="inlineStr">
        <is>
          <t>Top Pick</t>
        </is>
      </c>
      <c r="C436" t="inlineStr">
        <is>
          <t>Edp Servicios Fin Esp Sa</t>
        </is>
      </c>
      <c r="D436" t="n">
        <v>3.5</v>
      </c>
      <c r="E436" t="inlineStr">
        <is>
          <t>Sr Unsecured</t>
        </is>
      </c>
      <c r="F436" t="inlineStr">
        <is>
          <t>16.07.2030</t>
        </is>
      </c>
      <c r="G436" t="inlineStr">
        <is>
          <t>Portugal</t>
        </is>
      </c>
      <c r="H436" t="inlineStr">
        <is>
          <t>Utilities</t>
        </is>
      </c>
      <c r="I436" t="n">
        <v>100</v>
      </c>
      <c r="J436" t="n">
        <v>102.306</v>
      </c>
      <c r="K436" t="n">
        <v>2.975739</v>
      </c>
      <c r="L436" t="n">
        <v>-0.052177</v>
      </c>
      <c r="M436" t="n">
        <v>0.005443</v>
      </c>
      <c r="N436" t="n">
        <v>67.78985667000001</v>
      </c>
      <c r="O436" t="n">
        <v>4.557205745</v>
      </c>
      <c r="P436" t="n">
        <v>60</v>
      </c>
      <c r="Q436" t="inlineStr">
        <is>
          <t>Portugal's largest utility company</t>
        </is>
      </c>
      <c r="R436" t="inlineStr">
        <is>
          <t>EUR</t>
        </is>
      </c>
      <c r="S436" t="inlineStr">
        <is>
          <t>Investment Grade</t>
        </is>
      </c>
      <c r="T436" t="inlineStr">
        <is>
          <t>BBB</t>
        </is>
      </c>
      <c r="U436" t="inlineStr">
        <is>
          <t>BBB</t>
        </is>
      </c>
    </row>
    <row r="437">
      <c r="A437" t="inlineStr">
        <is>
          <t>US882508BM50</t>
        </is>
      </c>
      <c r="B437" t="inlineStr">
        <is>
          <t>Hold</t>
        </is>
      </c>
      <c r="C437" t="inlineStr">
        <is>
          <t>Texas Instruments Inc</t>
        </is>
      </c>
      <c r="D437" t="n">
        <v>2.7</v>
      </c>
      <c r="E437" t="inlineStr">
        <is>
          <t>Sr Unsecured</t>
        </is>
      </c>
      <c r="F437" t="inlineStr">
        <is>
          <t>15.09.2051</t>
        </is>
      </c>
      <c r="G437" t="inlineStr">
        <is>
          <t>United states</t>
        </is>
      </c>
      <c r="H437" t="inlineStr">
        <is>
          <t>Technology</t>
        </is>
      </c>
      <c r="I437" t="n">
        <v>2</v>
      </c>
      <c r="J437" t="n">
        <v>60.504</v>
      </c>
      <c r="K437" t="n">
        <v>5.589561</v>
      </c>
      <c r="L437" t="n">
        <v>-0.036495</v>
      </c>
      <c r="M437" t="n">
        <v>-0.094639</v>
      </c>
      <c r="N437" t="n">
        <v>67.69379607</v>
      </c>
      <c r="O437" t="n">
        <v>16.03208697</v>
      </c>
      <c r="P437" t="n">
        <v>55</v>
      </c>
      <c r="Q437" t="inlineStr">
        <is>
          <t>Worldwide semiconductor design and manufacturing company</t>
        </is>
      </c>
      <c r="R437" t="inlineStr">
        <is>
          <t>USD</t>
        </is>
      </c>
      <c r="S437" t="inlineStr">
        <is>
          <t>Investment Grade</t>
        </is>
      </c>
      <c r="T437" t="inlineStr">
        <is>
          <t>A+</t>
        </is>
      </c>
      <c r="U437" t="inlineStr">
        <is>
          <t>A+</t>
        </is>
      </c>
    </row>
    <row r="438">
      <c r="A438" t="inlineStr">
        <is>
          <t xml:space="preserve"> US11135FCD15</t>
        </is>
      </c>
      <c r="B438" t="inlineStr">
        <is>
          <t>Top pick</t>
        </is>
      </c>
      <c r="C438" t="inlineStr">
        <is>
          <t>Broadcom Inc</t>
        </is>
      </c>
      <c r="D438" t="n">
        <v>4.8</v>
      </c>
      <c r="E438" t="inlineStr">
        <is>
          <t>Sr Unsecured</t>
        </is>
      </c>
      <c r="F438" t="inlineStr">
        <is>
          <t>15.10.2034</t>
        </is>
      </c>
      <c r="G438" t="inlineStr">
        <is>
          <t>United states</t>
        </is>
      </c>
      <c r="H438" t="inlineStr">
        <is>
          <t>Technology</t>
        </is>
      </c>
      <c r="I438" t="n">
        <v>2</v>
      </c>
      <c r="J438" t="n">
        <v>98.55</v>
      </c>
      <c r="K438" t="n">
        <v>4.996417</v>
      </c>
      <c r="L438" t="n">
        <v>-0.010227</v>
      </c>
      <c r="M438" t="n">
        <v>-0.157102</v>
      </c>
      <c r="N438" t="n">
        <v>67.65394336999999</v>
      </c>
      <c r="O438" t="n">
        <v>7.456845891</v>
      </c>
      <c r="P438" t="n">
        <v>85</v>
      </c>
      <c r="Q438" t="inlineStr">
        <is>
          <t xml:space="preserve">Diversified semi-conductor company </t>
        </is>
      </c>
      <c r="R438" t="inlineStr">
        <is>
          <t>USD</t>
        </is>
      </c>
      <c r="S438" t="inlineStr">
        <is>
          <t>Investment Grade</t>
        </is>
      </c>
      <c r="T438" t="inlineStr">
        <is>
          <t>BBB</t>
        </is>
      </c>
      <c r="U438" t="inlineStr">
        <is>
          <t>BBB</t>
        </is>
      </c>
    </row>
    <row r="439">
      <c r="A439" t="inlineStr">
        <is>
          <t>XS1716248197</t>
        </is>
      </c>
      <c r="B439" t="inlineStr">
        <is>
          <t>Not accumulate</t>
        </is>
      </c>
      <c r="C439" t="inlineStr">
        <is>
          <t>Hsbc Holdings Plc</t>
        </is>
      </c>
      <c r="D439" t="n">
        <v>2.256</v>
      </c>
      <c r="E439" t="inlineStr">
        <is>
          <t>Sr Unsecured</t>
        </is>
      </c>
      <c r="F439" t="inlineStr">
        <is>
          <t>13.11.2026</t>
        </is>
      </c>
      <c r="G439" t="inlineStr">
        <is>
          <t>United Kingdom</t>
        </is>
      </c>
      <c r="H439" t="inlineStr">
        <is>
          <t>Financial</t>
        </is>
      </c>
      <c r="I439" t="n">
        <v>100</v>
      </c>
      <c r="J439" t="n">
        <v>99.137</v>
      </c>
      <c r="K439" t="n">
        <v>4.707651</v>
      </c>
      <c r="L439" t="n">
        <v>-0.032222</v>
      </c>
      <c r="M439" t="n">
        <v>-0.184601</v>
      </c>
      <c r="N439" t="n">
        <v>67.65096371999999</v>
      </c>
      <c r="O439" t="n">
        <v>0.693236577</v>
      </c>
      <c r="P439" t="n">
        <v>80</v>
      </c>
      <c r="Q439" t="inlineStr">
        <is>
          <t>UK largest banking and financial services group</t>
        </is>
      </c>
      <c r="R439" t="inlineStr">
        <is>
          <t>GBP</t>
        </is>
      </c>
      <c r="S439" t="inlineStr">
        <is>
          <t>Investment Grade</t>
        </is>
      </c>
      <c r="T439" t="inlineStr">
        <is>
          <t>A-</t>
        </is>
      </c>
      <c r="U439" t="inlineStr">
        <is>
          <t>A-</t>
        </is>
      </c>
    </row>
    <row r="440">
      <c r="A440" t="inlineStr">
        <is>
          <t>XS2056491587</t>
        </is>
      </c>
      <c r="B440" t="inlineStr">
        <is>
          <t>Hold</t>
        </is>
      </c>
      <c r="C440" t="inlineStr">
        <is>
          <t>Generali</t>
        </is>
      </c>
      <c r="D440" t="n">
        <v>2.124</v>
      </c>
      <c r="E440" t="inlineStr">
        <is>
          <t>Subordinated</t>
        </is>
      </c>
      <c r="F440" t="inlineStr">
        <is>
          <t>01.10.2030</t>
        </is>
      </c>
      <c r="G440" t="inlineStr">
        <is>
          <t>Italy</t>
        </is>
      </c>
      <c r="H440" t="inlineStr">
        <is>
          <t>Financial</t>
        </is>
      </c>
      <c r="I440" t="n">
        <v>100</v>
      </c>
      <c r="J440" t="n">
        <v>95.754</v>
      </c>
      <c r="K440" t="n">
        <v>3.012436</v>
      </c>
      <c r="L440" t="n">
        <v>-0.100563</v>
      </c>
      <c r="M440" t="n">
        <v>-0.177466</v>
      </c>
      <c r="N440" t="n">
        <v>67.58162985</v>
      </c>
      <c r="O440" t="n">
        <v>5.124168452</v>
      </c>
      <c r="P440" t="n">
        <v>60</v>
      </c>
      <c r="Q440" t="inlineStr">
        <is>
          <t>Largest insurer group in Italy</t>
        </is>
      </c>
      <c r="R440" t="inlineStr">
        <is>
          <t>EUR</t>
        </is>
      </c>
      <c r="S440" t="inlineStr">
        <is>
          <t>Investment Grade</t>
        </is>
      </c>
      <c r="T440" t="inlineStr">
        <is>
          <t>BBB</t>
        </is>
      </c>
      <c r="U440" t="inlineStr">
        <is>
          <t>BBB</t>
        </is>
      </c>
    </row>
    <row r="441">
      <c r="A441" t="inlineStr">
        <is>
          <t>XS2104968404</t>
        </is>
      </c>
      <c r="B441" t="inlineStr">
        <is>
          <t>Hold</t>
        </is>
      </c>
      <c r="C441" t="inlineStr">
        <is>
          <t>Unicredit Spa</t>
        </is>
      </c>
      <c r="D441" t="n">
        <v>1.8</v>
      </c>
      <c r="E441" t="inlineStr">
        <is>
          <t>Sr Non Preferred</t>
        </is>
      </c>
      <c r="F441" t="inlineStr">
        <is>
          <t>20.01.2030</t>
        </is>
      </c>
      <c r="G441" t="inlineStr">
        <is>
          <t>Italy</t>
        </is>
      </c>
      <c r="H441" t="inlineStr">
        <is>
          <t>Financial</t>
        </is>
      </c>
      <c r="I441" t="n">
        <v>250</v>
      </c>
      <c r="J441" t="n">
        <v>95.349</v>
      </c>
      <c r="K441" t="n">
        <v>2.908279</v>
      </c>
      <c r="L441" t="n">
        <v>-0.067815</v>
      </c>
      <c r="M441" t="n">
        <v>-0.129335</v>
      </c>
      <c r="N441" t="n">
        <v>67.28755162</v>
      </c>
      <c r="O441" t="n">
        <v>4.58174893</v>
      </c>
      <c r="P441" t="n">
        <v>60</v>
      </c>
      <c r="Q441" t="inlineStr">
        <is>
          <t>One of the largest bank in italy</t>
        </is>
      </c>
      <c r="R441" t="inlineStr">
        <is>
          <t>EUR</t>
        </is>
      </c>
      <c r="S441" t="inlineStr">
        <is>
          <t>Investment Grade</t>
        </is>
      </c>
      <c r="T441" t="inlineStr">
        <is>
          <t>BBB-</t>
        </is>
      </c>
      <c r="U441" t="inlineStr">
        <is>
          <t>BBB-</t>
        </is>
      </c>
    </row>
    <row r="442">
      <c r="A442" t="inlineStr">
        <is>
          <t>XS1577961862</t>
        </is>
      </c>
      <c r="B442" t="inlineStr">
        <is>
          <t>Top Pick</t>
        </is>
      </c>
      <c r="C442" t="inlineStr">
        <is>
          <t>Prologis Lp</t>
        </is>
      </c>
      <c r="D442" t="n">
        <v>2.25</v>
      </c>
      <c r="E442" t="inlineStr">
        <is>
          <t>Sr Unsecured</t>
        </is>
      </c>
      <c r="F442" t="inlineStr">
        <is>
          <t>30.06.2029</t>
        </is>
      </c>
      <c r="G442" t="inlineStr">
        <is>
          <t>United states</t>
        </is>
      </c>
      <c r="H442" t="inlineStr">
        <is>
          <t>Financial</t>
        </is>
      </c>
      <c r="I442" t="n">
        <v>100</v>
      </c>
      <c r="J442" t="n">
        <v>91.828</v>
      </c>
      <c r="K442" t="n">
        <v>4.492599</v>
      </c>
      <c r="L442" t="n">
        <v>-0.006021</v>
      </c>
      <c r="M442" t="n">
        <v>-0.209658</v>
      </c>
      <c r="N442" t="n">
        <v>67.07788561</v>
      </c>
      <c r="O442" t="n">
        <v>3.931967876</v>
      </c>
      <c r="P442" t="n">
        <v>0</v>
      </c>
      <c r="Q442" t="inlineStr">
        <is>
          <t xml:space="preserve">Global leading logistic real estate owner </t>
        </is>
      </c>
      <c r="R442" t="inlineStr">
        <is>
          <t>GBP</t>
        </is>
      </c>
      <c r="S442" t="inlineStr">
        <is>
          <t>Investment Grade</t>
        </is>
      </c>
      <c r="T442" t="inlineStr">
        <is>
          <t>A</t>
        </is>
      </c>
      <c r="U442" t="inlineStr">
        <is>
          <t>A-</t>
        </is>
      </c>
    </row>
    <row r="443">
      <c r="A443" t="inlineStr">
        <is>
          <t>US054989AA67</t>
        </is>
      </c>
      <c r="B443" t="inlineStr">
        <is>
          <t>Hold</t>
        </is>
      </c>
      <c r="C443" t="inlineStr">
        <is>
          <t>Bat Capital Corp</t>
        </is>
      </c>
      <c r="D443" t="n">
        <v>6.343</v>
      </c>
      <c r="E443" t="inlineStr">
        <is>
          <t>Sr Unsecured</t>
        </is>
      </c>
      <c r="F443" t="inlineStr">
        <is>
          <t>02.08.2030</t>
        </is>
      </c>
      <c r="G443" t="inlineStr">
        <is>
          <t>United Kingdom</t>
        </is>
      </c>
      <c r="H443" t="inlineStr">
        <is>
          <t>Consumer, Non-cyclical</t>
        </is>
      </c>
      <c r="I443" t="n">
        <v>2</v>
      </c>
      <c r="J443" t="n">
        <v>107.537</v>
      </c>
      <c r="K443" t="n">
        <v>4.60761</v>
      </c>
      <c r="L443" t="n">
        <v>-0.003091</v>
      </c>
      <c r="M443" t="n">
        <v>-0.223607</v>
      </c>
      <c r="N443" t="n">
        <v>66.99603740000001</v>
      </c>
      <c r="O443" t="n">
        <v>4.463501184</v>
      </c>
      <c r="P443" t="n">
        <v>60</v>
      </c>
      <c r="Q443" t="inlineStr">
        <is>
          <t>Tobacco company</t>
        </is>
      </c>
      <c r="R443" t="inlineStr">
        <is>
          <t>USD</t>
        </is>
      </c>
      <c r="S443" t="inlineStr">
        <is>
          <t>Investment Grade</t>
        </is>
      </c>
      <c r="T443" t="inlineStr">
        <is>
          <t>BBB+</t>
        </is>
      </c>
      <c r="U443" t="inlineStr">
        <is>
          <t>BBB+</t>
        </is>
      </c>
    </row>
    <row r="444">
      <c r="A444" t="inlineStr">
        <is>
          <t>CH0330938876</t>
        </is>
      </c>
      <c r="B444" t="inlineStr">
        <is>
          <t xml:space="preserve">Hold </t>
        </is>
      </c>
      <c r="C444" t="inlineStr">
        <is>
          <t>Ubs Group Ag</t>
        </is>
      </c>
      <c r="D444" t="n">
        <v>2.75</v>
      </c>
      <c r="E444" t="inlineStr">
        <is>
          <t>Sr Unsecured</t>
        </is>
      </c>
      <c r="F444" t="inlineStr">
        <is>
          <t>08.08.2025</t>
        </is>
      </c>
      <c r="G444" t="inlineStr">
        <is>
          <t>Switzerland</t>
        </is>
      </c>
      <c r="H444" t="inlineStr">
        <is>
          <t>Financial</t>
        </is>
      </c>
      <c r="I444" t="n">
        <v>100</v>
      </c>
      <c r="J444" t="n">
        <v>99.849</v>
      </c>
      <c r="K444" t="n">
        <v>4.486802</v>
      </c>
      <c r="L444" t="n">
        <v>-0.180188</v>
      </c>
      <c r="M444" t="n">
        <v>-0.383869</v>
      </c>
      <c r="N444" t="n">
        <v>66.98434412</v>
      </c>
      <c r="O444" t="n">
        <v>0.443233015</v>
      </c>
      <c r="P444" t="n">
        <v>80</v>
      </c>
      <c r="Q444" t="inlineStr">
        <is>
          <t>Largest bank in Switzerland</t>
        </is>
      </c>
      <c r="R444" t="inlineStr">
        <is>
          <t>GBP</t>
        </is>
      </c>
      <c r="S444" t="inlineStr">
        <is>
          <t>Investment Grade</t>
        </is>
      </c>
      <c r="T444" t="inlineStr">
        <is>
          <t>A-</t>
        </is>
      </c>
      <c r="U444" t="inlineStr">
        <is>
          <t>A-</t>
        </is>
      </c>
    </row>
    <row r="445">
      <c r="A445" t="inlineStr">
        <is>
          <t>XS2985139356</t>
        </is>
      </c>
      <c r="B445" t="inlineStr">
        <is>
          <t xml:space="preserve">Hold </t>
        </is>
      </c>
      <c r="C445" t="inlineStr">
        <is>
          <t>Bmw Intl Investment Bv</t>
        </is>
      </c>
      <c r="D445" t="n">
        <v>5</v>
      </c>
      <c r="E445" t="inlineStr">
        <is>
          <t>Sr Unsecured</t>
        </is>
      </c>
      <c r="F445" t="inlineStr">
        <is>
          <t>24.01.2028</t>
        </is>
      </c>
      <c r="G445" t="inlineStr">
        <is>
          <t>Germany</t>
        </is>
      </c>
      <c r="H445" t="inlineStr">
        <is>
          <t>Consumer, Cyclical</t>
        </is>
      </c>
      <c r="I445" t="n">
        <v>100</v>
      </c>
      <c r="J445" t="n">
        <v>101.282</v>
      </c>
      <c r="K445" t="n">
        <v>4.396635</v>
      </c>
      <c r="L445" t="n">
        <v>-0.000731</v>
      </c>
      <c r="M445" t="n">
        <v>-0.22795</v>
      </c>
      <c r="N445" t="n">
        <v>66.88895477</v>
      </c>
      <c r="O445" t="n">
        <v>2.647437486</v>
      </c>
      <c r="P445" t="n">
        <v>0</v>
      </c>
      <c r="Q445" t="inlineStr">
        <is>
          <t>European car manufacturer focused entirely on the premium segment</t>
        </is>
      </c>
      <c r="R445" t="inlineStr">
        <is>
          <t>GBP</t>
        </is>
      </c>
      <c r="S445" t="inlineStr">
        <is>
          <t>Investment Grade</t>
        </is>
      </c>
      <c r="T445" t="inlineStr">
        <is>
          <t>A</t>
        </is>
      </c>
      <c r="U445" t="inlineStr">
        <is>
          <t>A</t>
        </is>
      </c>
    </row>
    <row r="446">
      <c r="A446" t="inlineStr">
        <is>
          <t>FR0014006ND8</t>
        </is>
      </c>
      <c r="B446" t="inlineStr">
        <is>
          <t>Hold</t>
        </is>
      </c>
      <c r="C446" t="inlineStr">
        <is>
          <t>Accor Sa</t>
        </is>
      </c>
      <c r="D446" t="n">
        <v>2.375</v>
      </c>
      <c r="E446" t="inlineStr">
        <is>
          <t>Sr Unsecured</t>
        </is>
      </c>
      <c r="F446" t="inlineStr">
        <is>
          <t>29.11.2028</t>
        </is>
      </c>
      <c r="G446" t="inlineStr">
        <is>
          <t>France</t>
        </is>
      </c>
      <c r="H446" t="inlineStr">
        <is>
          <t>Consumer, Cyclical</t>
        </is>
      </c>
      <c r="I446" t="n">
        <v>100</v>
      </c>
      <c r="J446" t="n">
        <v>98.82899999999999</v>
      </c>
      <c r="K446" t="n">
        <v>2.738998</v>
      </c>
      <c r="L446" t="n">
        <v>-0.07652</v>
      </c>
      <c r="M446" t="n">
        <v>-0.168264</v>
      </c>
      <c r="N446" t="n">
        <v>66.87398243</v>
      </c>
      <c r="O446" t="n">
        <v>3.517074903</v>
      </c>
      <c r="P446" t="n">
        <v>15</v>
      </c>
      <c r="Q446" t="inlineStr">
        <is>
          <t>operates managed and franchised hotels, resort and vacation facility</t>
        </is>
      </c>
      <c r="R446" t="inlineStr">
        <is>
          <t>EUR</t>
        </is>
      </c>
      <c r="S446" t="inlineStr">
        <is>
          <t>Investment Grade</t>
        </is>
      </c>
      <c r="T446" t="inlineStr">
        <is>
          <t>BBB-</t>
        </is>
      </c>
      <c r="U446" t="inlineStr">
        <is>
          <t>BBB-</t>
        </is>
      </c>
    </row>
    <row r="447">
      <c r="A447" t="inlineStr">
        <is>
          <t>XS1345415472</t>
        </is>
      </c>
      <c r="B447" t="inlineStr">
        <is>
          <t>Hold</t>
        </is>
      </c>
      <c r="C447" t="inlineStr">
        <is>
          <t>Santander Uk Group Hldgs</t>
        </is>
      </c>
      <c r="D447" t="n">
        <v>3.625</v>
      </c>
      <c r="E447" t="inlineStr">
        <is>
          <t>Sr Unsecured</t>
        </is>
      </c>
      <c r="F447" t="inlineStr">
        <is>
          <t>14.01.2026</t>
        </is>
      </c>
      <c r="G447" t="inlineStr">
        <is>
          <t>United Kingdom</t>
        </is>
      </c>
      <c r="H447" t="inlineStr">
        <is>
          <t>Financial</t>
        </is>
      </c>
      <c r="I447" t="n">
        <v>100</v>
      </c>
      <c r="J447" t="n">
        <v>99.548</v>
      </c>
      <c r="K447" t="n">
        <v>4.524786</v>
      </c>
      <c r="L447" t="n">
        <v>-0.072494</v>
      </c>
      <c r="M447" t="n">
        <v>-0.344025</v>
      </c>
      <c r="N447" t="n">
        <v>66.83208791</v>
      </c>
      <c r="O447" t="n">
        <v>0.857265256</v>
      </c>
      <c r="P447" t="n">
        <v>80</v>
      </c>
      <c r="Q447" t="inlineStr">
        <is>
          <t>One of the largest bank in the Eurozone by market value</t>
        </is>
      </c>
      <c r="R447" t="inlineStr">
        <is>
          <t>GBP</t>
        </is>
      </c>
      <c r="S447" t="inlineStr">
        <is>
          <t>Investment Grade</t>
        </is>
      </c>
      <c r="T447" t="inlineStr">
        <is>
          <t>BBB+</t>
        </is>
      </c>
      <c r="U447" t="inlineStr">
        <is>
          <t>BBB+</t>
        </is>
      </c>
    </row>
    <row r="448">
      <c r="A448" t="inlineStr">
        <is>
          <t>XS2430951660</t>
        </is>
      </c>
      <c r="B448" t="inlineStr">
        <is>
          <t>Top Pick</t>
        </is>
      </c>
      <c r="C448" t="inlineStr">
        <is>
          <t>Barclays Plc</t>
        </is>
      </c>
      <c r="D448" t="n">
        <v>0.877</v>
      </c>
      <c r="E448" t="inlineStr">
        <is>
          <t>Sr Unsecured</t>
        </is>
      </c>
      <c r="F448" t="inlineStr">
        <is>
          <t>28.01.2028</t>
        </is>
      </c>
      <c r="G448" t="inlineStr">
        <is>
          <t>United Kingdom</t>
        </is>
      </c>
      <c r="H448" t="inlineStr">
        <is>
          <t>Financial</t>
        </is>
      </c>
      <c r="I448" t="n">
        <v>100</v>
      </c>
      <c r="J448" t="n">
        <v>97.675</v>
      </c>
      <c r="K448" t="n">
        <v>2.415913</v>
      </c>
      <c r="L448" t="n">
        <v>-0.07813199999999999</v>
      </c>
      <c r="M448" t="n">
        <v>-0.181165</v>
      </c>
      <c r="N448" t="n">
        <v>66.74213838</v>
      </c>
      <c r="O448" t="n">
        <v>1.865449222</v>
      </c>
      <c r="P448" t="n">
        <v>60</v>
      </c>
      <c r="Q448" t="inlineStr">
        <is>
          <t>One of the largest UK banks</t>
        </is>
      </c>
      <c r="R448" t="inlineStr">
        <is>
          <t>EUR</t>
        </is>
      </c>
      <c r="S448" t="inlineStr">
        <is>
          <t>Investment Grade</t>
        </is>
      </c>
      <c r="T448" t="inlineStr">
        <is>
          <t>BBB+</t>
        </is>
      </c>
      <c r="U448" t="inlineStr">
        <is>
          <t>BBB+</t>
        </is>
      </c>
    </row>
    <row r="449">
      <c r="A449" t="inlineStr">
        <is>
          <t>US731011AV42</t>
        </is>
      </c>
      <c r="B449" t="inlineStr">
        <is>
          <t>Hold</t>
        </is>
      </c>
      <c r="C449" t="inlineStr">
        <is>
          <t>Republic Of Poland</t>
        </is>
      </c>
      <c r="D449" t="n">
        <v>4.875</v>
      </c>
      <c r="E449" t="inlineStr">
        <is>
          <t>Sr Unsecured</t>
        </is>
      </c>
      <c r="F449" t="inlineStr">
        <is>
          <t>04.10.2033</t>
        </is>
      </c>
      <c r="G449" t="inlineStr">
        <is>
          <t>Poland</t>
        </is>
      </c>
      <c r="H449" t="inlineStr">
        <is>
          <t>Government</t>
        </is>
      </c>
      <c r="I449" t="n">
        <v>1</v>
      </c>
      <c r="J449" t="n">
        <v>99.71599999999999</v>
      </c>
      <c r="K449" t="n">
        <v>4.916461</v>
      </c>
      <c r="L449" t="n">
        <v>-0.026051</v>
      </c>
      <c r="M449" t="n">
        <v>-0.208179</v>
      </c>
      <c r="N449" t="n">
        <v>66.67359613000001</v>
      </c>
      <c r="O449" t="n">
        <v>6.800082503</v>
      </c>
      <c r="P449" t="n">
        <v>0</v>
      </c>
      <c r="Q449" t="inlineStr">
        <is>
          <t>Republic of Poland</t>
        </is>
      </c>
      <c r="R449" t="inlineStr">
        <is>
          <t>USD</t>
        </is>
      </c>
      <c r="S449" t="inlineStr">
        <is>
          <t>Investment Grade</t>
        </is>
      </c>
      <c r="T449" t="inlineStr">
        <is>
          <t>A-</t>
        </is>
      </c>
      <c r="U449" t="inlineStr">
        <is>
          <t>A-</t>
        </is>
      </c>
    </row>
    <row r="450">
      <c r="A450" t="inlineStr">
        <is>
          <t>US731011AV42</t>
        </is>
      </c>
      <c r="B450" t="inlineStr">
        <is>
          <t>Hold</t>
        </is>
      </c>
      <c r="C450" t="inlineStr">
        <is>
          <t>Republic Of Poland</t>
        </is>
      </c>
      <c r="D450" t="n">
        <v>4.875</v>
      </c>
      <c r="E450" t="inlineStr">
        <is>
          <t>Sr Unsecured</t>
        </is>
      </c>
      <c r="F450" t="inlineStr">
        <is>
          <t>04.10.2033</t>
        </is>
      </c>
      <c r="G450" t="inlineStr">
        <is>
          <t>Poland</t>
        </is>
      </c>
      <c r="H450" t="inlineStr">
        <is>
          <t>Government</t>
        </is>
      </c>
      <c r="I450" t="n">
        <v>1</v>
      </c>
      <c r="J450" t="n">
        <v>99.71599999999999</v>
      </c>
      <c r="K450" t="n">
        <v>4.916461</v>
      </c>
      <c r="L450" t="n">
        <v>-0.026051</v>
      </c>
      <c r="M450" t="n">
        <v>-0.208179</v>
      </c>
      <c r="N450" t="n">
        <v>66.67359613000001</v>
      </c>
      <c r="O450" t="n">
        <v>6.800082503</v>
      </c>
      <c r="P450" t="n">
        <v>80</v>
      </c>
      <c r="Q450" t="inlineStr">
        <is>
          <t xml:space="preserve">Poland government bond </t>
        </is>
      </c>
      <c r="R450" t="inlineStr">
        <is>
          <t>USD</t>
        </is>
      </c>
      <c r="S450" t="inlineStr">
        <is>
          <t>Investment Grade</t>
        </is>
      </c>
      <c r="T450" t="inlineStr">
        <is>
          <t>A-</t>
        </is>
      </c>
      <c r="U450" t="inlineStr">
        <is>
          <t>A-</t>
        </is>
      </c>
    </row>
    <row r="451">
      <c r="A451" t="inlineStr">
        <is>
          <t>CH1142700363</t>
        </is>
      </c>
      <c r="B451" t="inlineStr">
        <is>
          <t xml:space="preserve">Hold </t>
        </is>
      </c>
      <c r="C451" t="inlineStr">
        <is>
          <t>Banco Santander Chile</t>
        </is>
      </c>
      <c r="D451" t="n">
        <v>0.2975</v>
      </c>
      <c r="E451" t="inlineStr">
        <is>
          <t>Sr Unsecured</t>
        </is>
      </c>
      <c r="F451" t="inlineStr">
        <is>
          <t>22.10.2026</t>
        </is>
      </c>
      <c r="G451" t="inlineStr">
        <is>
          <t>Chile</t>
        </is>
      </c>
      <c r="H451" t="inlineStr">
        <is>
          <t>Financial</t>
        </is>
      </c>
      <c r="I451" t="n">
        <v>5</v>
      </c>
      <c r="J451" t="n">
        <v>99.621</v>
      </c>
      <c r="K451" t="n">
        <v>0.594047</v>
      </c>
      <c r="L451" t="n">
        <v>0.036457</v>
      </c>
      <c r="M451" t="n">
        <v>0.142384</v>
      </c>
      <c r="N451" t="n">
        <v>66.52977486</v>
      </c>
      <c r="O451" t="n">
        <v>1.645672805</v>
      </c>
      <c r="P451" t="n">
        <v>80</v>
      </c>
      <c r="Q451" t="inlineStr">
        <is>
          <t>Largest bank in Chile</t>
        </is>
      </c>
      <c r="R451" t="inlineStr">
        <is>
          <t>CHF</t>
        </is>
      </c>
      <c r="S451" t="inlineStr">
        <is>
          <t>Latin America</t>
        </is>
      </c>
      <c r="T451" t="inlineStr">
        <is>
          <t>A-</t>
        </is>
      </c>
      <c r="U451" t="inlineStr">
        <is>
          <t>A-</t>
        </is>
      </c>
    </row>
    <row r="452">
      <c r="A452" t="inlineStr">
        <is>
          <t xml:space="preserve">XS2624938739 </t>
        </is>
      </c>
      <c r="B452" t="inlineStr">
        <is>
          <t>Hold</t>
        </is>
      </c>
      <c r="C452" t="inlineStr">
        <is>
          <t>Honeywell International</t>
        </is>
      </c>
      <c r="D452" t="n">
        <v>3.75</v>
      </c>
      <c r="E452" t="inlineStr">
        <is>
          <t>Sr Unsecured</t>
        </is>
      </c>
      <c r="F452" t="inlineStr">
        <is>
          <t>17.05.2032</t>
        </is>
      </c>
      <c r="G452" t="inlineStr">
        <is>
          <t>United states</t>
        </is>
      </c>
      <c r="H452" t="inlineStr">
        <is>
          <t>Industrial</t>
        </is>
      </c>
      <c r="I452" t="n">
        <v>100</v>
      </c>
      <c r="J452" t="n">
        <v>103.205</v>
      </c>
      <c r="K452" t="n">
        <v>3.204125</v>
      </c>
      <c r="L452" t="n">
        <v>-0.146397</v>
      </c>
      <c r="M452" t="n">
        <v>-0.114913</v>
      </c>
      <c r="N452" t="n">
        <v>66.50469079</v>
      </c>
      <c r="O452" t="n">
        <v>5.909341713</v>
      </c>
      <c r="P452" t="n">
        <v>80</v>
      </c>
      <c r="Q452" t="inlineStr">
        <is>
          <t>Worldwide technology and manufacturing company</t>
        </is>
      </c>
      <c r="R452" t="inlineStr">
        <is>
          <t>EUR</t>
        </is>
      </c>
      <c r="S452" t="inlineStr">
        <is>
          <t>Investment Grade</t>
        </is>
      </c>
      <c r="T452" t="inlineStr">
        <is>
          <t>A</t>
        </is>
      </c>
      <c r="U452" t="inlineStr">
        <is>
          <t>A</t>
        </is>
      </c>
    </row>
    <row r="453">
      <c r="A453" t="inlineStr">
        <is>
          <t>CH1243933558</t>
        </is>
      </c>
      <c r="B453" t="inlineStr">
        <is>
          <t>Hold</t>
        </is>
      </c>
      <c r="C453" t="inlineStr">
        <is>
          <t>Toronto-Dominion Bank</t>
        </is>
      </c>
      <c r="D453" t="n">
        <v>2.2025</v>
      </c>
      <c r="E453" t="inlineStr">
        <is>
          <t>Sr Unsecured</t>
        </is>
      </c>
      <c r="F453" t="inlineStr">
        <is>
          <t>31.01.2028</t>
        </is>
      </c>
      <c r="G453" t="inlineStr">
        <is>
          <t>Canada</t>
        </is>
      </c>
      <c r="H453" t="inlineStr">
        <is>
          <t>Financial</t>
        </is>
      </c>
      <c r="I453" t="n">
        <v>5</v>
      </c>
      <c r="J453" t="n">
        <v>103.953</v>
      </c>
      <c r="K453" t="n">
        <v>0.639072</v>
      </c>
      <c r="L453" t="n">
        <v>0.051955</v>
      </c>
      <c r="M453" t="n">
        <v>0.207755</v>
      </c>
      <c r="N453" t="n">
        <v>66.47904113</v>
      </c>
      <c r="O453" t="n">
        <v>2.848073591</v>
      </c>
      <c r="P453" t="n">
        <v>80</v>
      </c>
      <c r="Q453" t="inlineStr">
        <is>
          <t>Second largest bank in Canada</t>
        </is>
      </c>
      <c r="R453" t="inlineStr">
        <is>
          <t>CHF</t>
        </is>
      </c>
      <c r="S453" t="inlineStr">
        <is>
          <t>Investment Grade</t>
        </is>
      </c>
      <c r="T453" t="inlineStr">
        <is>
          <t>A-</t>
        </is>
      </c>
      <c r="U453" t="inlineStr">
        <is>
          <t>A-</t>
        </is>
      </c>
    </row>
    <row r="454">
      <c r="A454" t="inlineStr">
        <is>
          <t>US055451BA54</t>
        </is>
      </c>
      <c r="B454" t="inlineStr">
        <is>
          <t>Hold</t>
        </is>
      </c>
      <c r="C454" t="inlineStr">
        <is>
          <t>Bhp Billiton Fin Usa Ltd</t>
        </is>
      </c>
      <c r="D454" t="n">
        <v>4.9</v>
      </c>
      <c r="E454" t="inlineStr">
        <is>
          <t>Sr Unsecured</t>
        </is>
      </c>
      <c r="F454" t="inlineStr">
        <is>
          <t>28.02.2033</t>
        </is>
      </c>
      <c r="G454" t="inlineStr">
        <is>
          <t>Australia</t>
        </is>
      </c>
      <c r="H454" t="inlineStr">
        <is>
          <t>Basic Materials</t>
        </is>
      </c>
      <c r="I454" t="n">
        <v>2</v>
      </c>
      <c r="J454" t="n">
        <v>100.212</v>
      </c>
      <c r="K454" t="n">
        <v>4.865457</v>
      </c>
      <c r="L454" t="n">
        <v>-0.01464</v>
      </c>
      <c r="M454" t="n">
        <v>-0.169511</v>
      </c>
      <c r="N454" t="n">
        <v>66.41386122</v>
      </c>
      <c r="O454" t="n">
        <v>6.396484412</v>
      </c>
      <c r="P454" t="n">
        <v>80</v>
      </c>
      <c r="Q454" t="inlineStr">
        <is>
          <t>Largest mining company in the industry</t>
        </is>
      </c>
      <c r="R454" t="inlineStr">
        <is>
          <t>USD</t>
        </is>
      </c>
      <c r="S454" t="inlineStr">
        <is>
          <t>Investment Grade</t>
        </is>
      </c>
      <c r="T454" t="inlineStr">
        <is>
          <t>A</t>
        </is>
      </c>
      <c r="U454" t="inlineStr">
        <is>
          <t>A</t>
        </is>
      </c>
    </row>
    <row r="455">
      <c r="A455" t="inlineStr">
        <is>
          <t xml:space="preserve"> CH0503924414</t>
        </is>
      </c>
      <c r="B455" t="inlineStr">
        <is>
          <t>Top Pick</t>
        </is>
      </c>
      <c r="C455" t="inlineStr">
        <is>
          <t>Citigroup Inc</t>
        </is>
      </c>
      <c r="D455" t="n">
        <v>0.5</v>
      </c>
      <c r="E455" t="inlineStr">
        <is>
          <t>Sr Unsecured</t>
        </is>
      </c>
      <c r="F455" t="inlineStr">
        <is>
          <t>01.11.2028</t>
        </is>
      </c>
      <c r="G455" t="inlineStr">
        <is>
          <t>United states</t>
        </is>
      </c>
      <c r="H455" t="inlineStr">
        <is>
          <t>Financial</t>
        </is>
      </c>
      <c r="I455" t="n">
        <v>5</v>
      </c>
      <c r="J455" t="n">
        <v>99.378</v>
      </c>
      <c r="K455" t="n">
        <v>0.690543</v>
      </c>
      <c r="L455" t="n">
        <v>0.039264</v>
      </c>
      <c r="M455" t="n">
        <v>0.139438</v>
      </c>
      <c r="N455" t="n">
        <v>66.40338893000001</v>
      </c>
      <c r="O455" t="n">
        <v>3.628481562</v>
      </c>
      <c r="P455" t="n">
        <v>0</v>
      </c>
      <c r="Q455" t="inlineStr">
        <is>
          <t xml:space="preserve">One of the largest US banks </t>
        </is>
      </c>
      <c r="R455" t="inlineStr">
        <is>
          <t>CHF</t>
        </is>
      </c>
      <c r="S455" t="inlineStr">
        <is>
          <t>Investment Grade</t>
        </is>
      </c>
      <c r="T455" t="inlineStr">
        <is>
          <t>A-</t>
        </is>
      </c>
      <c r="U455" t="inlineStr">
        <is>
          <t>A-</t>
        </is>
      </c>
    </row>
    <row r="456">
      <c r="A456" t="inlineStr">
        <is>
          <t>CH1376931569</t>
        </is>
      </c>
      <c r="B456" t="inlineStr">
        <is>
          <t>Top pick</t>
        </is>
      </c>
      <c r="C456" t="inlineStr">
        <is>
          <t>Mcdonald'S Corp</t>
        </is>
      </c>
      <c r="D456" t="n">
        <v>1.05</v>
      </c>
      <c r="E456" t="inlineStr">
        <is>
          <t>Sr Unsecured</t>
        </is>
      </c>
      <c r="F456" t="inlineStr">
        <is>
          <t>27.11.2028</t>
        </is>
      </c>
      <c r="G456" t="inlineStr">
        <is>
          <t>United states</t>
        </is>
      </c>
      <c r="H456" t="inlineStr">
        <is>
          <t>Consumer, Cyclical</t>
        </is>
      </c>
      <c r="I456" t="n">
        <v>5</v>
      </c>
      <c r="J456" t="n">
        <v>101.096</v>
      </c>
      <c r="K456" t="n">
        <v>0.695111</v>
      </c>
      <c r="L456" t="n">
        <v>0.026249</v>
      </c>
      <c r="M456" t="n">
        <v>0.177588</v>
      </c>
      <c r="N456" t="n">
        <v>66.18105489</v>
      </c>
      <c r="O456" t="n">
        <v>3.421157491</v>
      </c>
      <c r="P456" t="n">
        <v>0</v>
      </c>
      <c r="Q456" t="inlineStr">
        <is>
          <t>franchised fast food chain</t>
        </is>
      </c>
      <c r="R456" t="inlineStr">
        <is>
          <t>CHF</t>
        </is>
      </c>
      <c r="S456" t="inlineStr">
        <is>
          <t>Investment Grade</t>
        </is>
      </c>
      <c r="T456" t="inlineStr">
        <is>
          <t>BBB+</t>
        </is>
      </c>
      <c r="U456" t="inlineStr">
        <is>
          <t>BBB+</t>
        </is>
      </c>
    </row>
    <row r="457">
      <c r="A457" t="inlineStr">
        <is>
          <t>XS2589260723</t>
        </is>
      </c>
      <c r="B457" t="inlineStr">
        <is>
          <t>Top Pick</t>
        </is>
      </c>
      <c r="C457" t="inlineStr">
        <is>
          <t>Enel Finance Intl Nv</t>
        </is>
      </c>
      <c r="D457" t="n">
        <v>4</v>
      </c>
      <c r="E457" t="inlineStr">
        <is>
          <t>Sr Unsecured</t>
        </is>
      </c>
      <c r="F457" t="inlineStr">
        <is>
          <t>20.02.2031</t>
        </is>
      </c>
      <c r="G457" t="inlineStr">
        <is>
          <t>Italy</t>
        </is>
      </c>
      <c r="H457" t="inlineStr">
        <is>
          <t>Utilities</t>
        </is>
      </c>
      <c r="I457" t="n">
        <v>100</v>
      </c>
      <c r="J457" t="n">
        <v>104.662</v>
      </c>
      <c r="K457" t="n">
        <v>3.044437</v>
      </c>
      <c r="L457" t="n">
        <v>-0.036318</v>
      </c>
      <c r="M457" t="n">
        <v>-0.04137</v>
      </c>
      <c r="N457" t="n">
        <v>66.13171164000001</v>
      </c>
      <c r="O457" t="n">
        <v>5.091059099</v>
      </c>
      <c r="P457" t="n">
        <v>60</v>
      </c>
      <c r="Q457" t="inlineStr">
        <is>
          <t>Italian utility company</t>
        </is>
      </c>
      <c r="R457" t="inlineStr">
        <is>
          <t>EUR</t>
        </is>
      </c>
      <c r="S457" t="inlineStr">
        <is>
          <t>Investment Grade</t>
        </is>
      </c>
      <c r="T457" t="inlineStr">
        <is>
          <t>BBB</t>
        </is>
      </c>
      <c r="U457" t="inlineStr">
        <is>
          <t>BBB</t>
        </is>
      </c>
    </row>
    <row r="458">
      <c r="A458" t="inlineStr">
        <is>
          <t>XS2229875989</t>
        </is>
      </c>
      <c r="B458" t="inlineStr">
        <is>
          <t>Hold</t>
        </is>
      </c>
      <c r="C458" t="inlineStr">
        <is>
          <t>Ford Motor Credit Co Llc</t>
        </is>
      </c>
      <c r="D458" t="n">
        <v>3.25</v>
      </c>
      <c r="E458" t="inlineStr">
        <is>
          <t>Sr Unsecured</t>
        </is>
      </c>
      <c r="F458" t="inlineStr">
        <is>
          <t>15.09.2025</t>
        </is>
      </c>
      <c r="G458" t="inlineStr">
        <is>
          <t>United states</t>
        </is>
      </c>
      <c r="H458" t="inlineStr">
        <is>
          <t>Consumer, Cyclical</t>
        </is>
      </c>
      <c r="I458" t="n">
        <v>100</v>
      </c>
      <c r="J458" t="n">
        <v>100.132</v>
      </c>
      <c r="K458" t="n">
        <v>2.472812</v>
      </c>
      <c r="L458" t="n">
        <v>-0.07793</v>
      </c>
      <c r="M458" t="n">
        <v>-0.152768</v>
      </c>
      <c r="N458" t="n">
        <v>65.98794538999999</v>
      </c>
      <c r="O458" t="n">
        <v>0.547753056</v>
      </c>
      <c r="P458" t="n">
        <v>25</v>
      </c>
      <c r="Q458" t="inlineStr">
        <is>
          <t>Global automotive manufacturer</t>
        </is>
      </c>
      <c r="R458" t="inlineStr">
        <is>
          <t>EUR</t>
        </is>
      </c>
      <c r="S458" t="inlineStr">
        <is>
          <t>Investment Grade</t>
        </is>
      </c>
      <c r="T458" t="inlineStr">
        <is>
          <t>BB+</t>
        </is>
      </c>
      <c r="U458" t="inlineStr">
        <is>
          <t>BB+</t>
        </is>
      </c>
    </row>
    <row r="459">
      <c r="A459" t="inlineStr">
        <is>
          <t>CH1232107164</t>
        </is>
      </c>
      <c r="B459" t="inlineStr">
        <is>
          <t>Hold</t>
        </is>
      </c>
      <c r="C459" t="inlineStr">
        <is>
          <t>Psp Swiss Property Ag</t>
        </is>
      </c>
      <c r="D459" t="n">
        <v>2</v>
      </c>
      <c r="E459" t="inlineStr">
        <is>
          <t>Sr Unsecured</t>
        </is>
      </c>
      <c r="F459" t="inlineStr">
        <is>
          <t>01.07.2026</t>
        </is>
      </c>
      <c r="G459" t="inlineStr">
        <is>
          <t>Switzerland</t>
        </is>
      </c>
      <c r="H459" t="inlineStr">
        <is>
          <t>Financial</t>
        </is>
      </c>
      <c r="I459" t="n">
        <v>5</v>
      </c>
      <c r="J459" t="n">
        <v>101.374</v>
      </c>
      <c r="K459" t="n">
        <v>0.586492</v>
      </c>
      <c r="L459" t="n">
        <v>0.003816</v>
      </c>
      <c r="M459" t="n">
        <v>0.145385</v>
      </c>
      <c r="N459" t="n">
        <v>65.89631511</v>
      </c>
      <c r="O459" t="n">
        <v>1.323826841</v>
      </c>
      <c r="P459" t="n">
        <v>80</v>
      </c>
      <c r="Q459" t="inlineStr">
        <is>
          <t>Owns and manage real estate</t>
        </is>
      </c>
      <c r="R459" t="inlineStr">
        <is>
          <t>CHF</t>
        </is>
      </c>
      <c r="S459" t="inlineStr">
        <is>
          <t>High Yield</t>
        </is>
      </c>
      <c r="T459" t="inlineStr">
        <is>
          <t>#N/A N/A</t>
        </is>
      </c>
      <c r="U459" t="inlineStr">
        <is>
          <t>#N/A N/A</t>
        </is>
      </c>
    </row>
    <row r="460">
      <c r="A460" t="inlineStr">
        <is>
          <t xml:space="preserve"> XS0143739182</t>
        </is>
      </c>
      <c r="B460" t="inlineStr">
        <is>
          <t>Not accumulate</t>
        </is>
      </c>
      <c r="C460" t="inlineStr">
        <is>
          <t>Sncf Reseau</t>
        </is>
      </c>
      <c r="D460" t="n">
        <v>5</v>
      </c>
      <c r="E460" t="inlineStr">
        <is>
          <t>Sr Unsecured</t>
        </is>
      </c>
      <c r="F460" t="inlineStr">
        <is>
          <t>11.03.2052</t>
        </is>
      </c>
      <c r="G460" t="inlineStr">
        <is>
          <t>France</t>
        </is>
      </c>
      <c r="H460" t="inlineStr">
        <is>
          <t>Industrial</t>
        </is>
      </c>
      <c r="I460" t="n">
        <v>1</v>
      </c>
      <c r="J460" t="n">
        <v>87.68000000000001</v>
      </c>
      <c r="K460" t="n">
        <v>5.842636</v>
      </c>
      <c r="L460" t="n">
        <v>0.08595</v>
      </c>
      <c r="M460" t="n">
        <v>0.017341</v>
      </c>
      <c r="N460" t="n">
        <v>65.80945576000001</v>
      </c>
      <c r="O460" t="n">
        <v>13.24006121</v>
      </c>
      <c r="P460" t="n">
        <v>85</v>
      </c>
      <c r="Q460" t="inlineStr">
        <is>
          <t>Provides railway network management services</t>
        </is>
      </c>
      <c r="R460" t="inlineStr">
        <is>
          <t>GBP</t>
        </is>
      </c>
      <c r="S460" t="inlineStr">
        <is>
          <t>Investment Grade</t>
        </is>
      </c>
      <c r="T460" t="inlineStr">
        <is>
          <t>AA-</t>
        </is>
      </c>
      <c r="U460" t="inlineStr">
        <is>
          <t>AA-</t>
        </is>
      </c>
    </row>
    <row r="461">
      <c r="A461" t="inlineStr">
        <is>
          <t>FR001400U660</t>
        </is>
      </c>
      <c r="B461" t="inlineStr">
        <is>
          <t>Top Pick</t>
        </is>
      </c>
      <c r="C461" t="inlineStr">
        <is>
          <t>La Francaise Des Jeux Sa</t>
        </is>
      </c>
      <c r="D461" t="n">
        <v>3</v>
      </c>
      <c r="E461" t="inlineStr">
        <is>
          <t>Sr Unsecured</t>
        </is>
      </c>
      <c r="F461" t="inlineStr">
        <is>
          <t>21.11.2030</t>
        </is>
      </c>
      <c r="G461" t="inlineStr">
        <is>
          <t>France</t>
        </is>
      </c>
      <c r="H461" t="inlineStr">
        <is>
          <t>Consumer, Cyclical</t>
        </is>
      </c>
      <c r="I461" t="n">
        <v>100</v>
      </c>
      <c r="J461" t="n">
        <v>99.876</v>
      </c>
      <c r="K461" t="n">
        <v>3.023231</v>
      </c>
      <c r="L461" t="n">
        <v>-0.06740599999999999</v>
      </c>
      <c r="M461" t="n">
        <v>-0.101194</v>
      </c>
      <c r="N461" t="n">
        <v>65.51501476</v>
      </c>
      <c r="O461" t="n">
        <v>5.149964154</v>
      </c>
      <c r="P461" t="n">
        <v>0</v>
      </c>
      <c r="Q461" t="inlineStr">
        <is>
          <t xml:space="preserve">French lottery game operator with exclusive rights </t>
        </is>
      </c>
      <c r="R461" t="inlineStr">
        <is>
          <t>EUR</t>
        </is>
      </c>
      <c r="S461" t="inlineStr">
        <is>
          <t>Investment Grade</t>
        </is>
      </c>
      <c r="T461" t="inlineStr">
        <is>
          <t>NR</t>
        </is>
      </c>
      <c r="U461" t="inlineStr">
        <is>
          <t>NR</t>
        </is>
      </c>
    </row>
    <row r="462">
      <c r="A462" t="inlineStr">
        <is>
          <t>US46647PEA03</t>
        </is>
      </c>
      <c r="B462" t="inlineStr">
        <is>
          <t>Top Pick</t>
        </is>
      </c>
      <c r="C462" t="inlineStr">
        <is>
          <t>Jpmorgan Chase &amp; Co</t>
        </is>
      </c>
      <c r="D462" t="n">
        <v>5.04</v>
      </c>
      <c r="E462" t="inlineStr">
        <is>
          <t>Sr Unsecured</t>
        </is>
      </c>
      <c r="F462" t="inlineStr">
        <is>
          <t>23.01.2028</t>
        </is>
      </c>
      <c r="G462" t="inlineStr">
        <is>
          <t>United states</t>
        </is>
      </c>
      <c r="H462" t="inlineStr">
        <is>
          <t>Financial</t>
        </is>
      </c>
      <c r="I462" t="n">
        <v>2</v>
      </c>
      <c r="J462" t="n">
        <v>100.925</v>
      </c>
      <c r="K462" t="n">
        <v>4.411348</v>
      </c>
      <c r="L462" t="n">
        <v>-0.038042</v>
      </c>
      <c r="M462" t="n">
        <v>-0.16735</v>
      </c>
      <c r="N462" t="n">
        <v>65.28165713999999</v>
      </c>
      <c r="O462" t="n">
        <v>1.807285859</v>
      </c>
      <c r="P462" t="n">
        <v>0</v>
      </c>
      <c r="Q462" t="inlineStr">
        <is>
          <t xml:space="preserve">German utility company </t>
        </is>
      </c>
      <c r="R462" t="inlineStr">
        <is>
          <t>USD</t>
        </is>
      </c>
      <c r="S462" t="inlineStr">
        <is>
          <t>Investment Grade</t>
        </is>
      </c>
      <c r="T462" t="inlineStr">
        <is>
          <t>A+</t>
        </is>
      </c>
      <c r="U462" t="inlineStr">
        <is>
          <t>A+</t>
        </is>
      </c>
    </row>
    <row r="463">
      <c r="A463" t="inlineStr">
        <is>
          <t>CH1129053802</t>
        </is>
      </c>
      <c r="B463" t="inlineStr">
        <is>
          <t xml:space="preserve">Hold </t>
        </is>
      </c>
      <c r="C463" t="inlineStr">
        <is>
          <t>Citigroup Inc</t>
        </is>
      </c>
      <c r="D463" t="n">
        <v>0.25</v>
      </c>
      <c r="E463" t="inlineStr">
        <is>
          <t>Sr Unsecured</t>
        </is>
      </c>
      <c r="F463" t="inlineStr">
        <is>
          <t>30.08.2029</t>
        </is>
      </c>
      <c r="G463" t="inlineStr">
        <is>
          <t>United states</t>
        </is>
      </c>
      <c r="H463" t="inlineStr">
        <is>
          <t>Financial</t>
        </is>
      </c>
      <c r="I463" t="n">
        <v>5</v>
      </c>
      <c r="J463" t="n">
        <v>98.032</v>
      </c>
      <c r="K463" t="n">
        <v>0.734146</v>
      </c>
      <c r="L463" t="n">
        <v>0.005128</v>
      </c>
      <c r="M463" t="n">
        <v>0.059106</v>
      </c>
      <c r="N463" t="n">
        <v>65.06577256</v>
      </c>
      <c r="O463" t="n">
        <v>4.45301322</v>
      </c>
      <c r="P463" t="n">
        <v>0</v>
      </c>
      <c r="Q463" t="inlineStr">
        <is>
          <t>One of the largest US banks</t>
        </is>
      </c>
      <c r="R463" t="inlineStr">
        <is>
          <t>CHF</t>
        </is>
      </c>
      <c r="S463" t="inlineStr">
        <is>
          <t>Investment Grade</t>
        </is>
      </c>
      <c r="T463" t="inlineStr">
        <is>
          <t>A-</t>
        </is>
      </c>
      <c r="U463" t="inlineStr">
        <is>
          <t>A-</t>
        </is>
      </c>
    </row>
    <row r="464">
      <c r="A464" t="inlineStr">
        <is>
          <t>XS2989779231</t>
        </is>
      </c>
      <c r="B464" t="inlineStr">
        <is>
          <t xml:space="preserve">Hold </t>
        </is>
      </c>
      <c r="C464" t="inlineStr">
        <is>
          <t>Corp Andina De Fomento</t>
        </is>
      </c>
      <c r="D464" t="n">
        <v>4.875</v>
      </c>
      <c r="E464" t="inlineStr">
        <is>
          <t>Sr Unsecured</t>
        </is>
      </c>
      <c r="F464" t="inlineStr">
        <is>
          <t>30.01.2030</t>
        </is>
      </c>
      <c r="G464" t="inlineStr">
        <is>
          <t>Supranational</t>
        </is>
      </c>
      <c r="H464" t="inlineStr">
        <is>
          <t>Government</t>
        </is>
      </c>
      <c r="I464" t="n">
        <v>100</v>
      </c>
      <c r="J464" t="n">
        <v>101.122</v>
      </c>
      <c r="K464" t="n">
        <v>4.538755</v>
      </c>
      <c r="L464" t="n">
        <v>0.020916</v>
      </c>
      <c r="M464" t="n">
        <v>-0.134491</v>
      </c>
      <c r="N464" t="n">
        <v>64.89257295</v>
      </c>
      <c r="O464" t="n">
        <v>4.277474726</v>
      </c>
      <c r="P464" t="n">
        <v>0</v>
      </c>
      <c r="Q464" t="inlineStr">
        <is>
          <t xml:space="preserve">A development bank </t>
        </is>
      </c>
      <c r="R464" t="inlineStr">
        <is>
          <t>GBP</t>
        </is>
      </c>
      <c r="S464" t="inlineStr">
        <is>
          <t>Investment Grade</t>
        </is>
      </c>
      <c r="T464" t="inlineStr">
        <is>
          <t>AA-</t>
        </is>
      </c>
      <c r="U464" t="inlineStr">
        <is>
          <t>AA-</t>
        </is>
      </c>
    </row>
    <row r="465">
      <c r="A465" t="inlineStr">
        <is>
          <t>XS2197356186</t>
        </is>
      </c>
      <c r="B465" t="inlineStr">
        <is>
          <t xml:space="preserve">Hold </t>
        </is>
      </c>
      <c r="C465" t="inlineStr">
        <is>
          <t>Iren Spa</t>
        </is>
      </c>
      <c r="D465" t="n">
        <v>1</v>
      </c>
      <c r="E465" t="inlineStr">
        <is>
          <t>Sr Unsecured</t>
        </is>
      </c>
      <c r="F465" t="inlineStr">
        <is>
          <t>01.07.2030</t>
        </is>
      </c>
      <c r="G465" t="inlineStr">
        <is>
          <t>Italy</t>
        </is>
      </c>
      <c r="H465" t="inlineStr">
        <is>
          <t>Utilities</t>
        </is>
      </c>
      <c r="I465" t="n">
        <v>100</v>
      </c>
      <c r="J465" t="n">
        <v>91.114</v>
      </c>
      <c r="K465" t="n">
        <v>2.945117</v>
      </c>
      <c r="L465" t="n">
        <v>-0.040975</v>
      </c>
      <c r="M465" t="n">
        <v>-0.036124</v>
      </c>
      <c r="N465" t="n">
        <v>64.66525455999999</v>
      </c>
      <c r="O465" t="n">
        <v>5.040595991</v>
      </c>
      <c r="P465" t="n">
        <v>60</v>
      </c>
      <c r="Q465" t="inlineStr">
        <is>
          <t>Generates, distributes, and sells electricity and district heating</t>
        </is>
      </c>
      <c r="R465" t="inlineStr">
        <is>
          <t>EUR</t>
        </is>
      </c>
      <c r="S465" t="inlineStr">
        <is>
          <t>Investment Grade</t>
        </is>
      </c>
      <c r="T465" t="inlineStr">
        <is>
          <t>BBB</t>
        </is>
      </c>
      <c r="U465" t="inlineStr">
        <is>
          <t>BBB</t>
        </is>
      </c>
    </row>
    <row r="466">
      <c r="A466" t="inlineStr">
        <is>
          <t>FR0010680041</t>
        </is>
      </c>
      <c r="B466" t="inlineStr">
        <is>
          <t>Hold</t>
        </is>
      </c>
      <c r="C466" t="inlineStr">
        <is>
          <t>Engie Sa</t>
        </is>
      </c>
      <c r="D466" t="n">
        <v>7</v>
      </c>
      <c r="E466" t="inlineStr">
        <is>
          <t>Sr Unsecured</t>
        </is>
      </c>
      <c r="F466" t="inlineStr">
        <is>
          <t>30.10.2028</t>
        </is>
      </c>
      <c r="G466" t="inlineStr">
        <is>
          <t>France</t>
        </is>
      </c>
      <c r="H466" t="inlineStr">
        <is>
          <t>Utilities</t>
        </is>
      </c>
      <c r="I466" t="n">
        <v>50</v>
      </c>
      <c r="J466" t="n">
        <v>107.605</v>
      </c>
      <c r="K466" t="n">
        <v>4.417602</v>
      </c>
      <c r="L466" t="n">
        <v>0.012373</v>
      </c>
      <c r="M466" t="n">
        <v>-0.199742</v>
      </c>
      <c r="N466" t="n">
        <v>64.64955980000001</v>
      </c>
      <c r="O466" t="n">
        <v>3.166735491</v>
      </c>
      <c r="P466" t="n">
        <v>75</v>
      </c>
      <c r="Q466" t="inlineStr">
        <is>
          <t>French utility company specialised in renewables</t>
        </is>
      </c>
      <c r="R466" t="inlineStr">
        <is>
          <t>GBP</t>
        </is>
      </c>
      <c r="S466" t="inlineStr">
        <is>
          <t>Investment Grade</t>
        </is>
      </c>
      <c r="T466" t="inlineStr">
        <is>
          <t>BBB+</t>
        </is>
      </c>
      <c r="U466" t="inlineStr">
        <is>
          <t>BBB+</t>
        </is>
      </c>
    </row>
    <row r="467">
      <c r="A467" t="inlineStr">
        <is>
          <t xml:space="preserve"> XS2586741543</t>
        </is>
      </c>
      <c r="B467" t="inlineStr">
        <is>
          <t>Top Pick</t>
        </is>
      </c>
      <c r="C467" t="inlineStr">
        <is>
          <t>Danske Bank A/S</t>
        </is>
      </c>
      <c r="D467" t="n">
        <v>4.625</v>
      </c>
      <c r="E467" t="inlineStr">
        <is>
          <t>Sr Preferred</t>
        </is>
      </c>
      <c r="F467" t="inlineStr">
        <is>
          <t>13.04.2027</t>
        </is>
      </c>
      <c r="G467" t="inlineStr">
        <is>
          <t>Denmark</t>
        </is>
      </c>
      <c r="H467" t="inlineStr">
        <is>
          <t>Financial</t>
        </is>
      </c>
      <c r="I467" t="n">
        <v>100</v>
      </c>
      <c r="J467" t="n">
        <v>100.1</v>
      </c>
      <c r="K467" t="n">
        <v>4.482826</v>
      </c>
      <c r="L467" t="n">
        <v>-0.069754</v>
      </c>
      <c r="M467" t="n">
        <v>-0.305296</v>
      </c>
      <c r="N467" t="n">
        <v>64.64000684</v>
      </c>
      <c r="O467" t="n">
        <v>1.073499308</v>
      </c>
      <c r="P467" t="n">
        <v>80</v>
      </c>
      <c r="Q467" t="inlineStr">
        <is>
          <t>One of the largest bank in Danmark</t>
        </is>
      </c>
      <c r="R467" t="inlineStr">
        <is>
          <t>GBP</t>
        </is>
      </c>
      <c r="S467" t="inlineStr">
        <is>
          <t>Investment Grade</t>
        </is>
      </c>
      <c r="T467" t="inlineStr">
        <is>
          <t>A+</t>
        </is>
      </c>
      <c r="U467" t="inlineStr">
        <is>
          <t>A+</t>
        </is>
      </c>
    </row>
    <row r="468">
      <c r="A468" t="inlineStr">
        <is>
          <t xml:space="preserve"> US606822BM52</t>
        </is>
      </c>
      <c r="B468" t="inlineStr">
        <is>
          <t>Hold</t>
        </is>
      </c>
      <c r="C468" t="inlineStr">
        <is>
          <t>Mitsubishi Ufj Fin Grp</t>
        </is>
      </c>
      <c r="D468" t="n">
        <v>3.195</v>
      </c>
      <c r="E468" t="inlineStr">
        <is>
          <t>Sr Unsecured</t>
        </is>
      </c>
      <c r="F468" t="inlineStr">
        <is>
          <t>18.07.2029</t>
        </is>
      </c>
      <c r="G468" t="inlineStr">
        <is>
          <t>Japan</t>
        </is>
      </c>
      <c r="H468" t="inlineStr">
        <is>
          <t>Financial</t>
        </is>
      </c>
      <c r="I468" t="n">
        <v>200</v>
      </c>
      <c r="J468" t="n">
        <v>95.11799999999999</v>
      </c>
      <c r="K468" t="n">
        <v>4.53439</v>
      </c>
      <c r="L468" t="n">
        <v>0.051521</v>
      </c>
      <c r="M468" t="n">
        <v>-0.127109</v>
      </c>
      <c r="N468" t="n">
        <v>64.49836843</v>
      </c>
      <c r="O468" t="n">
        <v>4.023910331</v>
      </c>
      <c r="P468" t="n">
        <v>0</v>
      </c>
      <c r="Q468" t="inlineStr">
        <is>
          <t>A holding company of Mitsubishi Tokyo and UFJ</t>
        </is>
      </c>
      <c r="R468" t="inlineStr">
        <is>
          <t>USD</t>
        </is>
      </c>
      <c r="S468" t="inlineStr">
        <is>
          <t>Investment Grade</t>
        </is>
      </c>
      <c r="T468" t="inlineStr">
        <is>
          <t>A-</t>
        </is>
      </c>
      <c r="U468" t="inlineStr">
        <is>
          <t>A-</t>
        </is>
      </c>
    </row>
    <row r="469">
      <c r="A469" t="inlineStr">
        <is>
          <t>XS2577053825</t>
        </is>
      </c>
      <c r="B469" t="inlineStr">
        <is>
          <t>Hold</t>
        </is>
      </c>
      <c r="C469" t="inlineStr">
        <is>
          <t>Unicredit Spa</t>
        </is>
      </c>
      <c r="D469" t="n">
        <v>4.8</v>
      </c>
      <c r="E469" t="inlineStr">
        <is>
          <t>Sr Preferred</t>
        </is>
      </c>
      <c r="F469" t="inlineStr">
        <is>
          <t>17.01.2029</t>
        </is>
      </c>
      <c r="G469" t="inlineStr">
        <is>
          <t>Italy</t>
        </is>
      </c>
      <c r="H469" t="inlineStr">
        <is>
          <t>Financial</t>
        </is>
      </c>
      <c r="I469" t="n">
        <v>100</v>
      </c>
      <c r="J469" t="n">
        <v>105.599</v>
      </c>
      <c r="K469" t="n">
        <v>2.480105</v>
      </c>
      <c r="L469" t="n">
        <v>-0.050603</v>
      </c>
      <c r="M469" t="n">
        <v>-0.02105</v>
      </c>
      <c r="N469" t="n">
        <v>64.45403387</v>
      </c>
      <c r="O469" t="n">
        <v>2.688204412</v>
      </c>
      <c r="P469" t="n">
        <v>60</v>
      </c>
      <c r="Q469" t="inlineStr">
        <is>
          <t>One of the largest bank in italy</t>
        </is>
      </c>
      <c r="R469" t="inlineStr">
        <is>
          <t>EUR</t>
        </is>
      </c>
      <c r="S469" t="inlineStr">
        <is>
          <t>Investment Grade</t>
        </is>
      </c>
      <c r="T469" t="inlineStr">
        <is>
          <t>BBB+</t>
        </is>
      </c>
      <c r="U469" t="inlineStr">
        <is>
          <t>BBB</t>
        </is>
      </c>
    </row>
    <row r="470">
      <c r="A470" t="inlineStr">
        <is>
          <t>US855244BF54</t>
        </is>
      </c>
      <c r="B470" t="inlineStr">
        <is>
          <t>Top Pick</t>
        </is>
      </c>
      <c r="C470" t="inlineStr">
        <is>
          <t>Starbucks Corp</t>
        </is>
      </c>
      <c r="D470" t="n">
        <v>4.8</v>
      </c>
      <c r="E470" t="inlineStr">
        <is>
          <t>Sr Unsecured</t>
        </is>
      </c>
      <c r="F470" t="inlineStr">
        <is>
          <t>15.02.2033</t>
        </is>
      </c>
      <c r="G470" t="inlineStr">
        <is>
          <t>United states</t>
        </is>
      </c>
      <c r="H470" t="inlineStr">
        <is>
          <t>Consumer, Cyclical</t>
        </is>
      </c>
      <c r="I470" t="n">
        <v>2</v>
      </c>
      <c r="J470" t="n">
        <v>99.72799999999999</v>
      </c>
      <c r="K470" t="n">
        <v>4.842525</v>
      </c>
      <c r="L470" t="n">
        <v>0.01184</v>
      </c>
      <c r="M470" t="n">
        <v>-0.197754</v>
      </c>
      <c r="N470" t="n">
        <v>64.43241729</v>
      </c>
      <c r="O470" t="n">
        <v>6.545592383</v>
      </c>
      <c r="P470" t="n">
        <v>85</v>
      </c>
      <c r="Q470" t="inlineStr">
        <is>
          <t xml:space="preserve">US leading coffee chain </t>
        </is>
      </c>
      <c r="R470" t="inlineStr">
        <is>
          <t>USD</t>
        </is>
      </c>
      <c r="S470" t="inlineStr">
        <is>
          <t>Investment Grade</t>
        </is>
      </c>
      <c r="T470" t="inlineStr">
        <is>
          <t>BBB+</t>
        </is>
      </c>
      <c r="U470" t="inlineStr">
        <is>
          <t>BBB+</t>
        </is>
      </c>
    </row>
    <row r="471">
      <c r="A471" t="inlineStr">
        <is>
          <t>US10373QBU31</t>
        </is>
      </c>
      <c r="B471" t="inlineStr">
        <is>
          <t>Hold</t>
        </is>
      </c>
      <c r="C471" t="inlineStr">
        <is>
          <t>Bp Cap Markets America</t>
        </is>
      </c>
      <c r="D471" t="n">
        <v>4.812</v>
      </c>
      <c r="E471" t="inlineStr">
        <is>
          <t>Sr Unsecured</t>
        </is>
      </c>
      <c r="F471" t="inlineStr">
        <is>
          <t>13.02.2033</t>
        </is>
      </c>
      <c r="G471" t="inlineStr">
        <is>
          <t>United states</t>
        </is>
      </c>
      <c r="H471" t="inlineStr">
        <is>
          <t>Energy</t>
        </is>
      </c>
      <c r="I471" t="n">
        <v>1</v>
      </c>
      <c r="J471" t="n">
        <v>99.80800000000001</v>
      </c>
      <c r="K471" t="n">
        <v>4.841709</v>
      </c>
      <c r="L471" t="n">
        <v>-0.043</v>
      </c>
      <c r="M471" t="n">
        <v>-0.225016</v>
      </c>
      <c r="N471" t="n">
        <v>64.38744889</v>
      </c>
      <c r="O471" t="n">
        <v>6.518460308</v>
      </c>
      <c r="P471" t="n">
        <v>80</v>
      </c>
      <c r="Q471" t="inlineStr">
        <is>
          <t>Leading oil and gas company</t>
        </is>
      </c>
      <c r="R471" t="inlineStr">
        <is>
          <t>USD</t>
        </is>
      </c>
      <c r="S471" t="inlineStr">
        <is>
          <t>Investment Grade</t>
        </is>
      </c>
      <c r="T471" t="inlineStr">
        <is>
          <t>A</t>
        </is>
      </c>
      <c r="U471" t="inlineStr">
        <is>
          <t>A</t>
        </is>
      </c>
    </row>
    <row r="472" ht="28.8" customHeight="1">
      <c r="A472" t="inlineStr">
        <is>
          <t>CH1291809908</t>
        </is>
      </c>
      <c r="B472" t="inlineStr">
        <is>
          <t>Hold</t>
        </is>
      </c>
      <c r="C472" t="inlineStr">
        <is>
          <t>Electricite De France Sa</t>
        </is>
      </c>
      <c r="D472" t="n">
        <v>2.3</v>
      </c>
      <c r="E472" t="inlineStr">
        <is>
          <t>Sr Unsecured</t>
        </is>
      </c>
      <c r="F472" t="inlineStr">
        <is>
          <t>14.09.2027</t>
        </is>
      </c>
      <c r="G472" t="inlineStr">
        <is>
          <t>France</t>
        </is>
      </c>
      <c r="H472" t="inlineStr">
        <is>
          <t>Utilities</t>
        </is>
      </c>
      <c r="I472" t="n">
        <v>5</v>
      </c>
      <c r="J472" t="n">
        <v>103.695</v>
      </c>
      <c r="K472" t="n">
        <v>0.588896</v>
      </c>
      <c r="L472" t="n">
        <v>0.021138</v>
      </c>
      <c r="M472" t="n">
        <v>0.107554</v>
      </c>
      <c r="N472" t="n">
        <v>64.26351345</v>
      </c>
      <c r="O472" t="n">
        <v>2.469230223</v>
      </c>
      <c r="P472" t="n">
        <v>60</v>
      </c>
      <c r="Q472" s="40" t="inlineStr">
        <is>
          <t>French utility company fully owned by the State</t>
        </is>
      </c>
      <c r="R472" t="inlineStr">
        <is>
          <t>CHF</t>
        </is>
      </c>
      <c r="S472" t="inlineStr">
        <is>
          <t>Investment Grade</t>
        </is>
      </c>
      <c r="T472" t="inlineStr">
        <is>
          <t>BBB</t>
        </is>
      </c>
      <c r="U472" t="inlineStr">
        <is>
          <t>BBB</t>
        </is>
      </c>
    </row>
    <row r="473">
      <c r="A473" t="inlineStr">
        <is>
          <t xml:space="preserve"> CH1230759552</t>
        </is>
      </c>
      <c r="B473" t="inlineStr">
        <is>
          <t xml:space="preserve">Hold </t>
        </is>
      </c>
      <c r="C473" t="inlineStr">
        <is>
          <t>Royal Bank Of Canada</t>
        </is>
      </c>
      <c r="D473" t="n">
        <v>2.445</v>
      </c>
      <c r="E473" t="inlineStr">
        <is>
          <t>Sr Unsecured</t>
        </is>
      </c>
      <c r="F473" t="inlineStr">
        <is>
          <t>25.01.2028</t>
        </is>
      </c>
      <c r="G473" t="inlineStr">
        <is>
          <t>Canada</t>
        </is>
      </c>
      <c r="H473" t="inlineStr">
        <is>
          <t>Financial</t>
        </is>
      </c>
      <c r="I473" t="n">
        <v>5</v>
      </c>
      <c r="J473" t="n">
        <v>104.607</v>
      </c>
      <c r="K473" t="n">
        <v>0.614113</v>
      </c>
      <c r="L473" t="n">
        <v>-0.022257</v>
      </c>
      <c r="M473" t="n">
        <v>0.196368</v>
      </c>
      <c r="N473" t="n">
        <v>64.164053</v>
      </c>
      <c r="O473" t="n">
        <v>2.829676746</v>
      </c>
      <c r="P473" t="n">
        <v>80</v>
      </c>
      <c r="Q473" t="inlineStr">
        <is>
          <t>Canada's largest bank</t>
        </is>
      </c>
      <c r="R473" t="inlineStr">
        <is>
          <t>CHF</t>
        </is>
      </c>
      <c r="S473" t="inlineStr">
        <is>
          <t>Investment Grade</t>
        </is>
      </c>
      <c r="T473" t="inlineStr">
        <is>
          <t>A+</t>
        </is>
      </c>
      <c r="U473" t="inlineStr">
        <is>
          <t>A+</t>
        </is>
      </c>
    </row>
    <row r="474">
      <c r="A474" t="inlineStr">
        <is>
          <t>XS2405871570</t>
        </is>
      </c>
      <c r="B474" t="inlineStr">
        <is>
          <t xml:space="preserve">Hold </t>
        </is>
      </c>
      <c r="C474" t="inlineStr">
        <is>
          <t>Singapore Airlines Ltd</t>
        </is>
      </c>
      <c r="D474" t="n">
        <v>3.375</v>
      </c>
      <c r="E474" t="inlineStr">
        <is>
          <t>Sr Unsecured</t>
        </is>
      </c>
      <c r="F474" t="inlineStr">
        <is>
          <t>19.01.2029</t>
        </is>
      </c>
      <c r="G474" t="inlineStr">
        <is>
          <t>Singapore</t>
        </is>
      </c>
      <c r="H474" t="inlineStr">
        <is>
          <t>Consumer, Cyclical</t>
        </is>
      </c>
      <c r="I474" t="n">
        <v>200</v>
      </c>
      <c r="J474" t="n">
        <v>96.312</v>
      </c>
      <c r="K474" t="n">
        <v>4.517359</v>
      </c>
      <c r="L474" t="n">
        <v>0.126756</v>
      </c>
      <c r="M474" t="n">
        <v>-0.021927</v>
      </c>
      <c r="N474" t="n">
        <v>64.04648627</v>
      </c>
      <c r="O474" t="n">
        <v>3.587481194</v>
      </c>
      <c r="P474" t="n">
        <v>0</v>
      </c>
      <c r="Q474" t="inlineStr">
        <is>
          <t xml:space="preserve">Flag carrier airline of Singapore </t>
        </is>
      </c>
      <c r="R474" t="inlineStr">
        <is>
          <t>USD</t>
        </is>
      </c>
      <c r="S474" t="inlineStr">
        <is>
          <t>High Yield</t>
        </is>
      </c>
      <c r="T474" t="inlineStr">
        <is>
          <t>#N/A N/A</t>
        </is>
      </c>
      <c r="U474" t="inlineStr">
        <is>
          <t>#N/A N/A</t>
        </is>
      </c>
    </row>
    <row r="475">
      <c r="A475" t="inlineStr">
        <is>
          <t>XS2578939527</t>
        </is>
      </c>
      <c r="B475" t="inlineStr">
        <is>
          <t xml:space="preserve">Hold </t>
        </is>
      </c>
      <c r="C475" t="inlineStr">
        <is>
          <t>Royal Bank Of Canada</t>
        </is>
      </c>
      <c r="D475" t="n">
        <v>5</v>
      </c>
      <c r="E475" t="inlineStr">
        <is>
          <t>Sr Unsecured</t>
        </is>
      </c>
      <c r="F475" t="inlineStr">
        <is>
          <t>24.01.2028</t>
        </is>
      </c>
      <c r="G475" t="inlineStr">
        <is>
          <t>Canada</t>
        </is>
      </c>
      <c r="H475" t="inlineStr">
        <is>
          <t>Financial</t>
        </is>
      </c>
      <c r="I475" t="n">
        <v>100</v>
      </c>
      <c r="J475" t="n">
        <v>101.352</v>
      </c>
      <c r="K475" t="n">
        <v>4.368341</v>
      </c>
      <c r="L475" t="n">
        <v>-0.038376</v>
      </c>
      <c r="M475" t="n">
        <v>-0.271049</v>
      </c>
      <c r="N475" t="n">
        <v>63.99615688</v>
      </c>
      <c r="O475" t="n">
        <v>2.650592667</v>
      </c>
      <c r="P475" t="n">
        <v>80</v>
      </c>
      <c r="Q475" t="inlineStr">
        <is>
          <t> </t>
        </is>
      </c>
      <c r="R475" t="inlineStr">
        <is>
          <t>GBP</t>
        </is>
      </c>
      <c r="S475" t="inlineStr">
        <is>
          <t>Investment Grade</t>
        </is>
      </c>
      <c r="T475" t="inlineStr">
        <is>
          <t>A+</t>
        </is>
      </c>
      <c r="U475" t="inlineStr">
        <is>
          <t>A+</t>
        </is>
      </c>
    </row>
    <row r="476">
      <c r="A476" t="inlineStr">
        <is>
          <t>PTBSSLOM0002</t>
        </is>
      </c>
      <c r="B476" t="inlineStr">
        <is>
          <t>Hold</t>
        </is>
      </c>
      <c r="C476" t="inlineStr">
        <is>
          <t>Brisa Concessao Rodov Sa</t>
        </is>
      </c>
      <c r="D476" t="n">
        <v>2.375</v>
      </c>
      <c r="E476" t="inlineStr">
        <is>
          <t>1St Lien</t>
        </is>
      </c>
      <c r="F476" t="inlineStr">
        <is>
          <t>10.05.2027</t>
        </is>
      </c>
      <c r="G476" t="inlineStr">
        <is>
          <t>Portugal</t>
        </is>
      </c>
      <c r="H476" t="inlineStr">
        <is>
          <t>Consumer, Non-cyclical</t>
        </is>
      </c>
      <c r="I476" t="n">
        <v>100</v>
      </c>
      <c r="J476" t="n">
        <v>99.76900000000001</v>
      </c>
      <c r="K476" t="n">
        <v>2.503056</v>
      </c>
      <c r="L476" t="n">
        <v>-0.025385</v>
      </c>
      <c r="M476" t="n">
        <v>-0.005595</v>
      </c>
      <c r="N476" t="n">
        <v>63.84713479</v>
      </c>
      <c r="O476" t="n">
        <v>2.079729788</v>
      </c>
      <c r="P476" t="n">
        <v>70</v>
      </c>
      <c r="Q476" t="inlineStr">
        <is>
          <t xml:space="preserve">Operates network of motorways in Portugal </t>
        </is>
      </c>
      <c r="R476" t="inlineStr">
        <is>
          <t>EUR</t>
        </is>
      </c>
      <c r="S476" t="inlineStr">
        <is>
          <t>Investment Grade</t>
        </is>
      </c>
      <c r="T476" t="inlineStr">
        <is>
          <t>A-</t>
        </is>
      </c>
      <c r="U476" t="inlineStr">
        <is>
          <t>A-</t>
        </is>
      </c>
    </row>
    <row r="477">
      <c r="A477" t="inlineStr">
        <is>
          <t>CH1227937716</t>
        </is>
      </c>
      <c r="B477" t="inlineStr">
        <is>
          <t>Hold</t>
        </is>
      </c>
      <c r="C477" t="inlineStr">
        <is>
          <t>Bnp Paribas</t>
        </is>
      </c>
      <c r="D477" t="n">
        <v>2.4125</v>
      </c>
      <c r="E477" t="inlineStr">
        <is>
          <t>Sr Preferred</t>
        </is>
      </c>
      <c r="F477" t="inlineStr">
        <is>
          <t>13.01.2028</t>
        </is>
      </c>
      <c r="G477" t="inlineStr">
        <is>
          <t>France</t>
        </is>
      </c>
      <c r="H477" t="inlineStr">
        <is>
          <t>Financial</t>
        </is>
      </c>
      <c r="I477" t="n">
        <v>200</v>
      </c>
      <c r="J477" t="n">
        <v>104.484</v>
      </c>
      <c r="K477" t="n">
        <v>0.607043</v>
      </c>
      <c r="L477" t="n">
        <v>0.01916</v>
      </c>
      <c r="M477" t="n">
        <v>0.132654</v>
      </c>
      <c r="N477" t="n">
        <v>63.64684035</v>
      </c>
      <c r="O477" t="n">
        <v>2.793056158</v>
      </c>
      <c r="P477" t="n">
        <v>80</v>
      </c>
      <c r="Q477" t="inlineStr">
        <is>
          <t>France's largest bank with a world leading position</t>
        </is>
      </c>
      <c r="R477" t="inlineStr">
        <is>
          <t>CHF</t>
        </is>
      </c>
      <c r="S477" t="inlineStr">
        <is>
          <t>Investment Grade</t>
        </is>
      </c>
      <c r="T477" t="inlineStr">
        <is>
          <t>A+</t>
        </is>
      </c>
      <c r="U477" t="inlineStr">
        <is>
          <t>A+</t>
        </is>
      </c>
    </row>
    <row r="478">
      <c r="A478" t="inlineStr">
        <is>
          <t>XS2353182293</t>
        </is>
      </c>
      <c r="B478" t="inlineStr">
        <is>
          <t>Hold</t>
        </is>
      </c>
      <c r="C478" t="inlineStr">
        <is>
          <t>Enel Finance Intl Nv</t>
        </is>
      </c>
      <c r="D478" t="n">
        <v>0.75</v>
      </c>
      <c r="E478" t="inlineStr">
        <is>
          <t>Sr Unsecured</t>
        </is>
      </c>
      <c r="F478" t="inlineStr">
        <is>
          <t>17.06.2030</t>
        </is>
      </c>
      <c r="G478" t="inlineStr">
        <is>
          <t>Italy</t>
        </is>
      </c>
      <c r="H478" t="inlineStr">
        <is>
          <t>Utilities</t>
        </is>
      </c>
      <c r="I478" t="n">
        <v>100</v>
      </c>
      <c r="J478" t="n">
        <v>90.102</v>
      </c>
      <c r="K478" t="n">
        <v>2.931136</v>
      </c>
      <c r="L478" t="n">
        <v>-0.042686</v>
      </c>
      <c r="M478" t="n">
        <v>-0.046118</v>
      </c>
      <c r="N478" t="n">
        <v>63.63246601</v>
      </c>
      <c r="O478" t="n">
        <v>5.033902936</v>
      </c>
      <c r="P478" t="n">
        <v>60</v>
      </c>
      <c r="Q478" t="inlineStr">
        <is>
          <t xml:space="preserve">Italian utility company </t>
        </is>
      </c>
      <c r="R478" t="inlineStr">
        <is>
          <t>EUR</t>
        </is>
      </c>
      <c r="S478" t="inlineStr">
        <is>
          <t>Investment Grade</t>
        </is>
      </c>
      <c r="T478" t="inlineStr">
        <is>
          <t>BBB</t>
        </is>
      </c>
      <c r="U478" t="inlineStr">
        <is>
          <t>BBB</t>
        </is>
      </c>
    </row>
    <row r="479">
      <c r="A479" t="inlineStr">
        <is>
          <t>XS2997425637</t>
        </is>
      </c>
      <c r="B479" t="inlineStr">
        <is>
          <t xml:space="preserve">Hold </t>
        </is>
      </c>
      <c r="C479" t="inlineStr">
        <is>
          <t>Central American Bank</t>
        </is>
      </c>
      <c r="D479" t="n">
        <v>4.625</v>
      </c>
      <c r="E479" t="inlineStr">
        <is>
          <t>Sr Unsecured</t>
        </is>
      </c>
      <c r="F479" t="inlineStr">
        <is>
          <t>14.02.2028</t>
        </is>
      </c>
      <c r="G479" t="inlineStr">
        <is>
          <t>Supranational</t>
        </is>
      </c>
      <c r="H479" t="inlineStr">
        <is>
          <t>Government</t>
        </is>
      </c>
      <c r="I479" t="n">
        <v>100</v>
      </c>
      <c r="J479" t="n">
        <v>100.488</v>
      </c>
      <c r="K479" t="n">
        <v>4.365092</v>
      </c>
      <c r="L479" t="n">
        <v>0.010547</v>
      </c>
      <c r="M479" t="n">
        <v>-0.136279</v>
      </c>
      <c r="N479" t="n">
        <v>63.59861123</v>
      </c>
      <c r="O479" t="n">
        <v>2.711967117</v>
      </c>
      <c r="P479" t="n">
        <v>0</v>
      </c>
      <c r="Q479" t="inlineStr">
        <is>
          <t xml:space="preserve">A development bank </t>
        </is>
      </c>
      <c r="R479" t="inlineStr">
        <is>
          <t>GBP</t>
        </is>
      </c>
      <c r="S479" t="inlineStr">
        <is>
          <t>Investment Grade</t>
        </is>
      </c>
      <c r="T479" t="inlineStr">
        <is>
          <t>AA-</t>
        </is>
      </c>
      <c r="U479" t="inlineStr">
        <is>
          <t>AA-</t>
        </is>
      </c>
    </row>
    <row r="480">
      <c r="A480" t="inlineStr">
        <is>
          <t>US571903BR30</t>
        </is>
      </c>
      <c r="B480" t="inlineStr">
        <is>
          <t>Top Pick</t>
        </is>
      </c>
      <c r="C480" t="inlineStr">
        <is>
          <t>Marriott International</t>
        </is>
      </c>
      <c r="D480" t="n">
        <v>4.8</v>
      </c>
      <c r="E480" t="inlineStr">
        <is>
          <t>Sr Unsecured</t>
        </is>
      </c>
      <c r="F480" t="inlineStr">
        <is>
          <t>15.03.2030</t>
        </is>
      </c>
      <c r="G480" t="inlineStr">
        <is>
          <t>United states</t>
        </is>
      </c>
      <c r="H480" t="inlineStr">
        <is>
          <t>Consumer, Cyclical</t>
        </is>
      </c>
      <c r="I480" t="n">
        <v>2</v>
      </c>
      <c r="J480" t="n">
        <v>100.975</v>
      </c>
      <c r="K480" t="n">
        <v>4.561961</v>
      </c>
      <c r="L480" t="n">
        <v>-0.035045</v>
      </c>
      <c r="M480" t="n">
        <v>-0.210946</v>
      </c>
      <c r="N480" t="n">
        <v>63.51741831</v>
      </c>
      <c r="O480" t="n">
        <v>4.333169172</v>
      </c>
      <c r="P480" t="n">
        <v>0</v>
      </c>
      <c r="Q480" t="inlineStr">
        <is>
          <t>Worldwide operator and franchisor of hotels</t>
        </is>
      </c>
      <c r="R480" t="inlineStr">
        <is>
          <t>USD</t>
        </is>
      </c>
      <c r="S480" t="inlineStr">
        <is>
          <t>Investment Grade</t>
        </is>
      </c>
      <c r="T480" t="inlineStr">
        <is>
          <t>BBB</t>
        </is>
      </c>
      <c r="U480" t="inlineStr">
        <is>
          <t>BBB</t>
        </is>
      </c>
    </row>
    <row r="481">
      <c r="A481" t="inlineStr">
        <is>
          <t>US713448FT00</t>
        </is>
      </c>
      <c r="B481" t="inlineStr">
        <is>
          <t>Hold</t>
        </is>
      </c>
      <c r="C481" t="inlineStr">
        <is>
          <t>Pepsico Inc</t>
        </is>
      </c>
      <c r="D481" t="n">
        <v>4.65</v>
      </c>
      <c r="E481" t="inlineStr">
        <is>
          <t>Sr Unsecured</t>
        </is>
      </c>
      <c r="F481" t="inlineStr">
        <is>
          <t>15.02.2053</t>
        </is>
      </c>
      <c r="G481" t="inlineStr">
        <is>
          <t>United states</t>
        </is>
      </c>
      <c r="H481" t="inlineStr">
        <is>
          <t>Consumer, Non-cyclical</t>
        </is>
      </c>
      <c r="I481" t="n">
        <v>2</v>
      </c>
      <c r="J481" t="n">
        <v>87.83</v>
      </c>
      <c r="K481" t="n">
        <v>5.512944</v>
      </c>
      <c r="L481" t="n">
        <v>-0.026482</v>
      </c>
      <c r="M481" t="n">
        <v>-0.118385</v>
      </c>
      <c r="N481" t="n">
        <v>63.36401601</v>
      </c>
      <c r="O481" t="n">
        <v>14.72037005</v>
      </c>
      <c r="P481" t="n">
        <v>80</v>
      </c>
      <c r="Q481" t="inlineStr">
        <is>
          <t>One of the world leaders in snack foods and beverages</t>
        </is>
      </c>
      <c r="R481" t="inlineStr">
        <is>
          <t>USD</t>
        </is>
      </c>
      <c r="S481" t="inlineStr">
        <is>
          <t>Investment Grade</t>
        </is>
      </c>
      <c r="T481" t="inlineStr">
        <is>
          <t>A+</t>
        </is>
      </c>
      <c r="U481" t="inlineStr">
        <is>
          <t>A+</t>
        </is>
      </c>
    </row>
    <row r="482">
      <c r="A482" t="inlineStr">
        <is>
          <t>XS2594990892</t>
        </is>
      </c>
      <c r="B482" t="inlineStr">
        <is>
          <t>Hold</t>
        </is>
      </c>
      <c r="C482" t="inlineStr">
        <is>
          <t>Mizuho Financial Group</t>
        </is>
      </c>
      <c r="D482" t="n">
        <v>5.628</v>
      </c>
      <c r="E482" t="inlineStr">
        <is>
          <t>Sr Unsecured</t>
        </is>
      </c>
      <c r="F482" t="inlineStr">
        <is>
          <t>13.06.2028</t>
        </is>
      </c>
      <c r="G482" t="inlineStr">
        <is>
          <t>Japan</t>
        </is>
      </c>
      <c r="H482" t="inlineStr">
        <is>
          <t>Financial</t>
        </is>
      </c>
      <c r="I482" t="n">
        <v>100</v>
      </c>
      <c r="J482" t="n">
        <v>103.24</v>
      </c>
      <c r="K482" t="n">
        <v>4.373877</v>
      </c>
      <c r="L482" t="n">
        <v>-0.074587</v>
      </c>
      <c r="M482" t="n">
        <v>-0.364168</v>
      </c>
      <c r="N482" t="n">
        <v>63.33281444</v>
      </c>
      <c r="O482" t="n">
        <v>2.855649514</v>
      </c>
      <c r="P482" t="n">
        <v>85</v>
      </c>
      <c r="Q482" t="inlineStr">
        <is>
          <t>One of the largest banks in Japan</t>
        </is>
      </c>
      <c r="R482" t="inlineStr">
        <is>
          <t>GBP</t>
        </is>
      </c>
      <c r="S482" t="inlineStr">
        <is>
          <t>Investment Grade</t>
        </is>
      </c>
      <c r="T482" t="inlineStr">
        <is>
          <t>A</t>
        </is>
      </c>
      <c r="U482" t="inlineStr">
        <is>
          <t>A</t>
        </is>
      </c>
    </row>
    <row r="483">
      <c r="A483" t="inlineStr">
        <is>
          <t>XS2826616596</t>
        </is>
      </c>
      <c r="B483" t="inlineStr">
        <is>
          <t xml:space="preserve">Hold </t>
        </is>
      </c>
      <c r="C483" t="inlineStr">
        <is>
          <t>Cellnex Finance Co Sa</t>
        </is>
      </c>
      <c r="D483" t="n">
        <v>3.625</v>
      </c>
      <c r="E483" t="inlineStr">
        <is>
          <t>Sr Unsecured</t>
        </is>
      </c>
      <c r="F483" t="inlineStr">
        <is>
          <t>24.01.2029</t>
        </is>
      </c>
      <c r="G483" t="inlineStr">
        <is>
          <t>Spain</t>
        </is>
      </c>
      <c r="H483" t="inlineStr">
        <is>
          <t>Industrial</t>
        </is>
      </c>
      <c r="I483" t="n">
        <v>100</v>
      </c>
      <c r="J483" t="n">
        <v>102.848</v>
      </c>
      <c r="K483" t="n">
        <v>2.708553</v>
      </c>
      <c r="L483" t="n">
        <v>-0.139399</v>
      </c>
      <c r="M483" t="n">
        <v>-0.138962</v>
      </c>
      <c r="N483" t="n">
        <v>63.32618383</v>
      </c>
      <c r="O483" t="n">
        <v>3.384627114</v>
      </c>
      <c r="P483" t="n">
        <v>85</v>
      </c>
      <c r="Q483" t="inlineStr">
        <is>
          <t>Europe's largest telecom tower operator</t>
        </is>
      </c>
      <c r="R483" t="inlineStr">
        <is>
          <t>EUR</t>
        </is>
      </c>
      <c r="S483" t="inlineStr">
        <is>
          <t>Investment Grade</t>
        </is>
      </c>
      <c r="T483" t="inlineStr">
        <is>
          <t>BBB-</t>
        </is>
      </c>
      <c r="U483" t="inlineStr">
        <is>
          <t>BBB-</t>
        </is>
      </c>
    </row>
    <row r="484">
      <c r="A484" t="inlineStr">
        <is>
          <t>XS2592301365</t>
        </is>
      </c>
      <c r="B484" t="inlineStr">
        <is>
          <t>Hold</t>
        </is>
      </c>
      <c r="C484" t="inlineStr">
        <is>
          <t>Tesco Corp Treasury Serv</t>
        </is>
      </c>
      <c r="D484" t="n">
        <v>4.25</v>
      </c>
      <c r="E484" t="inlineStr">
        <is>
          <t>Sr Unsecured</t>
        </is>
      </c>
      <c r="F484" t="inlineStr">
        <is>
          <t>27.02.2031</t>
        </is>
      </c>
      <c r="G484" t="inlineStr">
        <is>
          <t>United Kingdom</t>
        </is>
      </c>
      <c r="H484" t="inlineStr">
        <is>
          <t>Consumer, Non-cyclical</t>
        </is>
      </c>
      <c r="I484" t="n">
        <v>100</v>
      </c>
      <c r="J484" t="n">
        <v>106.084</v>
      </c>
      <c r="K484" t="n">
        <v>3.00861</v>
      </c>
      <c r="L484" t="n">
        <v>-0.071271</v>
      </c>
      <c r="M484" t="n">
        <v>-0.143728</v>
      </c>
      <c r="N484" t="n">
        <v>62.88123883</v>
      </c>
      <c r="O484" t="n">
        <v>4.874523974</v>
      </c>
      <c r="P484" t="n">
        <v>60</v>
      </c>
      <c r="Q484" t="inlineStr">
        <is>
          <t>Largest player in the UK grocery industry</t>
        </is>
      </c>
      <c r="R484" t="inlineStr">
        <is>
          <t>EUR</t>
        </is>
      </c>
      <c r="S484" t="inlineStr">
        <is>
          <t>Investment Grade</t>
        </is>
      </c>
      <c r="T484" t="inlineStr">
        <is>
          <t>BBB-</t>
        </is>
      </c>
      <c r="U484" t="inlineStr">
        <is>
          <t>BBB-</t>
        </is>
      </c>
    </row>
    <row r="485">
      <c r="A485" t="inlineStr">
        <is>
          <t>CH1236363425</t>
        </is>
      </c>
      <c r="B485" t="inlineStr">
        <is>
          <t>Hold</t>
        </is>
      </c>
      <c r="C485" t="inlineStr">
        <is>
          <t>Cooperatieve Rabobank Ua</t>
        </is>
      </c>
      <c r="D485" t="n">
        <v>2.4875</v>
      </c>
      <c r="E485" t="inlineStr">
        <is>
          <t>Sr Non Preferred</t>
        </is>
      </c>
      <c r="F485" t="inlineStr">
        <is>
          <t>25.01.2029</t>
        </is>
      </c>
      <c r="G485" t="inlineStr">
        <is>
          <t>Netherlands</t>
        </is>
      </c>
      <c r="H485" t="inlineStr">
        <is>
          <t>Financial</t>
        </is>
      </c>
      <c r="I485" t="n">
        <v>200</v>
      </c>
      <c r="J485" t="n">
        <v>104.584</v>
      </c>
      <c r="K485" t="n">
        <v>0.663884</v>
      </c>
      <c r="L485" t="n">
        <v>0.027156</v>
      </c>
      <c r="M485" t="n">
        <v>0.145351</v>
      </c>
      <c r="N485" t="n">
        <v>62.5063439</v>
      </c>
      <c r="O485" t="n">
        <v>2.820583207</v>
      </c>
      <c r="P485" t="n">
        <v>80</v>
      </c>
      <c r="Q485" t="inlineStr">
        <is>
          <t>Largest bank in the Netherlands</t>
        </is>
      </c>
      <c r="R485" t="inlineStr">
        <is>
          <t>CHF</t>
        </is>
      </c>
      <c r="S485" t="inlineStr">
        <is>
          <t>Investment Grade</t>
        </is>
      </c>
      <c r="T485" t="inlineStr">
        <is>
          <t>A-</t>
        </is>
      </c>
      <c r="U485" t="inlineStr">
        <is>
          <t>A-</t>
        </is>
      </c>
    </row>
    <row r="486">
      <c r="A486" t="inlineStr">
        <is>
          <t>XS2600248335</t>
        </is>
      </c>
      <c r="B486" t="inlineStr">
        <is>
          <t>Hold</t>
        </is>
      </c>
      <c r="C486" t="inlineStr">
        <is>
          <t>Abu Dhabi National Energ</t>
        </is>
      </c>
      <c r="D486" t="n">
        <v>4.696</v>
      </c>
      <c r="E486" t="inlineStr">
        <is>
          <t>Sr Unsecured</t>
        </is>
      </c>
      <c r="F486" t="inlineStr">
        <is>
          <t>24.04.2033</t>
        </is>
      </c>
      <c r="G486" t="inlineStr">
        <is>
          <t>U.A.E</t>
        </is>
      </c>
      <c r="H486" t="inlineStr">
        <is>
          <t>Utilities</t>
        </is>
      </c>
      <c r="I486" t="n">
        <v>200</v>
      </c>
      <c r="J486" t="n">
        <v>99.196</v>
      </c>
      <c r="K486" t="n">
        <v>4.819864</v>
      </c>
      <c r="L486" t="n">
        <v>0.020622</v>
      </c>
      <c r="M486" t="n">
        <v>-0.131972</v>
      </c>
      <c r="N486" t="n">
        <v>62.48924704</v>
      </c>
      <c r="O486" t="n">
        <v>6.572888728</v>
      </c>
      <c r="P486" t="n">
        <v>85</v>
      </c>
      <c r="Q486" t="inlineStr">
        <is>
          <t>Abu Dhabi majority state-owned energy company</t>
        </is>
      </c>
      <c r="R486" t="inlineStr">
        <is>
          <t>USD</t>
        </is>
      </c>
      <c r="S486" t="inlineStr">
        <is>
          <t>Investment Grade</t>
        </is>
      </c>
      <c r="T486" t="inlineStr">
        <is>
          <t>AA-</t>
        </is>
      </c>
      <c r="U486" t="inlineStr">
        <is>
          <t>AA-</t>
        </is>
      </c>
    </row>
    <row r="487">
      <c r="A487" t="inlineStr">
        <is>
          <t>XS1992985694</t>
        </is>
      </c>
      <c r="B487" t="inlineStr">
        <is>
          <t>Hold</t>
        </is>
      </c>
      <c r="C487" t="inlineStr">
        <is>
          <t>Saudi Telecom Co</t>
        </is>
      </c>
      <c r="D487" t="n">
        <v>3.89</v>
      </c>
      <c r="E487" t="inlineStr">
        <is>
          <t>Sr Unsecured</t>
        </is>
      </c>
      <c r="F487" t="inlineStr">
        <is>
          <t>13.05.2029</t>
        </is>
      </c>
      <c r="G487" t="inlineStr">
        <is>
          <t>Saudi Arabia</t>
        </is>
      </c>
      <c r="H487" t="inlineStr">
        <is>
          <t>Communications</t>
        </is>
      </c>
      <c r="I487" t="n">
        <v>200</v>
      </c>
      <c r="J487" t="n">
        <v>97.84999999999999</v>
      </c>
      <c r="K487" t="n">
        <v>4.503705</v>
      </c>
      <c r="L487" t="n">
        <v>-0.022459</v>
      </c>
      <c r="M487" t="n">
        <v>-0.059528</v>
      </c>
      <c r="N487" t="n">
        <v>62.31849717</v>
      </c>
      <c r="O487" t="n">
        <v>3.790780921</v>
      </c>
      <c r="P487" t="n">
        <v>80</v>
      </c>
      <c r="Q487" t="inlineStr">
        <is>
          <t xml:space="preserve">Majority state-owned telecom </t>
        </is>
      </c>
      <c r="R487" t="inlineStr">
        <is>
          <t>USD</t>
        </is>
      </c>
      <c r="S487" t="inlineStr">
        <is>
          <t>Investment Grade</t>
        </is>
      </c>
      <c r="T487" t="inlineStr">
        <is>
          <t>A+</t>
        </is>
      </c>
      <c r="U487" t="inlineStr">
        <is>
          <t>A+</t>
        </is>
      </c>
    </row>
    <row r="488">
      <c r="A488" t="inlineStr">
        <is>
          <t>XS2972971803</t>
        </is>
      </c>
      <c r="B488" t="inlineStr">
        <is>
          <t xml:space="preserve">Hold </t>
        </is>
      </c>
      <c r="C488" t="inlineStr">
        <is>
          <t>Fed Caisses Desjardins</t>
        </is>
      </c>
      <c r="D488" t="n">
        <v>5.188645996</v>
      </c>
      <c r="E488" t="inlineStr">
        <is>
          <t>Secured</t>
        </is>
      </c>
      <c r="F488" t="inlineStr">
        <is>
          <t>15.07.2028</t>
        </is>
      </c>
      <c r="G488" t="inlineStr">
        <is>
          <t>Canada</t>
        </is>
      </c>
      <c r="H488" t="inlineStr">
        <is>
          <t>Financial</t>
        </is>
      </c>
      <c r="I488" t="n">
        <v>100</v>
      </c>
      <c r="J488" t="n">
        <v>100.049</v>
      </c>
      <c r="K488" t="n">
        <v>4.829685</v>
      </c>
      <c r="L488" t="n">
        <v>-0.014188</v>
      </c>
      <c r="M488" t="n">
        <v>-0.022687</v>
      </c>
      <c r="N488" t="n">
        <v>62.24879498</v>
      </c>
      <c r="O488" t="n">
        <v>0.002739347</v>
      </c>
      <c r="P488" t="n">
        <v>0</v>
      </c>
      <c r="Q488" t="inlineStr">
        <is>
          <t>Canadian coopeative financial group</t>
        </is>
      </c>
      <c r="R488" t="inlineStr">
        <is>
          <t>GBP</t>
        </is>
      </c>
      <c r="S488" t="inlineStr">
        <is>
          <t>Investment Grade</t>
        </is>
      </c>
      <c r="T488" t="inlineStr">
        <is>
          <t>AAA</t>
        </is>
      </c>
      <c r="U488" t="inlineStr">
        <is>
          <t>AAA</t>
        </is>
      </c>
    </row>
    <row r="489">
      <c r="A489" t="inlineStr">
        <is>
          <t>US76720AAN63</t>
        </is>
      </c>
      <c r="B489" t="inlineStr">
        <is>
          <t>Hold</t>
        </is>
      </c>
      <c r="C489" t="inlineStr">
        <is>
          <t>Rio Tinto Fin Usa Plc</t>
        </is>
      </c>
      <c r="D489" t="n">
        <v>5</v>
      </c>
      <c r="E489" t="inlineStr">
        <is>
          <t>Sr Unsecured</t>
        </is>
      </c>
      <c r="F489" t="inlineStr">
        <is>
          <t>09.03.2033</t>
        </is>
      </c>
      <c r="G489" t="inlineStr">
        <is>
          <t>Australia</t>
        </is>
      </c>
      <c r="H489" t="inlineStr">
        <is>
          <t>Basic Materials</t>
        </is>
      </c>
      <c r="I489" t="n">
        <v>2</v>
      </c>
      <c r="J489" t="n">
        <v>101.124</v>
      </c>
      <c r="K489" t="n">
        <v>4.817868</v>
      </c>
      <c r="L489" t="n">
        <v>-0.001113</v>
      </c>
      <c r="M489" t="n">
        <v>-0.129793</v>
      </c>
      <c r="N489" t="n">
        <v>61.92442816</v>
      </c>
      <c r="O489" t="n">
        <v>6.416659416</v>
      </c>
      <c r="P489" t="n">
        <v>80</v>
      </c>
      <c r="Q489" t="inlineStr">
        <is>
          <t>Provides iron ore mining services</t>
        </is>
      </c>
      <c r="R489" t="inlineStr">
        <is>
          <t>USD</t>
        </is>
      </c>
      <c r="S489" t="inlineStr">
        <is>
          <t>Investment Grade</t>
        </is>
      </c>
      <c r="T489" t="inlineStr">
        <is>
          <t>A</t>
        </is>
      </c>
      <c r="U489" t="inlineStr">
        <is>
          <t>A</t>
        </is>
      </c>
    </row>
    <row r="490">
      <c r="A490" t="inlineStr">
        <is>
          <t>US58733RAE27</t>
        </is>
      </c>
      <c r="B490" t="inlineStr">
        <is>
          <t xml:space="preserve">Hold </t>
        </is>
      </c>
      <c r="C490" t="inlineStr">
        <is>
          <t>Mercadolibre Inc</t>
        </is>
      </c>
      <c r="D490" t="n">
        <v>2.375</v>
      </c>
      <c r="E490" t="inlineStr">
        <is>
          <t>Sr Unsecured</t>
        </is>
      </c>
      <c r="F490" t="inlineStr">
        <is>
          <t>14.01.2026</t>
        </is>
      </c>
      <c r="G490" t="inlineStr">
        <is>
          <t>Brazil</t>
        </is>
      </c>
      <c r="H490" t="inlineStr">
        <is>
          <t>Communications</t>
        </is>
      </c>
      <c r="I490" t="n">
        <v>200</v>
      </c>
      <c r="J490" t="n">
        <v>98.72799999999999</v>
      </c>
      <c r="K490" t="n">
        <v>4.897311</v>
      </c>
      <c r="L490" t="n">
        <v>-0.024687</v>
      </c>
      <c r="M490" t="n">
        <v>-0.104686</v>
      </c>
      <c r="N490" t="n">
        <v>61.88223542</v>
      </c>
      <c r="O490" t="n">
        <v>0.868231012</v>
      </c>
      <c r="P490" t="n">
        <v>25</v>
      </c>
      <c r="Q490" t="inlineStr">
        <is>
          <t>Operates as an online trading site for the latin american market</t>
        </is>
      </c>
      <c r="R490" t="inlineStr">
        <is>
          <t>USD</t>
        </is>
      </c>
      <c r="S490" t="inlineStr">
        <is>
          <t>Latin America</t>
        </is>
      </c>
      <c r="T490" t="inlineStr">
        <is>
          <t>BB+</t>
        </is>
      </c>
      <c r="U490" t="inlineStr">
        <is>
          <t>BB+</t>
        </is>
      </c>
    </row>
    <row r="491">
      <c r="A491" t="inlineStr">
        <is>
          <t>XS2592650373</t>
        </is>
      </c>
      <c r="B491" t="inlineStr">
        <is>
          <t>Hold</t>
        </is>
      </c>
      <c r="C491" t="inlineStr">
        <is>
          <t>Intesa Sanpaolo Spa</t>
        </is>
      </c>
      <c r="D491" t="n">
        <v>5</v>
      </c>
      <c r="E491" t="inlineStr">
        <is>
          <t>Sr Non Preferred</t>
        </is>
      </c>
      <c r="F491" t="inlineStr">
        <is>
          <t>08.03.2028</t>
        </is>
      </c>
      <c r="G491" t="inlineStr">
        <is>
          <t>Italy</t>
        </is>
      </c>
      <c r="H491" t="inlineStr">
        <is>
          <t>Financial</t>
        </is>
      </c>
      <c r="I491" t="n">
        <v>150</v>
      </c>
      <c r="J491" t="n">
        <v>104.222</v>
      </c>
      <c r="K491" t="n">
        <v>2.371809</v>
      </c>
      <c r="L491" t="n">
        <v>-0.081759</v>
      </c>
      <c r="M491" t="n">
        <v>-0.169997</v>
      </c>
      <c r="N491" t="n">
        <v>61.71660218</v>
      </c>
      <c r="O491" t="n">
        <v>1.84463866</v>
      </c>
      <c r="P491" t="n">
        <v>80</v>
      </c>
      <c r="Q491" t="inlineStr">
        <is>
          <t>One of the largest Italian banks</t>
        </is>
      </c>
      <c r="R491" t="inlineStr">
        <is>
          <t>EUR</t>
        </is>
      </c>
      <c r="S491" t="inlineStr">
        <is>
          <t>Investment Grade</t>
        </is>
      </c>
      <c r="T491" t="inlineStr">
        <is>
          <t>BBB-</t>
        </is>
      </c>
      <c r="U491" t="inlineStr">
        <is>
          <t>BBB-</t>
        </is>
      </c>
    </row>
    <row r="492">
      <c r="A492" t="inlineStr">
        <is>
          <t>XS2534976886</t>
        </is>
      </c>
      <c r="B492" t="inlineStr">
        <is>
          <t xml:space="preserve">Hold </t>
        </is>
      </c>
      <c r="C492" t="inlineStr">
        <is>
          <t>A2A Spa</t>
        </is>
      </c>
      <c r="D492" t="n">
        <v>4.5</v>
      </c>
      <c r="E492" t="inlineStr">
        <is>
          <t>Sr Unsecured</t>
        </is>
      </c>
      <c r="F492" t="inlineStr">
        <is>
          <t>19.09.2030</t>
        </is>
      </c>
      <c r="G492" t="inlineStr">
        <is>
          <t>Italy</t>
        </is>
      </c>
      <c r="H492" t="inlineStr">
        <is>
          <t>Utilities</t>
        </is>
      </c>
      <c r="I492" t="n">
        <v>100</v>
      </c>
      <c r="J492" t="n">
        <v>107.199</v>
      </c>
      <c r="K492" t="n">
        <v>2.915865</v>
      </c>
      <c r="L492" t="n">
        <v>-0.052884</v>
      </c>
      <c r="M492" t="n">
        <v>-0.047087</v>
      </c>
      <c r="N492" t="n">
        <v>61.25507489</v>
      </c>
      <c r="O492" t="n">
        <v>4.637730941</v>
      </c>
      <c r="P492" t="n">
        <v>60</v>
      </c>
      <c r="Q492" t="inlineStr">
        <is>
          <t>Italian diversified utility in electricity, renewables, gas, water, waste management</t>
        </is>
      </c>
      <c r="R492" t="inlineStr">
        <is>
          <t>EUR</t>
        </is>
      </c>
      <c r="S492" t="inlineStr">
        <is>
          <t>Investment Grade</t>
        </is>
      </c>
      <c r="T492" t="inlineStr">
        <is>
          <t>BBB</t>
        </is>
      </c>
      <c r="U492" t="inlineStr">
        <is>
          <t>BBB</t>
        </is>
      </c>
    </row>
    <row r="493">
      <c r="A493" t="inlineStr">
        <is>
          <t>FR001400F075</t>
        </is>
      </c>
      <c r="B493" t="inlineStr">
        <is>
          <t xml:space="preserve">Hold </t>
        </is>
      </c>
      <c r="C493" t="inlineStr">
        <is>
          <t>Bpce Sa</t>
        </is>
      </c>
      <c r="D493" t="n">
        <v>4.375</v>
      </c>
      <c r="E493" t="inlineStr">
        <is>
          <t>Sr Non Preferred</t>
        </is>
      </c>
      <c r="F493" t="inlineStr">
        <is>
          <t>13.07.2028</t>
        </is>
      </c>
      <c r="G493" t="inlineStr">
        <is>
          <t>France</t>
        </is>
      </c>
      <c r="H493" t="inlineStr">
        <is>
          <t>Financial</t>
        </is>
      </c>
      <c r="I493" t="n">
        <v>100</v>
      </c>
      <c r="J493" t="n">
        <v>105.081</v>
      </c>
      <c r="K493" t="n">
        <v>2.598754</v>
      </c>
      <c r="L493" t="n">
        <v>-0.108883</v>
      </c>
      <c r="M493" t="n">
        <v>-0.200814</v>
      </c>
      <c r="N493" t="n">
        <v>61.20277954</v>
      </c>
      <c r="O493" t="n">
        <v>3.05052543</v>
      </c>
      <c r="P493" t="n">
        <v>60</v>
      </c>
      <c r="Q493" t="inlineStr">
        <is>
          <t>One of the largest French retail banks</t>
        </is>
      </c>
      <c r="R493" t="inlineStr">
        <is>
          <t>EUR</t>
        </is>
      </c>
      <c r="S493" t="inlineStr">
        <is>
          <t>Investment Grade</t>
        </is>
      </c>
      <c r="T493" t="inlineStr">
        <is>
          <t>BBB+</t>
        </is>
      </c>
      <c r="U493" t="inlineStr">
        <is>
          <t>BBB+</t>
        </is>
      </c>
    </row>
    <row r="494">
      <c r="A494" t="inlineStr">
        <is>
          <t>USU51407AE17</t>
        </is>
      </c>
      <c r="B494" t="inlineStr">
        <is>
          <t>Hold</t>
        </is>
      </c>
      <c r="C494" t="inlineStr">
        <is>
          <t>Bath &amp; Body Works Inc</t>
        </is>
      </c>
      <c r="D494" t="n">
        <v>6.625</v>
      </c>
      <c r="E494" t="inlineStr">
        <is>
          <t>Sr Unsecured</t>
        </is>
      </c>
      <c r="F494" t="inlineStr">
        <is>
          <t>01.10.2030</t>
        </is>
      </c>
      <c r="G494" t="inlineStr">
        <is>
          <t>United states</t>
        </is>
      </c>
      <c r="H494" t="inlineStr">
        <is>
          <t>Consumer, Cyclical</t>
        </is>
      </c>
      <c r="I494" t="n">
        <v>2</v>
      </c>
      <c r="J494" t="n">
        <v>103.305</v>
      </c>
      <c r="K494" t="n">
        <v>5.494301</v>
      </c>
      <c r="L494" t="n">
        <v>-0.09674000000000001</v>
      </c>
      <c r="M494" t="n">
        <v>-0.384379</v>
      </c>
      <c r="N494" t="n">
        <v>61.17701051</v>
      </c>
      <c r="O494" t="n">
        <v>3.105722799</v>
      </c>
      <c r="P494" t="n">
        <v>25</v>
      </c>
      <c r="Q494" t="inlineStr">
        <is>
          <t>A specialty retailer that operates in US and Canada</t>
        </is>
      </c>
      <c r="R494" t="inlineStr">
        <is>
          <t>USD</t>
        </is>
      </c>
      <c r="S494" t="inlineStr">
        <is>
          <t>High Yield</t>
        </is>
      </c>
      <c r="T494" t="inlineStr">
        <is>
          <t>BB</t>
        </is>
      </c>
      <c r="U494" t="inlineStr">
        <is>
          <t>BB</t>
        </is>
      </c>
    </row>
    <row r="495">
      <c r="A495" t="inlineStr">
        <is>
          <t>XS2429208056</t>
        </is>
      </c>
      <c r="B495" t="inlineStr">
        <is>
          <t xml:space="preserve">Hold </t>
        </is>
      </c>
      <c r="C495" t="inlineStr">
        <is>
          <t>Met Life Glob Funding I</t>
        </is>
      </c>
      <c r="D495" t="n">
        <v>1.625</v>
      </c>
      <c r="E495" t="inlineStr">
        <is>
          <t>Secured</t>
        </is>
      </c>
      <c r="F495" t="inlineStr">
        <is>
          <t>12.10.2028</t>
        </is>
      </c>
      <c r="G495" t="inlineStr">
        <is>
          <t>United states</t>
        </is>
      </c>
      <c r="H495" t="inlineStr">
        <is>
          <t>Financial</t>
        </is>
      </c>
      <c r="I495" t="n">
        <v>100</v>
      </c>
      <c r="J495" t="n">
        <v>91.717</v>
      </c>
      <c r="K495" t="n">
        <v>4.378911</v>
      </c>
      <c r="L495" t="n">
        <v>-0.014045</v>
      </c>
      <c r="M495" t="n">
        <v>-0.218043</v>
      </c>
      <c r="N495" t="n">
        <v>60.97393109</v>
      </c>
      <c r="O495" t="n">
        <v>3.430900786</v>
      </c>
      <c r="P495" t="n">
        <v>85</v>
      </c>
      <c r="Q495" t="inlineStr">
        <is>
          <t>The company provides life insurance, automobile and homeowners insurance.</t>
        </is>
      </c>
      <c r="R495" t="inlineStr">
        <is>
          <t>GBP</t>
        </is>
      </c>
      <c r="S495" t="inlineStr">
        <is>
          <t>Investment Grade</t>
        </is>
      </c>
      <c r="T495" t="inlineStr">
        <is>
          <t>AA-</t>
        </is>
      </c>
      <c r="U495" t="inlineStr">
        <is>
          <t>AA-</t>
        </is>
      </c>
    </row>
    <row r="496">
      <c r="A496" t="inlineStr">
        <is>
          <t>XS2815984732</t>
        </is>
      </c>
      <c r="B496" t="inlineStr">
        <is>
          <t>Top Pick</t>
        </is>
      </c>
      <c r="C496" t="inlineStr">
        <is>
          <t>Deutsche Lufthansa Ag</t>
        </is>
      </c>
      <c r="D496" t="n">
        <v>4</v>
      </c>
      <c r="E496" t="inlineStr">
        <is>
          <t>Sr Unsecured</t>
        </is>
      </c>
      <c r="F496" t="inlineStr">
        <is>
          <t>21.05.2030</t>
        </is>
      </c>
      <c r="G496" t="inlineStr">
        <is>
          <t>Germany</t>
        </is>
      </c>
      <c r="H496" t="inlineStr">
        <is>
          <t>Consumer, Cyclical</t>
        </is>
      </c>
      <c r="I496" t="n">
        <v>1</v>
      </c>
      <c r="J496" t="n">
        <v>104.814</v>
      </c>
      <c r="K496" t="n">
        <v>2.873261</v>
      </c>
      <c r="L496" t="n">
        <v>-0.100921</v>
      </c>
      <c r="M496" t="n">
        <v>-0.273165</v>
      </c>
      <c r="N496" t="n">
        <v>60.87626007</v>
      </c>
      <c r="O496" t="n">
        <v>4.367442556</v>
      </c>
      <c r="P496" t="n">
        <v>60</v>
      </c>
      <c r="Q496" t="inlineStr">
        <is>
          <t>Europe's largest airline group</t>
        </is>
      </c>
      <c r="R496" t="inlineStr">
        <is>
          <t>EUR</t>
        </is>
      </c>
      <c r="S496" t="inlineStr">
        <is>
          <t>Investment Grade</t>
        </is>
      </c>
      <c r="T496" t="inlineStr">
        <is>
          <t>BBB-</t>
        </is>
      </c>
      <c r="U496" t="inlineStr">
        <is>
          <t>BBB-</t>
        </is>
      </c>
    </row>
    <row r="497">
      <c r="A497" t="inlineStr">
        <is>
          <t>XS2804485915</t>
        </is>
      </c>
      <c r="B497" t="inlineStr">
        <is>
          <t>Hold</t>
        </is>
      </c>
      <c r="C497" t="inlineStr">
        <is>
          <t>Intesa Sanpaolo Spa</t>
        </is>
      </c>
      <c r="D497" t="n">
        <v>3.625</v>
      </c>
      <c r="E497" t="inlineStr">
        <is>
          <t>Sr Preferred</t>
        </is>
      </c>
      <c r="F497" t="inlineStr">
        <is>
          <t>16.10.2030</t>
        </is>
      </c>
      <c r="G497" t="inlineStr">
        <is>
          <t>Italy</t>
        </is>
      </c>
      <c r="H497" t="inlineStr">
        <is>
          <t>Financial</t>
        </is>
      </c>
      <c r="I497" t="n">
        <v>100</v>
      </c>
      <c r="J497" t="n">
        <v>103.284</v>
      </c>
      <c r="K497" t="n">
        <v>2.940991</v>
      </c>
      <c r="L497" t="n">
        <v>-0.063198</v>
      </c>
      <c r="M497" t="n">
        <v>-0.074403</v>
      </c>
      <c r="N497" t="n">
        <v>60.7678194</v>
      </c>
      <c r="O497" t="n">
        <v>4.989324509</v>
      </c>
      <c r="P497" t="n">
        <v>60</v>
      </c>
      <c r="Q497" t="inlineStr">
        <is>
          <t>One of the largest banks in Italy</t>
        </is>
      </c>
      <c r="R497" t="inlineStr">
        <is>
          <t>EUR</t>
        </is>
      </c>
      <c r="S497" t="inlineStr">
        <is>
          <t>Investment Grade</t>
        </is>
      </c>
      <c r="T497" t="inlineStr">
        <is>
          <t>BBB</t>
        </is>
      </c>
      <c r="U497" t="inlineStr">
        <is>
          <t>BBB</t>
        </is>
      </c>
    </row>
    <row r="498">
      <c r="A498" t="inlineStr">
        <is>
          <t>XS2914524009</t>
        </is>
      </c>
      <c r="B498" t="inlineStr">
        <is>
          <t>Top pick</t>
        </is>
      </c>
      <c r="C498" t="inlineStr">
        <is>
          <t>Emirates Nbd Bank Pjsc</t>
        </is>
      </c>
      <c r="D498" t="n">
        <v>5.141</v>
      </c>
      <c r="E498" t="inlineStr">
        <is>
          <t>Sr Unsecured</t>
        </is>
      </c>
      <c r="F498" t="inlineStr">
        <is>
          <t>26.11.2029</t>
        </is>
      </c>
      <c r="G498" t="inlineStr">
        <is>
          <t>U.A.E</t>
        </is>
      </c>
      <c r="H498" t="inlineStr">
        <is>
          <t>Financial</t>
        </is>
      </c>
      <c r="I498" t="n">
        <v>200</v>
      </c>
      <c r="J498" t="n">
        <v>102.465</v>
      </c>
      <c r="K498" t="n">
        <v>4.513076</v>
      </c>
      <c r="L498" t="n">
        <v>0.026422</v>
      </c>
      <c r="M498" t="n">
        <v>-0.09922599999999999</v>
      </c>
      <c r="N498" t="n">
        <v>60.67611753</v>
      </c>
      <c r="O498" t="n">
        <v>4.124101491</v>
      </c>
      <c r="P498" t="n">
        <v>0</v>
      </c>
      <c r="Q498" t="inlineStr">
        <is>
          <t xml:space="preserve">the UAE's second largest bank </t>
        </is>
      </c>
      <c r="R498" t="inlineStr">
        <is>
          <t>USD</t>
        </is>
      </c>
      <c r="S498" t="inlineStr">
        <is>
          <t>Investment Grade</t>
        </is>
      </c>
      <c r="T498" t="inlineStr">
        <is>
          <t>A+</t>
        </is>
      </c>
      <c r="U498" t="inlineStr">
        <is>
          <t>A</t>
        </is>
      </c>
    </row>
    <row r="499">
      <c r="A499" t="inlineStr">
        <is>
          <t>US404119CP27</t>
        </is>
      </c>
      <c r="B499" t="inlineStr">
        <is>
          <t>Top Pick</t>
        </is>
      </c>
      <c r="C499" t="inlineStr">
        <is>
          <t>Hca Inc</t>
        </is>
      </c>
      <c r="D499" t="n">
        <v>5.2</v>
      </c>
      <c r="E499" t="inlineStr">
        <is>
          <t>Sr Unsecured</t>
        </is>
      </c>
      <c r="F499" t="inlineStr">
        <is>
          <t>01.06.2028</t>
        </is>
      </c>
      <c r="G499" t="inlineStr">
        <is>
          <t>United states</t>
        </is>
      </c>
      <c r="H499" t="inlineStr">
        <is>
          <t>Consumer, Non-cyclical</t>
        </is>
      </c>
      <c r="I499" t="n">
        <v>2</v>
      </c>
      <c r="J499" t="n">
        <v>101.971</v>
      </c>
      <c r="K499" t="n">
        <v>4.446815</v>
      </c>
      <c r="L499" t="n">
        <v>-0.021333</v>
      </c>
      <c r="M499" t="n">
        <v>-0.201392</v>
      </c>
      <c r="N499" t="n">
        <v>60.54346098</v>
      </c>
      <c r="O499" t="n">
        <v>2.880826677</v>
      </c>
      <c r="P499" t="n">
        <v>85</v>
      </c>
      <c r="Q499" t="inlineStr">
        <is>
          <t>Provides health care services</t>
        </is>
      </c>
      <c r="R499" t="inlineStr">
        <is>
          <t>USD</t>
        </is>
      </c>
      <c r="S499" t="inlineStr">
        <is>
          <t>Investment Grade</t>
        </is>
      </c>
      <c r="T499" t="inlineStr">
        <is>
          <t>BBB-</t>
        </is>
      </c>
      <c r="U499" t="inlineStr">
        <is>
          <t>BBB-</t>
        </is>
      </c>
    </row>
    <row r="500">
      <c r="A500" t="inlineStr">
        <is>
          <t>XS2579483319</t>
        </is>
      </c>
      <c r="B500" t="inlineStr">
        <is>
          <t xml:space="preserve">Hold </t>
        </is>
      </c>
      <c r="C500" t="inlineStr">
        <is>
          <t>Bulgaria</t>
        </is>
      </c>
      <c r="D500" t="n">
        <v>4.5</v>
      </c>
      <c r="E500" t="inlineStr">
        <is>
          <t>Sr Unsecured</t>
        </is>
      </c>
      <c r="F500" t="inlineStr">
        <is>
          <t>27.01.2033</t>
        </is>
      </c>
      <c r="G500" t="inlineStr">
        <is>
          <t>Bulgaria</t>
        </is>
      </c>
      <c r="H500" t="inlineStr">
        <is>
          <t>Government</t>
        </is>
      </c>
      <c r="I500" t="n">
        <v>1</v>
      </c>
      <c r="J500" t="n">
        <v>108.516</v>
      </c>
      <c r="K500" t="n">
        <v>3.209878</v>
      </c>
      <c r="L500" t="n">
        <v>-0.007076</v>
      </c>
      <c r="M500" t="n">
        <v>0.038135</v>
      </c>
      <c r="N500" t="n">
        <v>60.46822191</v>
      </c>
      <c r="O500" t="n">
        <v>6.661918324</v>
      </c>
      <c r="P500" t="n">
        <v>85</v>
      </c>
      <c r="Q500" t="inlineStr">
        <is>
          <t>Bulgaria government bond</t>
        </is>
      </c>
      <c r="R500" t="inlineStr">
        <is>
          <t>EUR</t>
        </is>
      </c>
      <c r="S500" t="inlineStr">
        <is>
          <t>Investment Grade</t>
        </is>
      </c>
      <c r="T500" t="inlineStr">
        <is>
          <t>BBB</t>
        </is>
      </c>
      <c r="U500" t="inlineStr">
        <is>
          <t>BBB</t>
        </is>
      </c>
    </row>
    <row r="501">
      <c r="A501" t="inlineStr">
        <is>
          <t>XS1586555945</t>
        </is>
      </c>
      <c r="B501" t="inlineStr">
        <is>
          <t>Hold</t>
        </is>
      </c>
      <c r="C501" t="inlineStr">
        <is>
          <t>Volkswagen Intl Fin Nv</t>
        </is>
      </c>
      <c r="D501" t="n">
        <v>1.875</v>
      </c>
      <c r="E501" t="inlineStr">
        <is>
          <t>Sr Unsecured</t>
        </is>
      </c>
      <c r="F501" t="inlineStr">
        <is>
          <t>30.03.2027</t>
        </is>
      </c>
      <c r="G501" t="inlineStr">
        <is>
          <t>Germany</t>
        </is>
      </c>
      <c r="H501" t="inlineStr">
        <is>
          <t>Consumer, Cyclical</t>
        </is>
      </c>
      <c r="I501" t="n">
        <v>100</v>
      </c>
      <c r="J501" t="n">
        <v>99.01000000000001</v>
      </c>
      <c r="K501" t="n">
        <v>2.467604</v>
      </c>
      <c r="L501" t="n">
        <v>-0.140202</v>
      </c>
      <c r="M501" t="n">
        <v>-0.156562</v>
      </c>
      <c r="N501" t="n">
        <v>60.38383298</v>
      </c>
      <c r="O501" t="n">
        <v>1.980074611</v>
      </c>
      <c r="P501" t="n">
        <v>60</v>
      </c>
      <c r="Q501" t="inlineStr">
        <is>
          <t>Financial arm of multinational auto manufacturing company</t>
        </is>
      </c>
      <c r="R501" t="inlineStr">
        <is>
          <t>EUR</t>
        </is>
      </c>
      <c r="S501" t="inlineStr">
        <is>
          <t>Investment Grade</t>
        </is>
      </c>
      <c r="T501" t="inlineStr">
        <is>
          <t>BBB+</t>
        </is>
      </c>
      <c r="U501" t="inlineStr">
        <is>
          <t>BBB+</t>
        </is>
      </c>
    </row>
    <row r="502">
      <c r="A502" t="inlineStr">
        <is>
          <t>XS0162990229</t>
        </is>
      </c>
      <c r="B502" t="inlineStr">
        <is>
          <t>Hold</t>
        </is>
      </c>
      <c r="C502" t="inlineStr">
        <is>
          <t>Electricite De France Sa</t>
        </is>
      </c>
      <c r="D502" t="n">
        <v>5.625</v>
      </c>
      <c r="E502" t="inlineStr">
        <is>
          <t>Sr Unsecured</t>
        </is>
      </c>
      <c r="F502" t="inlineStr">
        <is>
          <t>21.02.2033</t>
        </is>
      </c>
      <c r="G502" t="inlineStr">
        <is>
          <t>France</t>
        </is>
      </c>
      <c r="H502" t="inlineStr">
        <is>
          <t>Utilities</t>
        </is>
      </c>
      <c r="I502" t="n">
        <v>1</v>
      </c>
      <c r="J502" t="n">
        <v>116.12</v>
      </c>
      <c r="K502" t="n">
        <v>3.204584</v>
      </c>
      <c r="L502" t="n">
        <v>-0.080514</v>
      </c>
      <c r="M502" t="n">
        <v>-0.084081</v>
      </c>
      <c r="N502" t="n">
        <v>60.29791735</v>
      </c>
      <c r="O502" t="n">
        <v>6.546474723</v>
      </c>
      <c r="P502" t="n">
        <v>60</v>
      </c>
      <c r="Q502" t="inlineStr">
        <is>
          <t>French utility company fully owned by the State</t>
        </is>
      </c>
      <c r="R502" t="inlineStr">
        <is>
          <t>EUR</t>
        </is>
      </c>
      <c r="S502" t="inlineStr">
        <is>
          <t>Investment Grade</t>
        </is>
      </c>
      <c r="T502" t="inlineStr">
        <is>
          <t>BBB</t>
        </is>
      </c>
      <c r="U502" t="inlineStr">
        <is>
          <t>BBB</t>
        </is>
      </c>
    </row>
    <row r="503">
      <c r="A503" t="inlineStr">
        <is>
          <t>US716973AE24</t>
        </is>
      </c>
      <c r="B503" t="inlineStr">
        <is>
          <t>Top Pick</t>
        </is>
      </c>
      <c r="C503" t="inlineStr">
        <is>
          <t>Pfizer Investment Enter</t>
        </is>
      </c>
      <c r="D503" t="n">
        <v>4.75</v>
      </c>
      <c r="E503" t="inlineStr">
        <is>
          <t>Sr Unsecured</t>
        </is>
      </c>
      <c r="F503" t="inlineStr">
        <is>
          <t>19.05.2033</t>
        </is>
      </c>
      <c r="G503" t="inlineStr">
        <is>
          <t>United states</t>
        </is>
      </c>
      <c r="H503" t="inlineStr">
        <is>
          <t>Consumer, Non-cyclical</t>
        </is>
      </c>
      <c r="I503" t="n">
        <v>2</v>
      </c>
      <c r="J503" t="n">
        <v>99.532</v>
      </c>
      <c r="K503" t="n">
        <v>4.821349</v>
      </c>
      <c r="L503" t="n">
        <v>-0.019061</v>
      </c>
      <c r="M503" t="n">
        <v>-0.165733</v>
      </c>
      <c r="N503" t="n">
        <v>60.25718564</v>
      </c>
      <c r="O503" t="n">
        <v>6.641114746</v>
      </c>
      <c r="P503" t="n">
        <v>0</v>
      </c>
      <c r="Q503" t="inlineStr">
        <is>
          <t>One of the world's largest pharmaceutical companies</t>
        </is>
      </c>
      <c r="R503" t="inlineStr">
        <is>
          <t>USD</t>
        </is>
      </c>
      <c r="S503" t="inlineStr">
        <is>
          <t>Investment Grade</t>
        </is>
      </c>
      <c r="T503" t="inlineStr">
        <is>
          <t>A</t>
        </is>
      </c>
      <c r="U503" t="inlineStr">
        <is>
          <t>A</t>
        </is>
      </c>
    </row>
    <row r="504">
      <c r="A504" t="inlineStr">
        <is>
          <t>US455780DR40</t>
        </is>
      </c>
      <c r="B504" t="inlineStr">
        <is>
          <t xml:space="preserve">Hold </t>
        </is>
      </c>
      <c r="C504" t="inlineStr">
        <is>
          <t>Republic Of Indonesia</t>
        </is>
      </c>
      <c r="D504" t="n">
        <v>4.85</v>
      </c>
      <c r="E504" t="inlineStr">
        <is>
          <t>Sr Unsecured</t>
        </is>
      </c>
      <c r="F504" t="inlineStr">
        <is>
          <t>11.01.2033</t>
        </is>
      </c>
      <c r="G504" t="inlineStr">
        <is>
          <t>Indonesia</t>
        </is>
      </c>
      <c r="H504" t="inlineStr">
        <is>
          <t>Government</t>
        </is>
      </c>
      <c r="I504" t="n">
        <v>200</v>
      </c>
      <c r="J504" t="n">
        <v>100.374</v>
      </c>
      <c r="K504" t="n">
        <v>4.789234</v>
      </c>
      <c r="L504" t="n">
        <v>-0.003634</v>
      </c>
      <c r="M504" t="n">
        <v>-0.104762</v>
      </c>
      <c r="N504" t="n">
        <v>60.10250088</v>
      </c>
      <c r="O504" t="n">
        <v>6.425800393</v>
      </c>
      <c r="P504" t="n">
        <v>60</v>
      </c>
      <c r="Q504" t="inlineStr">
        <is>
          <t>Republic Of Indonesia</t>
        </is>
      </c>
      <c r="R504" t="inlineStr">
        <is>
          <t>USD</t>
        </is>
      </c>
      <c r="S504" t="inlineStr">
        <is>
          <t>Investment Grade</t>
        </is>
      </c>
      <c r="T504" t="inlineStr">
        <is>
          <t>BBB</t>
        </is>
      </c>
      <c r="U504" t="inlineStr">
        <is>
          <t>BBB</t>
        </is>
      </c>
    </row>
    <row r="505">
      <c r="A505" t="inlineStr">
        <is>
          <t>US78016FZX58</t>
        </is>
      </c>
      <c r="B505" t="inlineStr">
        <is>
          <t>Hold</t>
        </is>
      </c>
      <c r="C505" t="inlineStr">
        <is>
          <t>Royal Bank Of Canada</t>
        </is>
      </c>
      <c r="D505" t="n">
        <v>5</v>
      </c>
      <c r="E505" t="inlineStr">
        <is>
          <t>Sr Unsecured</t>
        </is>
      </c>
      <c r="F505" t="inlineStr">
        <is>
          <t>01.02.2033</t>
        </is>
      </c>
      <c r="G505" t="inlineStr">
        <is>
          <t>Canada</t>
        </is>
      </c>
      <c r="H505" t="inlineStr">
        <is>
          <t>Financial</t>
        </is>
      </c>
      <c r="I505" t="n">
        <v>2</v>
      </c>
      <c r="J505" t="n">
        <v>101.399</v>
      </c>
      <c r="K505" t="n">
        <v>4.776919</v>
      </c>
      <c r="L505" t="n">
        <v>-0.030753</v>
      </c>
      <c r="M505" t="n">
        <v>-0.177085</v>
      </c>
      <c r="N505" t="n">
        <v>60.08055375</v>
      </c>
      <c r="O505" t="n">
        <v>6.467626145</v>
      </c>
      <c r="P505" t="n">
        <v>80</v>
      </c>
      <c r="Q505" t="inlineStr">
        <is>
          <t>Largest bank in Canada</t>
        </is>
      </c>
      <c r="R505" t="inlineStr">
        <is>
          <t>USD</t>
        </is>
      </c>
      <c r="S505" t="inlineStr">
        <is>
          <t>Investment Grade</t>
        </is>
      </c>
      <c r="T505" t="inlineStr">
        <is>
          <t>A+</t>
        </is>
      </c>
      <c r="U505" t="inlineStr">
        <is>
          <t>A+</t>
        </is>
      </c>
    </row>
    <row r="506">
      <c r="A506" t="inlineStr">
        <is>
          <t>XS2390400716</t>
        </is>
      </c>
      <c r="B506" t="inlineStr">
        <is>
          <t>Hold</t>
        </is>
      </c>
      <c r="C506" t="inlineStr">
        <is>
          <t>Enel Finance Intl Nv</t>
        </is>
      </c>
      <c r="D506" t="n">
        <v>0.625</v>
      </c>
      <c r="E506" t="inlineStr">
        <is>
          <t>Sr Unsecured</t>
        </is>
      </c>
      <c r="F506" t="inlineStr">
        <is>
          <t>28.05.2029</t>
        </is>
      </c>
      <c r="G506" t="inlineStr">
        <is>
          <t>Italy</t>
        </is>
      </c>
      <c r="H506" t="inlineStr">
        <is>
          <t>Utilities</t>
        </is>
      </c>
      <c r="I506" t="n">
        <v>100</v>
      </c>
      <c r="J506" t="n">
        <v>92.324</v>
      </c>
      <c r="K506" t="n">
        <v>2.734413</v>
      </c>
      <c r="L506" t="n">
        <v>-0.050789</v>
      </c>
      <c r="M506" t="n">
        <v>-0.056184</v>
      </c>
      <c r="N506" t="n">
        <v>59.93879476</v>
      </c>
      <c r="O506" t="n">
        <v>4.069311996</v>
      </c>
      <c r="P506" t="n">
        <v>60</v>
      </c>
      <c r="Q506" t="inlineStr">
        <is>
          <t xml:space="preserve">Italian utility company </t>
        </is>
      </c>
      <c r="R506" t="inlineStr">
        <is>
          <t>EUR</t>
        </is>
      </c>
      <c r="S506" t="inlineStr">
        <is>
          <t>Investment Grade</t>
        </is>
      </c>
      <c r="T506" t="inlineStr">
        <is>
          <t>BBB</t>
        </is>
      </c>
      <c r="U506" t="inlineStr">
        <is>
          <t>BBB</t>
        </is>
      </c>
    </row>
    <row r="507">
      <c r="A507" t="inlineStr">
        <is>
          <t>XS2574873183</t>
        </is>
      </c>
      <c r="B507" t="inlineStr">
        <is>
          <t>Hold</t>
        </is>
      </c>
      <c r="C507" t="inlineStr">
        <is>
          <t>E.On Se</t>
        </is>
      </c>
      <c r="D507" t="n">
        <v>3.875</v>
      </c>
      <c r="E507" t="inlineStr">
        <is>
          <t>Sr Unsecured</t>
        </is>
      </c>
      <c r="F507" t="inlineStr">
        <is>
          <t>12.01.2035</t>
        </is>
      </c>
      <c r="G507" t="inlineStr">
        <is>
          <t>Germany</t>
        </is>
      </c>
      <c r="H507" t="inlineStr">
        <is>
          <t>Utilities</t>
        </is>
      </c>
      <c r="I507" t="n">
        <v>1</v>
      </c>
      <c r="J507" t="n">
        <v>103.555</v>
      </c>
      <c r="K507" t="n">
        <v>3.4194</v>
      </c>
      <c r="L507" t="n">
        <v>-0.070817</v>
      </c>
      <c r="M507" t="n">
        <v>-0.021837</v>
      </c>
      <c r="N507" t="n">
        <v>59.90727109</v>
      </c>
      <c r="O507" t="n">
        <v>7.935141253</v>
      </c>
      <c r="P507" t="n">
        <v>60</v>
      </c>
      <c r="Q507" t="inlineStr">
        <is>
          <t>One of the Europe's largest operators of energy networks and infrastructure</t>
        </is>
      </c>
      <c r="R507" t="inlineStr">
        <is>
          <t>EUR</t>
        </is>
      </c>
      <c r="S507" t="inlineStr">
        <is>
          <t>Investment Grade</t>
        </is>
      </c>
      <c r="T507" t="inlineStr">
        <is>
          <t>BBB+</t>
        </is>
      </c>
      <c r="U507" t="inlineStr">
        <is>
          <t>BBB+</t>
        </is>
      </c>
    </row>
    <row r="508">
      <c r="A508" t="inlineStr">
        <is>
          <t>XS2339427820</t>
        </is>
      </c>
      <c r="B508" t="inlineStr">
        <is>
          <t>Hold</t>
        </is>
      </c>
      <c r="C508" t="inlineStr">
        <is>
          <t>Emirates Telecom Group</t>
        </is>
      </c>
      <c r="D508" t="n">
        <v>0.875</v>
      </c>
      <c r="E508" t="inlineStr">
        <is>
          <t>Sr Unsecured</t>
        </is>
      </c>
      <c r="F508" t="inlineStr">
        <is>
          <t>17.05.2033</t>
        </is>
      </c>
      <c r="G508" t="inlineStr">
        <is>
          <t>U.A.E</t>
        </is>
      </c>
      <c r="H508" t="inlineStr">
        <is>
          <t>Communications</t>
        </is>
      </c>
      <c r="I508" t="n">
        <v>100</v>
      </c>
      <c r="J508" t="n">
        <v>83.587</v>
      </c>
      <c r="K508" t="n">
        <v>3.278876</v>
      </c>
      <c r="L508" t="n">
        <v>-0.027851</v>
      </c>
      <c r="M508" t="n">
        <v>-0.038551</v>
      </c>
      <c r="N508" t="n">
        <v>59.70853123</v>
      </c>
      <c r="O508" t="n">
        <v>7.636812759</v>
      </c>
      <c r="P508" t="n">
        <v>80</v>
      </c>
      <c r="Q508" t="inlineStr">
        <is>
          <t>UAE partially state-owned telecom</t>
        </is>
      </c>
      <c r="R508" t="inlineStr">
        <is>
          <t>EUR</t>
        </is>
      </c>
      <c r="S508" t="inlineStr">
        <is>
          <t>Investment Grade</t>
        </is>
      </c>
      <c r="T508" t="inlineStr">
        <is>
          <t>AA-</t>
        </is>
      </c>
      <c r="U508" t="inlineStr">
        <is>
          <t>AA-</t>
        </is>
      </c>
    </row>
    <row r="509">
      <c r="A509" t="inlineStr">
        <is>
          <t>US532457CG18</t>
        </is>
      </c>
      <c r="B509" t="inlineStr">
        <is>
          <t>Hold</t>
        </is>
      </c>
      <c r="C509" t="inlineStr">
        <is>
          <t>Eli Lilly &amp; Co</t>
        </is>
      </c>
      <c r="D509" t="n">
        <v>4.875</v>
      </c>
      <c r="E509" t="inlineStr">
        <is>
          <t>Sr Unsecured</t>
        </is>
      </c>
      <c r="F509" t="inlineStr">
        <is>
          <t>27.02.2053</t>
        </is>
      </c>
      <c r="G509" t="inlineStr">
        <is>
          <t>United states</t>
        </is>
      </c>
      <c r="H509" t="inlineStr">
        <is>
          <t>Consumer, Non-cyclical</t>
        </is>
      </c>
      <c r="I509" t="n">
        <v>2</v>
      </c>
      <c r="J509" t="n">
        <v>91.51600000000001</v>
      </c>
      <c r="K509" t="n">
        <v>5.473617</v>
      </c>
      <c r="L509" t="n">
        <v>-0.04972</v>
      </c>
      <c r="M509" t="n">
        <v>-0.127559</v>
      </c>
      <c r="N509" t="n">
        <v>59.603402</v>
      </c>
      <c r="O509" t="n">
        <v>14.23640573</v>
      </c>
      <c r="P509" t="n">
        <v>60</v>
      </c>
      <c r="Q509" t="inlineStr">
        <is>
          <t>Develops and sells pharmaceutical products for humans and animals</t>
        </is>
      </c>
      <c r="R509" t="inlineStr">
        <is>
          <t>USD</t>
        </is>
      </c>
      <c r="S509" t="inlineStr">
        <is>
          <t>Investment Grade</t>
        </is>
      </c>
      <c r="T509" t="inlineStr">
        <is>
          <t>A+</t>
        </is>
      </c>
      <c r="U509" t="inlineStr">
        <is>
          <t>A+</t>
        </is>
      </c>
    </row>
    <row r="510">
      <c r="A510" t="inlineStr">
        <is>
          <t>XS2441552192</t>
        </is>
      </c>
      <c r="B510" t="inlineStr">
        <is>
          <t>Top Pick</t>
        </is>
      </c>
      <c r="C510" t="inlineStr">
        <is>
          <t>Goldman Sachs Group Inc</t>
        </is>
      </c>
      <c r="D510" t="n">
        <v>1.25</v>
      </c>
      <c r="E510" t="inlineStr">
        <is>
          <t>Sr Unsecured</t>
        </is>
      </c>
      <c r="F510" t="inlineStr">
        <is>
          <t>07.02.2029</t>
        </is>
      </c>
      <c r="G510" t="inlineStr">
        <is>
          <t>United states</t>
        </is>
      </c>
      <c r="H510" t="inlineStr">
        <is>
          <t>Financial</t>
        </is>
      </c>
      <c r="I510" t="n">
        <v>1</v>
      </c>
      <c r="J510" t="n">
        <v>95.14700000000001</v>
      </c>
      <c r="K510" t="n">
        <v>2.687405</v>
      </c>
      <c r="L510" t="n">
        <v>-0.08081099999999999</v>
      </c>
      <c r="M510" t="n">
        <v>-0.078667</v>
      </c>
      <c r="N510" t="n">
        <v>59.56255105</v>
      </c>
      <c r="O510" t="n">
        <v>3.766062359</v>
      </c>
      <c r="P510" t="n">
        <v>60</v>
      </c>
      <c r="Q510" t="inlineStr">
        <is>
          <t>One of the largest US investment banks</t>
        </is>
      </c>
      <c r="R510" t="inlineStr">
        <is>
          <t>EUR</t>
        </is>
      </c>
      <c r="S510" t="inlineStr">
        <is>
          <t>Investment Grade</t>
        </is>
      </c>
      <c r="T510" t="inlineStr">
        <is>
          <t>A-</t>
        </is>
      </c>
      <c r="U510" t="inlineStr">
        <is>
          <t>A-</t>
        </is>
      </c>
    </row>
    <row r="511">
      <c r="A511" t="inlineStr">
        <is>
          <t xml:space="preserve">  CH1371736815</t>
        </is>
      </c>
      <c r="B511" t="inlineStr">
        <is>
          <t>Hold</t>
        </is>
      </c>
      <c r="C511" t="inlineStr">
        <is>
          <t>Roche Kapitalmarkt Ag</t>
        </is>
      </c>
      <c r="D511" t="n">
        <v>1.0975</v>
      </c>
      <c r="E511" t="inlineStr">
        <is>
          <t>Sr Unsecured</t>
        </is>
      </c>
      <c r="F511" t="inlineStr">
        <is>
          <t>06.09.2034</t>
        </is>
      </c>
      <c r="G511" t="inlineStr">
        <is>
          <t>United states</t>
        </is>
      </c>
      <c r="H511" t="inlineStr">
        <is>
          <t>Consumer, Non-cyclical</t>
        </is>
      </c>
      <c r="I511" t="n">
        <v>5</v>
      </c>
      <c r="J511" t="n">
        <v>101.11</v>
      </c>
      <c r="K511" t="n">
        <v>0.970167</v>
      </c>
      <c r="L511" t="n">
        <v>0.0345</v>
      </c>
      <c r="M511" t="n">
        <v>0.181281</v>
      </c>
      <c r="N511" t="n">
        <v>59.55612913</v>
      </c>
      <c r="O511" t="n">
        <v>8.970466734</v>
      </c>
      <c r="P511" t="n">
        <v>0</v>
      </c>
      <c r="Q511" t="inlineStr">
        <is>
          <t>One of the largest Swiss pharmaceutical company</t>
        </is>
      </c>
      <c r="R511" t="inlineStr">
        <is>
          <t>CHF</t>
        </is>
      </c>
      <c r="S511" t="inlineStr">
        <is>
          <t>Investment Grade</t>
        </is>
      </c>
      <c r="T511" t="inlineStr">
        <is>
          <t>AA</t>
        </is>
      </c>
      <c r="U511" t="inlineStr">
        <is>
          <t>AA</t>
        </is>
      </c>
    </row>
    <row r="512">
      <c r="A512" t="inlineStr">
        <is>
          <t>XS0928618569</t>
        </is>
      </c>
      <c r="B512" t="inlineStr">
        <is>
          <t xml:space="preserve">Hold </t>
        </is>
      </c>
      <c r="C512" t="inlineStr">
        <is>
          <t>Transport For London</t>
        </is>
      </c>
      <c r="D512" t="n">
        <v>3.625</v>
      </c>
      <c r="E512" t="inlineStr">
        <is>
          <t>Sr Unsecured</t>
        </is>
      </c>
      <c r="F512" t="inlineStr">
        <is>
          <t>15.05.2045</t>
        </is>
      </c>
      <c r="G512" t="inlineStr">
        <is>
          <t>United Kingdom</t>
        </is>
      </c>
      <c r="H512" t="inlineStr">
        <is>
          <t>Government</t>
        </is>
      </c>
      <c r="I512" t="n">
        <v>100</v>
      </c>
      <c r="J512" t="n">
        <v>74.325</v>
      </c>
      <c r="K512" t="n">
        <v>5.760255</v>
      </c>
      <c r="L512" t="n">
        <v>0.068665</v>
      </c>
      <c r="M512" t="n">
        <v>-0.016288</v>
      </c>
      <c r="N512" t="n">
        <v>59.43134913</v>
      </c>
      <c r="O512" t="n">
        <v>12.50700444</v>
      </c>
      <c r="P512" t="n">
        <v>85</v>
      </c>
      <c r="Q512" t="inlineStr">
        <is>
          <t>Manage and provide transportation facilities in London</t>
        </is>
      </c>
      <c r="R512" t="inlineStr">
        <is>
          <t>GBP</t>
        </is>
      </c>
      <c r="S512" t="inlineStr">
        <is>
          <t>Investment Grade</t>
        </is>
      </c>
      <c r="T512" t="inlineStr">
        <is>
          <t>A+</t>
        </is>
      </c>
      <c r="U512" t="inlineStr">
        <is>
          <t>A+</t>
        </is>
      </c>
    </row>
    <row r="513">
      <c r="A513" t="inlineStr">
        <is>
          <t>XS2178769159</t>
        </is>
      </c>
      <c r="B513" t="inlineStr">
        <is>
          <t xml:space="preserve">Hold </t>
        </is>
      </c>
      <c r="C513" t="inlineStr">
        <is>
          <t>Fresenius Medical Care A</t>
        </is>
      </c>
      <c r="D513" t="n">
        <v>1.5</v>
      </c>
      <c r="E513" t="inlineStr">
        <is>
          <t>Sr Unsecured</t>
        </is>
      </c>
      <c r="F513" t="inlineStr">
        <is>
          <t>29.05.2030</t>
        </is>
      </c>
      <c r="G513" t="inlineStr">
        <is>
          <t>Germany</t>
        </is>
      </c>
      <c r="H513" t="inlineStr">
        <is>
          <t>Consumer, Non-cyclical</t>
        </is>
      </c>
      <c r="I513" t="n">
        <v>1</v>
      </c>
      <c r="J513" t="n">
        <v>93.797</v>
      </c>
      <c r="K513" t="n">
        <v>2.878494</v>
      </c>
      <c r="L513" t="n">
        <v>-0.151561</v>
      </c>
      <c r="M513" t="n">
        <v>-0.150252</v>
      </c>
      <c r="N513" t="n">
        <v>59.41248614</v>
      </c>
      <c r="O513" t="n">
        <v>4.875449278</v>
      </c>
      <c r="P513" t="n">
        <v>0</v>
      </c>
      <c r="Q513" t="inlineStr">
        <is>
          <t>One of the world's leading dialysis providers</t>
        </is>
      </c>
      <c r="R513" t="inlineStr">
        <is>
          <t>EUR</t>
        </is>
      </c>
      <c r="S513" t="inlineStr">
        <is>
          <t>Investment Grade</t>
        </is>
      </c>
      <c r="T513" t="inlineStr">
        <is>
          <t>BBB-</t>
        </is>
      </c>
      <c r="U513" t="inlineStr">
        <is>
          <t>BBB-</t>
        </is>
      </c>
    </row>
    <row r="514">
      <c r="A514" t="inlineStr">
        <is>
          <t>XS2084418339</t>
        </is>
      </c>
      <c r="B514" t="inlineStr">
        <is>
          <t>Hold</t>
        </is>
      </c>
      <c r="C514" t="inlineStr">
        <is>
          <t>Cez As</t>
        </is>
      </c>
      <c r="D514" t="n">
        <v>0.875</v>
      </c>
      <c r="E514" t="inlineStr">
        <is>
          <t>Sr Unsecured</t>
        </is>
      </c>
      <c r="F514" t="inlineStr">
        <is>
          <t>02.12.2026</t>
        </is>
      </c>
      <c r="G514" t="inlineStr">
        <is>
          <t>Czech Republic</t>
        </is>
      </c>
      <c r="H514" t="inlineStr">
        <is>
          <t>Utilities</t>
        </is>
      </c>
      <c r="I514" t="n">
        <v>100</v>
      </c>
      <c r="J514" t="n">
        <v>97.858</v>
      </c>
      <c r="K514" t="n">
        <v>2.448152</v>
      </c>
      <c r="L514" t="n">
        <v>-0.10752</v>
      </c>
      <c r="M514" t="n">
        <v>-0.141591</v>
      </c>
      <c r="N514" t="n">
        <v>59.3157553</v>
      </c>
      <c r="O514" t="n">
        <v>1.711237864</v>
      </c>
      <c r="P514" t="n">
        <v>60</v>
      </c>
      <c r="Q514" t="inlineStr">
        <is>
          <t>Czech provider of integrated energy services owned by the government</t>
        </is>
      </c>
      <c r="R514" t="inlineStr">
        <is>
          <t>EUR</t>
        </is>
      </c>
      <c r="S514" t="inlineStr">
        <is>
          <t>Investment Grade</t>
        </is>
      </c>
      <c r="T514" t="inlineStr">
        <is>
          <t>BBB+</t>
        </is>
      </c>
      <c r="U514" t="inlineStr">
        <is>
          <t>BBB+</t>
        </is>
      </c>
    </row>
    <row r="515">
      <c r="A515" t="inlineStr">
        <is>
          <t>US05530QAP54</t>
        </is>
      </c>
      <c r="B515" t="inlineStr">
        <is>
          <t>Top Pick</t>
        </is>
      </c>
      <c r="C515" t="inlineStr">
        <is>
          <t>Bat Intl Finance Plc</t>
        </is>
      </c>
      <c r="D515" t="n">
        <v>4.448</v>
      </c>
      <c r="E515" t="inlineStr">
        <is>
          <t>Sr Unsecured</t>
        </is>
      </c>
      <c r="F515" t="inlineStr">
        <is>
          <t>16.03.2028</t>
        </is>
      </c>
      <c r="G515" t="inlineStr">
        <is>
          <t>United Kingdom</t>
        </is>
      </c>
      <c r="H515" t="inlineStr">
        <is>
          <t>Consumer, Non-cyclical</t>
        </is>
      </c>
      <c r="I515" t="n">
        <v>2</v>
      </c>
      <c r="J515" t="n">
        <v>99.995</v>
      </c>
      <c r="K515" t="n">
        <v>4.447699</v>
      </c>
      <c r="L515" t="n">
        <v>0.063601</v>
      </c>
      <c r="M515" t="n">
        <v>-0.119408</v>
      </c>
      <c r="N515" t="n">
        <v>59.25801819</v>
      </c>
      <c r="O515" t="n">
        <v>2.779628269</v>
      </c>
      <c r="P515" t="n">
        <v>60</v>
      </c>
      <c r="Q515" t="inlineStr">
        <is>
          <t>Tobacco company</t>
        </is>
      </c>
      <c r="R515" t="inlineStr">
        <is>
          <t>USD</t>
        </is>
      </c>
      <c r="S515" t="inlineStr">
        <is>
          <t>Investment Grade</t>
        </is>
      </c>
      <c r="T515" t="inlineStr">
        <is>
          <t>BBB+</t>
        </is>
      </c>
      <c r="U515" t="inlineStr">
        <is>
          <t>BBB+</t>
        </is>
      </c>
    </row>
    <row r="516">
      <c r="A516" t="inlineStr">
        <is>
          <t>XS2577135127</t>
        </is>
      </c>
      <c r="B516" t="inlineStr">
        <is>
          <t>Top pick</t>
        </is>
      </c>
      <c r="C516" t="inlineStr">
        <is>
          <t>Saudi International Bond</t>
        </is>
      </c>
      <c r="D516" t="n">
        <v>4.875</v>
      </c>
      <c r="E516" t="inlineStr">
        <is>
          <t>Sr Unsecured</t>
        </is>
      </c>
      <c r="F516" t="inlineStr">
        <is>
          <t>18.07.2033</t>
        </is>
      </c>
      <c r="G516" t="inlineStr">
        <is>
          <t>Saudi Arabia</t>
        </is>
      </c>
      <c r="H516" t="inlineStr">
        <is>
          <t>Government</t>
        </is>
      </c>
      <c r="I516" t="n">
        <v>200</v>
      </c>
      <c r="J516" t="n">
        <v>100.474</v>
      </c>
      <c r="K516" t="n">
        <v>4.802915</v>
      </c>
      <c r="L516" t="n">
        <v>-0.025677</v>
      </c>
      <c r="M516" t="n">
        <v>-0.13102</v>
      </c>
      <c r="N516" t="n">
        <v>58.91333797</v>
      </c>
      <c r="O516" t="n">
        <v>6.756165877</v>
      </c>
      <c r="P516" t="n">
        <v>80</v>
      </c>
      <c r="Q516" t="inlineStr">
        <is>
          <t>Kingdom of Saudia sovereign bond</t>
        </is>
      </c>
      <c r="R516" t="inlineStr">
        <is>
          <t>USD</t>
        </is>
      </c>
      <c r="S516" t="inlineStr">
        <is>
          <t>Investment Grade</t>
        </is>
      </c>
      <c r="T516" t="inlineStr">
        <is>
          <t>A+</t>
        </is>
      </c>
      <c r="U516" t="inlineStr">
        <is>
          <t>A+</t>
        </is>
      </c>
    </row>
    <row r="517">
      <c r="A517" t="inlineStr">
        <is>
          <t>US25389JAT34</t>
        </is>
      </c>
      <c r="B517" t="inlineStr">
        <is>
          <t>Top Pick</t>
        </is>
      </c>
      <c r="C517" t="inlineStr">
        <is>
          <t>Digital Realty Trust Lp</t>
        </is>
      </c>
      <c r="D517" t="n">
        <v>4.45</v>
      </c>
      <c r="E517" t="inlineStr">
        <is>
          <t>Sr Unsecured</t>
        </is>
      </c>
      <c r="F517" t="inlineStr">
        <is>
          <t>15.07.2028</t>
        </is>
      </c>
      <c r="G517" t="inlineStr">
        <is>
          <t>United states</t>
        </is>
      </c>
      <c r="H517" t="inlineStr">
        <is>
          <t>Financial</t>
        </is>
      </c>
      <c r="I517" t="n">
        <v>2</v>
      </c>
      <c r="J517" t="n">
        <v>99.932</v>
      </c>
      <c r="K517" t="n">
        <v>4.473996</v>
      </c>
      <c r="L517" t="n">
        <v>0.041524</v>
      </c>
      <c r="M517" t="n">
        <v>-0.122898</v>
      </c>
      <c r="N517" t="n">
        <v>58.9010797</v>
      </c>
      <c r="O517" t="n">
        <v>3.101619447</v>
      </c>
      <c r="P517" t="n">
        <v>0</v>
      </c>
      <c r="Q517" t="inlineStr">
        <is>
          <t xml:space="preserve">Owns and operate data centres </t>
        </is>
      </c>
      <c r="R517" t="inlineStr">
        <is>
          <t>USD</t>
        </is>
      </c>
      <c r="S517" t="inlineStr">
        <is>
          <t>Investment Grade</t>
        </is>
      </c>
      <c r="T517" t="inlineStr">
        <is>
          <t>BBB</t>
        </is>
      </c>
      <c r="U517" t="inlineStr">
        <is>
          <t>BBB</t>
        </is>
      </c>
    </row>
    <row r="518">
      <c r="A518" t="inlineStr">
        <is>
          <t xml:space="preserve"> US718172DP15</t>
        </is>
      </c>
      <c r="B518" t="inlineStr">
        <is>
          <t>Top Pick</t>
        </is>
      </c>
      <c r="C518" t="inlineStr">
        <is>
          <t>Philip Morris Intl Inc</t>
        </is>
      </c>
      <c r="D518" t="n">
        <v>4.75</v>
      </c>
      <c r="E518" t="inlineStr">
        <is>
          <t>Sr Unsecured</t>
        </is>
      </c>
      <c r="F518" t="inlineStr">
        <is>
          <t>01.11.2031</t>
        </is>
      </c>
      <c r="G518" t="inlineStr">
        <is>
          <t>United states</t>
        </is>
      </c>
      <c r="H518" t="inlineStr">
        <is>
          <t>Consumer, Non-cyclical</t>
        </is>
      </c>
      <c r="I518" t="n">
        <v>2</v>
      </c>
      <c r="J518" t="n">
        <v>100.43</v>
      </c>
      <c r="K518" t="n">
        <v>4.66829</v>
      </c>
      <c r="L518" t="n">
        <v>0.018722</v>
      </c>
      <c r="M518" t="n">
        <v>-0.149059</v>
      </c>
      <c r="N518" t="n">
        <v>58.78365608</v>
      </c>
      <c r="O518" t="n">
        <v>5.58125733</v>
      </c>
      <c r="P518" t="n">
        <v>0</v>
      </c>
      <c r="Q518" t="inlineStr">
        <is>
          <t>World's leading international tobacco company</t>
        </is>
      </c>
      <c r="R518" t="inlineStr">
        <is>
          <t>USD</t>
        </is>
      </c>
      <c r="S518" t="inlineStr">
        <is>
          <t>Investment Grade</t>
        </is>
      </c>
      <c r="T518" t="inlineStr">
        <is>
          <t>A-</t>
        </is>
      </c>
      <c r="U518" t="inlineStr">
        <is>
          <t>A-</t>
        </is>
      </c>
    </row>
    <row r="519">
      <c r="A519" t="inlineStr">
        <is>
          <t>XS2582814039</t>
        </is>
      </c>
      <c r="B519" t="inlineStr">
        <is>
          <t>Hold</t>
        </is>
      </c>
      <c r="C519" t="inlineStr">
        <is>
          <t>British Telecommunicatio</t>
        </is>
      </c>
      <c r="D519" t="n">
        <v>3.75</v>
      </c>
      <c r="E519" t="inlineStr">
        <is>
          <t>Sr Unsecured</t>
        </is>
      </c>
      <c r="F519" t="inlineStr">
        <is>
          <t>13.05.2031</t>
        </is>
      </c>
      <c r="G519" t="inlineStr">
        <is>
          <t>United Kingdom</t>
        </is>
      </c>
      <c r="H519" t="inlineStr">
        <is>
          <t>Communications</t>
        </is>
      </c>
      <c r="I519" t="n">
        <v>100</v>
      </c>
      <c r="J519" t="n">
        <v>103.821</v>
      </c>
      <c r="K519" t="n">
        <v>2.998997</v>
      </c>
      <c r="L519" t="n">
        <v>-0.126967</v>
      </c>
      <c r="M519" t="n">
        <v>-0.135449</v>
      </c>
      <c r="N519" t="n">
        <v>58.02538552</v>
      </c>
      <c r="O519" t="n">
        <v>5.157702996</v>
      </c>
      <c r="P519" t="n">
        <v>60</v>
      </c>
      <c r="Q519" t="inlineStr">
        <is>
          <t>UK telecom company</t>
        </is>
      </c>
      <c r="R519" t="inlineStr">
        <is>
          <t>EUR</t>
        </is>
      </c>
      <c r="S519" t="inlineStr">
        <is>
          <t>Investment Grade</t>
        </is>
      </c>
      <c r="T519" t="inlineStr">
        <is>
          <t>BBB</t>
        </is>
      </c>
      <c r="U519" t="inlineStr">
        <is>
          <t>BBB</t>
        </is>
      </c>
    </row>
    <row r="520">
      <c r="A520" t="inlineStr">
        <is>
          <t>US22535EAC12</t>
        </is>
      </c>
      <c r="B520" t="inlineStr">
        <is>
          <t>Hold</t>
        </is>
      </c>
      <c r="C520" t="inlineStr">
        <is>
          <t>Credit Agricole Sa</t>
        </is>
      </c>
      <c r="D520" t="n">
        <v>5.301</v>
      </c>
      <c r="E520" t="inlineStr">
        <is>
          <t>Sr Preferred</t>
        </is>
      </c>
      <c r="F520" t="inlineStr">
        <is>
          <t>12.07.2028</t>
        </is>
      </c>
      <c r="G520" t="inlineStr">
        <is>
          <t>France</t>
        </is>
      </c>
      <c r="H520" t="inlineStr">
        <is>
          <t>Financial</t>
        </is>
      </c>
      <c r="I520" t="n">
        <v>250</v>
      </c>
      <c r="J520" t="n">
        <v>102.487</v>
      </c>
      <c r="K520" t="n">
        <v>4.409902</v>
      </c>
      <c r="L520" t="n">
        <v>0.105971</v>
      </c>
      <c r="M520" t="n">
        <v>-0.107879</v>
      </c>
      <c r="N520" t="n">
        <v>57.88895006</v>
      </c>
      <c r="O520" t="n">
        <v>3.058374481</v>
      </c>
      <c r="P520" t="n">
        <v>80</v>
      </c>
      <c r="Q520" t="inlineStr">
        <is>
          <t>One of the largest retail bank in Europe</t>
        </is>
      </c>
      <c r="R520" t="inlineStr">
        <is>
          <t>USD</t>
        </is>
      </c>
      <c r="S520" t="inlineStr">
        <is>
          <t>Investment Grade</t>
        </is>
      </c>
      <c r="T520" t="inlineStr">
        <is>
          <t>A+</t>
        </is>
      </c>
      <c r="U520" t="inlineStr">
        <is>
          <t>A+</t>
        </is>
      </c>
    </row>
    <row r="521">
      <c r="A521" t="inlineStr">
        <is>
          <t>XS2723549361</t>
        </is>
      </c>
      <c r="B521" t="inlineStr">
        <is>
          <t>Hold</t>
        </is>
      </c>
      <c r="C521" t="inlineStr">
        <is>
          <t>Cie De Saint-Gobain Sa</t>
        </is>
      </c>
      <c r="D521" t="n">
        <v>3.875</v>
      </c>
      <c r="E521" t="inlineStr">
        <is>
          <t>Sr Unsecured</t>
        </is>
      </c>
      <c r="F521" t="inlineStr">
        <is>
          <t>29.11.2030</t>
        </is>
      </c>
      <c r="G521" t="inlineStr">
        <is>
          <t>France</t>
        </is>
      </c>
      <c r="H521" t="inlineStr">
        <is>
          <t>Industrial</t>
        </is>
      </c>
      <c r="I521" t="n">
        <v>100</v>
      </c>
      <c r="J521" t="n">
        <v>104.47</v>
      </c>
      <c r="K521" t="n">
        <v>2.924561</v>
      </c>
      <c r="L521" t="n">
        <v>-0.07287</v>
      </c>
      <c r="M521" t="n">
        <v>-0.08785</v>
      </c>
      <c r="N521" t="n">
        <v>57.74721426</v>
      </c>
      <c r="O521" t="n">
        <v>4.880382841</v>
      </c>
      <c r="P521" t="n">
        <v>60</v>
      </c>
      <c r="Q521" t="inlineStr">
        <is>
          <t>Manufactures glass products and construction materials</t>
        </is>
      </c>
      <c r="R521" t="inlineStr">
        <is>
          <t>EUR</t>
        </is>
      </c>
      <c r="S521" t="inlineStr">
        <is>
          <t>Investment Grade</t>
        </is>
      </c>
      <c r="T521" t="inlineStr">
        <is>
          <t>BBB+</t>
        </is>
      </c>
      <c r="U521" t="inlineStr">
        <is>
          <t>BBB+</t>
        </is>
      </c>
    </row>
    <row r="522">
      <c r="A522" t="inlineStr">
        <is>
          <t>US47215PAE60</t>
        </is>
      </c>
      <c r="B522" t="inlineStr">
        <is>
          <t>Hold</t>
        </is>
      </c>
      <c r="C522" t="inlineStr">
        <is>
          <t>Jd.Com Inc</t>
        </is>
      </c>
      <c r="D522" t="n">
        <v>3.375</v>
      </c>
      <c r="E522" t="inlineStr">
        <is>
          <t>Sr Unsecured</t>
        </is>
      </c>
      <c r="F522" t="inlineStr">
        <is>
          <t>14.01.2030</t>
        </is>
      </c>
      <c r="G522" t="inlineStr">
        <is>
          <t>China</t>
        </is>
      </c>
      <c r="H522" t="inlineStr">
        <is>
          <t>Communications</t>
        </is>
      </c>
      <c r="I522" t="n">
        <v>200</v>
      </c>
      <c r="J522" t="n">
        <v>95.44</v>
      </c>
      <c r="K522" t="n">
        <v>4.501844</v>
      </c>
      <c r="L522" t="n">
        <v>0.087439</v>
      </c>
      <c r="M522" t="n">
        <v>-0.103462</v>
      </c>
      <c r="N522" t="n">
        <v>57.72828855</v>
      </c>
      <c r="O522" t="n">
        <v>4.413945317</v>
      </c>
      <c r="P522" t="n">
        <v>55</v>
      </c>
      <c r="Q522" t="inlineStr">
        <is>
          <t>Online direct sales company in China</t>
        </is>
      </c>
      <c r="R522" t="inlineStr">
        <is>
          <t>USD</t>
        </is>
      </c>
      <c r="S522" t="inlineStr">
        <is>
          <t>Investment Grade</t>
        </is>
      </c>
      <c r="T522" t="inlineStr">
        <is>
          <t>A-</t>
        </is>
      </c>
      <c r="U522" t="inlineStr">
        <is>
          <t>A-</t>
        </is>
      </c>
    </row>
    <row r="523">
      <c r="A523" t="inlineStr">
        <is>
          <t>XS0944831154</t>
        </is>
      </c>
      <c r="B523" t="inlineStr">
        <is>
          <t>Hold</t>
        </is>
      </c>
      <c r="C523" t="inlineStr">
        <is>
          <t>Rolls-Royce Plc</t>
        </is>
      </c>
      <c r="D523" t="n">
        <v>3.375</v>
      </c>
      <c r="E523" t="inlineStr">
        <is>
          <t>Sr Unsecured</t>
        </is>
      </c>
      <c r="F523" t="inlineStr">
        <is>
          <t>18.06.2026</t>
        </is>
      </c>
      <c r="G523" t="inlineStr">
        <is>
          <t>United Kingdom</t>
        </is>
      </c>
      <c r="H523" t="inlineStr">
        <is>
          <t>Industrial</t>
        </is>
      </c>
      <c r="I523" t="n">
        <v>100</v>
      </c>
      <c r="J523" t="n">
        <v>99.036</v>
      </c>
      <c r="K523" t="n">
        <v>4.432524</v>
      </c>
      <c r="L523" t="n">
        <v>-0.061742</v>
      </c>
      <c r="M523" t="n">
        <v>-0.216485</v>
      </c>
      <c r="N523" t="n">
        <v>56.83291161</v>
      </c>
      <c r="O523" t="n">
        <v>1.222274198</v>
      </c>
      <c r="P523" t="n">
        <v>20</v>
      </c>
      <c r="Q523" t="inlineStr">
        <is>
          <t xml:space="preserve">Manufactures aero, marine, and industrial gas turbines for civil and military aircraft. </t>
        </is>
      </c>
      <c r="R523" t="inlineStr">
        <is>
          <t>GBP</t>
        </is>
      </c>
      <c r="S523" t="inlineStr">
        <is>
          <t>High Yield</t>
        </is>
      </c>
      <c r="T523" t="inlineStr">
        <is>
          <t>BBB</t>
        </is>
      </c>
      <c r="U523" t="inlineStr">
        <is>
          <t>BBB-</t>
        </is>
      </c>
    </row>
    <row r="524">
      <c r="A524" t="inlineStr">
        <is>
          <t>US11135FBY60</t>
        </is>
      </c>
      <c r="B524" t="inlineStr">
        <is>
          <t>Top Pick</t>
        </is>
      </c>
      <c r="C524" t="inlineStr">
        <is>
          <t>Broadcom Inc</t>
        </is>
      </c>
      <c r="D524" t="n">
        <v>5.15</v>
      </c>
      <c r="E524" t="inlineStr">
        <is>
          <t>Sr Unsecured</t>
        </is>
      </c>
      <c r="F524" t="inlineStr">
        <is>
          <t>15.11.2031</t>
        </is>
      </c>
      <c r="G524" t="inlineStr">
        <is>
          <t>United states</t>
        </is>
      </c>
      <c r="H524" t="inlineStr">
        <is>
          <t>Technology</t>
        </is>
      </c>
      <c r="I524" t="n">
        <v>2</v>
      </c>
      <c r="J524" t="n">
        <v>102.687</v>
      </c>
      <c r="K524" t="n">
        <v>4.645037</v>
      </c>
      <c r="L524" t="n">
        <v>-0.006626</v>
      </c>
      <c r="M524" t="n">
        <v>-0.177595</v>
      </c>
      <c r="N524" t="n">
        <v>56.79776514</v>
      </c>
      <c r="O524" t="n">
        <v>5.444402829</v>
      </c>
      <c r="P524" t="n">
        <v>0</v>
      </c>
      <c r="Q524" t="inlineStr">
        <is>
          <t xml:space="preserve">Diversified semi-conductor company </t>
        </is>
      </c>
      <c r="R524" t="inlineStr">
        <is>
          <t>USD</t>
        </is>
      </c>
      <c r="S524" t="inlineStr">
        <is>
          <t>Investment Grade</t>
        </is>
      </c>
      <c r="T524" t="inlineStr">
        <is>
          <t>BBB</t>
        </is>
      </c>
      <c r="U524" t="inlineStr">
        <is>
          <t>BBB</t>
        </is>
      </c>
    </row>
    <row r="525">
      <c r="A525" t="inlineStr">
        <is>
          <t>XS0123656836</t>
        </is>
      </c>
      <c r="B525" t="inlineStr">
        <is>
          <t>Not accumulate</t>
        </is>
      </c>
      <c r="C525" t="inlineStr">
        <is>
          <t>Sncf Reseau</t>
        </is>
      </c>
      <c r="D525" t="n">
        <v>5.25</v>
      </c>
      <c r="E525" t="inlineStr">
        <is>
          <t>Sr Unsecured</t>
        </is>
      </c>
      <c r="F525" t="inlineStr">
        <is>
          <t>31.01.2035</t>
        </is>
      </c>
      <c r="G525" t="inlineStr">
        <is>
          <t>France</t>
        </is>
      </c>
      <c r="H525" t="inlineStr">
        <is>
          <t>Industrial</t>
        </is>
      </c>
      <c r="I525" t="n">
        <v>1</v>
      </c>
      <c r="J525" t="n">
        <v>101.078</v>
      </c>
      <c r="K525" t="n">
        <v>5.037008</v>
      </c>
      <c r="L525" t="n">
        <v>0.075478</v>
      </c>
      <c r="M525" t="n">
        <v>-0.04568</v>
      </c>
      <c r="N525" t="n">
        <v>56.72249856</v>
      </c>
      <c r="O525" t="n">
        <v>7.577135792</v>
      </c>
      <c r="P525" t="n">
        <v>85</v>
      </c>
      <c r="Q525" t="inlineStr">
        <is>
          <t>Provides railway network management services</t>
        </is>
      </c>
      <c r="R525" t="inlineStr">
        <is>
          <t>GBP</t>
        </is>
      </c>
      <c r="S525" t="inlineStr">
        <is>
          <t>Investment Grade</t>
        </is>
      </c>
      <c r="T525" t="inlineStr">
        <is>
          <t>AA-</t>
        </is>
      </c>
      <c r="U525" t="inlineStr">
        <is>
          <t>AA-</t>
        </is>
      </c>
    </row>
    <row r="526">
      <c r="A526" t="inlineStr">
        <is>
          <t>BE6258029741</t>
        </is>
      </c>
      <c r="B526" t="inlineStr">
        <is>
          <t>Hold</t>
        </is>
      </c>
      <c r="C526" t="inlineStr">
        <is>
          <t>Anheuser-Busch Inbev Sa/</t>
        </is>
      </c>
      <c r="D526" t="n">
        <v>4</v>
      </c>
      <c r="E526" t="inlineStr">
        <is>
          <t>Sr Unsecured</t>
        </is>
      </c>
      <c r="F526" t="inlineStr">
        <is>
          <t>24.09.2025</t>
        </is>
      </c>
      <c r="G526" t="inlineStr">
        <is>
          <t>Belgium</t>
        </is>
      </c>
      <c r="H526" t="inlineStr">
        <is>
          <t>Consumer, Non-cyclical</t>
        </is>
      </c>
      <c r="I526" t="n">
        <v>100</v>
      </c>
      <c r="J526" t="n">
        <v>99.88800000000001</v>
      </c>
      <c r="K526" t="n">
        <v>4.397055</v>
      </c>
      <c r="L526" t="n">
        <v>-0.050225</v>
      </c>
      <c r="M526" t="n">
        <v>-0.190482</v>
      </c>
      <c r="N526" t="n">
        <v>56.57308825</v>
      </c>
      <c r="O526" t="n">
        <v>0.566182484</v>
      </c>
      <c r="P526" t="n">
        <v>75</v>
      </c>
      <c r="Q526" t="inlineStr">
        <is>
          <t>the world's largest brewing company</t>
        </is>
      </c>
      <c r="R526" t="inlineStr">
        <is>
          <t>GBP</t>
        </is>
      </c>
      <c r="S526" t="inlineStr">
        <is>
          <t>Investment Grade</t>
        </is>
      </c>
      <c r="T526" t="inlineStr">
        <is>
          <t>A-</t>
        </is>
      </c>
      <c r="U526" t="inlineStr">
        <is>
          <t>A-</t>
        </is>
      </c>
    </row>
    <row r="527">
      <c r="A527" t="inlineStr">
        <is>
          <t>US10373QBT67</t>
        </is>
      </c>
      <c r="B527" t="inlineStr">
        <is>
          <t>Hold</t>
        </is>
      </c>
      <c r="C527" t="inlineStr">
        <is>
          <t>Bp Cap Markets America</t>
        </is>
      </c>
      <c r="D527" t="n">
        <v>2.721</v>
      </c>
      <c r="E527" t="inlineStr">
        <is>
          <t>Sr Unsecured</t>
        </is>
      </c>
      <c r="F527" t="inlineStr">
        <is>
          <t>12.01.2032</t>
        </is>
      </c>
      <c r="G527" t="inlineStr">
        <is>
          <t>United states</t>
        </is>
      </c>
      <c r="H527" t="inlineStr">
        <is>
          <t>Energy</t>
        </is>
      </c>
      <c r="I527" t="n">
        <v>1</v>
      </c>
      <c r="J527" t="n">
        <v>89.235</v>
      </c>
      <c r="K527" t="n">
        <v>4.656582</v>
      </c>
      <c r="L527" t="n">
        <v>-0.024164</v>
      </c>
      <c r="M527" t="n">
        <v>-0.185228</v>
      </c>
      <c r="N527" t="n">
        <v>56.49479937</v>
      </c>
      <c r="O527" t="n">
        <v>6.100384526</v>
      </c>
      <c r="P527" t="n">
        <v>80</v>
      </c>
      <c r="Q527" t="inlineStr">
        <is>
          <t>Leading oil and gas company</t>
        </is>
      </c>
      <c r="R527" t="inlineStr">
        <is>
          <t>USD</t>
        </is>
      </c>
      <c r="S527" t="inlineStr">
        <is>
          <t>Investment Grade</t>
        </is>
      </c>
      <c r="T527" t="inlineStr">
        <is>
          <t>A</t>
        </is>
      </c>
      <c r="U527" t="inlineStr">
        <is>
          <t>A</t>
        </is>
      </c>
    </row>
    <row r="528">
      <c r="A528" t="inlineStr">
        <is>
          <t>FR001400A1H6</t>
        </is>
      </c>
      <c r="B528" t="inlineStr">
        <is>
          <t>Hold</t>
        </is>
      </c>
      <c r="C528" t="inlineStr">
        <is>
          <t>Engie Sa</t>
        </is>
      </c>
      <c r="D528" t="n">
        <v>3.5</v>
      </c>
      <c r="E528" t="inlineStr">
        <is>
          <t>Sr Unsecured</t>
        </is>
      </c>
      <c r="F528" t="inlineStr">
        <is>
          <t>27.09.2029</t>
        </is>
      </c>
      <c r="G528" t="inlineStr">
        <is>
          <t>France</t>
        </is>
      </c>
      <c r="H528" t="inlineStr">
        <is>
          <t>Utilities</t>
        </is>
      </c>
      <c r="I528" t="n">
        <v>100</v>
      </c>
      <c r="J528" t="n">
        <v>102.825</v>
      </c>
      <c r="K528" t="n">
        <v>2.739451</v>
      </c>
      <c r="L528" t="n">
        <v>-0.057285</v>
      </c>
      <c r="M528" t="n">
        <v>-0.096223</v>
      </c>
      <c r="N528" t="n">
        <v>56.27559342</v>
      </c>
      <c r="O528" t="n">
        <v>3.93049882</v>
      </c>
      <c r="P528" t="n">
        <v>60</v>
      </c>
      <c r="Q528" t="inlineStr">
        <is>
          <t>French utility company specialised in renewables</t>
        </is>
      </c>
      <c r="R528" t="inlineStr">
        <is>
          <t>EUR</t>
        </is>
      </c>
      <c r="S528" t="inlineStr">
        <is>
          <t>Investment Grade</t>
        </is>
      </c>
      <c r="T528" t="inlineStr">
        <is>
          <t>BBB+</t>
        </is>
      </c>
      <c r="U528" t="inlineStr">
        <is>
          <t>BBB+</t>
        </is>
      </c>
    </row>
    <row r="529">
      <c r="A529" t="inlineStr">
        <is>
          <t>XS2583742239</t>
        </is>
      </c>
      <c r="B529" t="inlineStr">
        <is>
          <t>Hold</t>
        </is>
      </c>
      <c r="C529" t="inlineStr">
        <is>
          <t>Ibm Corp</t>
        </is>
      </c>
      <c r="D529" t="n">
        <v>3.625</v>
      </c>
      <c r="E529" t="inlineStr">
        <is>
          <t>Sr Unsecured</t>
        </is>
      </c>
      <c r="F529" t="inlineStr">
        <is>
          <t>06.02.2031</t>
        </is>
      </c>
      <c r="G529" t="inlineStr">
        <is>
          <t>United states</t>
        </is>
      </c>
      <c r="H529" t="inlineStr">
        <is>
          <t>Technology</t>
        </is>
      </c>
      <c r="I529" t="n">
        <v>100</v>
      </c>
      <c r="J529" t="n">
        <v>103.302</v>
      </c>
      <c r="K529" t="n">
        <v>2.9456</v>
      </c>
      <c r="L529" t="n">
        <v>-0.096272</v>
      </c>
      <c r="M529" t="n">
        <v>-0.076486</v>
      </c>
      <c r="N529" t="n">
        <v>56.26486039</v>
      </c>
      <c r="O529" t="n">
        <v>5.087463817</v>
      </c>
      <c r="P529" t="n">
        <v>80</v>
      </c>
      <c r="Q529" t="inlineStr">
        <is>
          <t>International Business Machines Corporation (IBM) provides computer solutions</t>
        </is>
      </c>
      <c r="R529" t="inlineStr">
        <is>
          <t>EUR</t>
        </is>
      </c>
      <c r="S529" t="inlineStr">
        <is>
          <t>Investment Grade</t>
        </is>
      </c>
      <c r="T529" t="inlineStr">
        <is>
          <t>A-</t>
        </is>
      </c>
      <c r="U529" t="inlineStr">
        <is>
          <t>A-</t>
        </is>
      </c>
    </row>
    <row r="530">
      <c r="A530" t="inlineStr">
        <is>
          <t>XS2233217558</t>
        </is>
      </c>
      <c r="B530" t="inlineStr">
        <is>
          <t>Top Pick</t>
        </is>
      </c>
      <c r="C530" t="inlineStr">
        <is>
          <t>Edp Finance Bv</t>
        </is>
      </c>
      <c r="D530" t="n">
        <v>1.71</v>
      </c>
      <c r="E530" t="inlineStr">
        <is>
          <t>Sr Unsecured</t>
        </is>
      </c>
      <c r="F530" t="inlineStr">
        <is>
          <t>24.01.2028</t>
        </is>
      </c>
      <c r="G530" t="inlineStr">
        <is>
          <t>Portugal</t>
        </is>
      </c>
      <c r="H530" t="inlineStr">
        <is>
          <t>Utilities</t>
        </is>
      </c>
      <c r="I530" t="n">
        <v>200</v>
      </c>
      <c r="J530" t="n">
        <v>93.59999999999999</v>
      </c>
      <c r="K530" t="n">
        <v>4.398893</v>
      </c>
      <c r="L530" t="n">
        <v>0.031383</v>
      </c>
      <c r="M530" t="n">
        <v>-0.238369</v>
      </c>
      <c r="N530" t="n">
        <v>56.23817411</v>
      </c>
      <c r="O530" t="n">
        <v>2.782140957</v>
      </c>
      <c r="P530" t="n">
        <v>60</v>
      </c>
      <c r="Q530" t="inlineStr">
        <is>
          <t>Portugal's largest utility company</t>
        </is>
      </c>
      <c r="R530" t="inlineStr">
        <is>
          <t>USD</t>
        </is>
      </c>
      <c r="S530" t="inlineStr">
        <is>
          <t>Investment Grade</t>
        </is>
      </c>
      <c r="T530" t="inlineStr">
        <is>
          <t>BBB</t>
        </is>
      </c>
      <c r="U530" t="inlineStr">
        <is>
          <t>BBB</t>
        </is>
      </c>
    </row>
    <row r="531">
      <c r="A531" t="inlineStr">
        <is>
          <t>USG2176WAB21</t>
        </is>
      </c>
      <c r="B531" t="inlineStr">
        <is>
          <t>Top pick</t>
        </is>
      </c>
      <c r="C531" t="inlineStr">
        <is>
          <t>Ck Hutchison Intl 16 Ltd</t>
        </is>
      </c>
      <c r="D531" t="n">
        <v>2.75</v>
      </c>
      <c r="E531" t="inlineStr">
        <is>
          <t>Sr Unsecured</t>
        </is>
      </c>
      <c r="F531" t="inlineStr">
        <is>
          <t>03.10.2026</t>
        </is>
      </c>
      <c r="G531" t="inlineStr">
        <is>
          <t>United Kingdom</t>
        </is>
      </c>
      <c r="H531" t="inlineStr">
        <is>
          <t>Diversified</t>
        </is>
      </c>
      <c r="I531" t="n">
        <v>200</v>
      </c>
      <c r="J531" t="n">
        <v>97.886</v>
      </c>
      <c r="K531" t="n">
        <v>4.524516</v>
      </c>
      <c r="L531" t="n">
        <v>0.083907</v>
      </c>
      <c r="M531" t="n">
        <v>-0.091955</v>
      </c>
      <c r="N531" t="n">
        <v>56.01124406</v>
      </c>
      <c r="O531" t="n">
        <v>1.53941237</v>
      </c>
      <c r="P531" t="n">
        <v>80</v>
      </c>
      <c r="Q531" t="inlineStr">
        <is>
          <t xml:space="preserve">Retails prescription drugs and medicines </t>
        </is>
      </c>
      <c r="R531" t="inlineStr">
        <is>
          <t>USD</t>
        </is>
      </c>
      <c r="S531" t="inlineStr">
        <is>
          <t>Investment Grade</t>
        </is>
      </c>
      <c r="T531" t="inlineStr">
        <is>
          <t>A-</t>
        </is>
      </c>
      <c r="U531" t="inlineStr">
        <is>
          <t>A-</t>
        </is>
      </c>
    </row>
    <row r="532">
      <c r="A532" t="inlineStr">
        <is>
          <t>USU5876JAG05</t>
        </is>
      </c>
      <c r="B532" t="inlineStr">
        <is>
          <t>Top Pick</t>
        </is>
      </c>
      <c r="C532" t="inlineStr">
        <is>
          <t>Mercedes-Benz Fin Na</t>
        </is>
      </c>
      <c r="D532" t="n">
        <v>4.8</v>
      </c>
      <c r="E532" t="inlineStr">
        <is>
          <t>Sr Unsecured</t>
        </is>
      </c>
      <c r="F532" t="inlineStr">
        <is>
          <t>30.03.2028</t>
        </is>
      </c>
      <c r="G532" t="inlineStr">
        <is>
          <t>Germany</t>
        </is>
      </c>
      <c r="H532" t="inlineStr">
        <is>
          <t>Consumer, Cyclical</t>
        </is>
      </c>
      <c r="I532" t="n">
        <v>150</v>
      </c>
      <c r="J532" t="n">
        <v>101.041</v>
      </c>
      <c r="K532" t="n">
        <v>4.388367</v>
      </c>
      <c r="L532" t="n">
        <v>0.007285</v>
      </c>
      <c r="M532" t="n">
        <v>-0.210756</v>
      </c>
      <c r="N532" t="n">
        <v>55.91592673</v>
      </c>
      <c r="O532" t="n">
        <v>2.802573853</v>
      </c>
      <c r="P532" t="n">
        <v>85</v>
      </c>
      <c r="Q532" t="inlineStr">
        <is>
          <t>Developer and Manufacturer of automotive products</t>
        </is>
      </c>
      <c r="R532" t="inlineStr">
        <is>
          <t>USD</t>
        </is>
      </c>
      <c r="S532" t="inlineStr">
        <is>
          <t>Investment Grade</t>
        </is>
      </c>
      <c r="T532" t="inlineStr">
        <is>
          <t>A</t>
        </is>
      </c>
      <c r="U532" t="inlineStr">
        <is>
          <t>A</t>
        </is>
      </c>
    </row>
    <row r="533">
      <c r="A533" t="inlineStr">
        <is>
          <t>XS2597093009</t>
        </is>
      </c>
      <c r="B533" t="inlineStr">
        <is>
          <t>Top Pick</t>
        </is>
      </c>
      <c r="C533" t="inlineStr">
        <is>
          <t>Toyota Motor Credit Corp</t>
        </is>
      </c>
      <c r="D533" t="n">
        <v>4.05</v>
      </c>
      <c r="E533" t="inlineStr">
        <is>
          <t>Sr Unsecured</t>
        </is>
      </c>
      <c r="F533" t="inlineStr">
        <is>
          <t>13.09.2029</t>
        </is>
      </c>
      <c r="G533" t="inlineStr">
        <is>
          <t>United states</t>
        </is>
      </c>
      <c r="H533" t="inlineStr">
        <is>
          <t>Consumer, Cyclical</t>
        </is>
      </c>
      <c r="I533" t="n">
        <v>100</v>
      </c>
      <c r="J533" t="n">
        <v>105.146</v>
      </c>
      <c r="K533" t="n">
        <v>2.728942</v>
      </c>
      <c r="L533" t="n">
        <v>-0.079402</v>
      </c>
      <c r="M533" t="n">
        <v>-0.043754</v>
      </c>
      <c r="N533" t="n">
        <v>55.88804618</v>
      </c>
      <c r="O533" t="n">
        <v>4.067574079</v>
      </c>
      <c r="P533" t="n">
        <v>80</v>
      </c>
      <c r="Q533" t="inlineStr">
        <is>
          <t>One of the largest car maker in the world</t>
        </is>
      </c>
      <c r="R533" t="inlineStr">
        <is>
          <t>EUR</t>
        </is>
      </c>
      <c r="S533" t="inlineStr">
        <is>
          <t>Investment Grade</t>
        </is>
      </c>
      <c r="T533" t="inlineStr">
        <is>
          <t>A+</t>
        </is>
      </c>
      <c r="U533" t="inlineStr">
        <is>
          <t>A+</t>
        </is>
      </c>
    </row>
    <row r="534">
      <c r="A534" t="inlineStr">
        <is>
          <t>XS2583742585</t>
        </is>
      </c>
      <c r="B534" t="inlineStr">
        <is>
          <t>Hold</t>
        </is>
      </c>
      <c r="C534" t="inlineStr">
        <is>
          <t>Ibm Corp</t>
        </is>
      </c>
      <c r="D534" t="n">
        <v>3.75</v>
      </c>
      <c r="E534" t="inlineStr">
        <is>
          <t>Sr Unsecured</t>
        </is>
      </c>
      <c r="F534" t="inlineStr">
        <is>
          <t>06.02.2035</t>
        </is>
      </c>
      <c r="G534" t="inlineStr">
        <is>
          <t>United states</t>
        </is>
      </c>
      <c r="H534" t="inlineStr">
        <is>
          <t>Technology</t>
        </is>
      </c>
      <c r="I534" t="n">
        <v>100</v>
      </c>
      <c r="J534" t="n">
        <v>102.864</v>
      </c>
      <c r="K534" t="n">
        <v>3.386063</v>
      </c>
      <c r="L534" t="n">
        <v>-0.121946</v>
      </c>
      <c r="M534" t="n">
        <v>-0.143972</v>
      </c>
      <c r="N534" t="n">
        <v>55.67517194</v>
      </c>
      <c r="O534" t="n">
        <v>8.039233723000001</v>
      </c>
      <c r="P534" t="n">
        <v>80</v>
      </c>
      <c r="Q534" t="inlineStr">
        <is>
          <t>International Business Machines Corporation (IBM) provides computer solutions</t>
        </is>
      </c>
      <c r="R534" t="inlineStr">
        <is>
          <t>EUR</t>
        </is>
      </c>
      <c r="S534" t="inlineStr">
        <is>
          <t>Investment Grade</t>
        </is>
      </c>
      <c r="T534" t="inlineStr">
        <is>
          <t>A-</t>
        </is>
      </c>
      <c r="U534" t="inlineStr">
        <is>
          <t>A-</t>
        </is>
      </c>
    </row>
    <row r="535">
      <c r="A535" t="inlineStr">
        <is>
          <t>FR001400FIM6</t>
        </is>
      </c>
      <c r="B535" t="inlineStr">
        <is>
          <t>Hold</t>
        </is>
      </c>
      <c r="C535" t="inlineStr">
        <is>
          <t>Ile De France Mobilites</t>
        </is>
      </c>
      <c r="D535" t="n">
        <v>3.05</v>
      </c>
      <c r="E535" t="inlineStr">
        <is>
          <t>Sr Unsecured</t>
        </is>
      </c>
      <c r="F535" t="inlineStr">
        <is>
          <t>03.02.2033</t>
        </is>
      </c>
      <c r="G535" t="inlineStr">
        <is>
          <t>France</t>
        </is>
      </c>
      <c r="H535" t="inlineStr">
        <is>
          <t>Industrial</t>
        </is>
      </c>
      <c r="I535" t="n">
        <v>100</v>
      </c>
      <c r="J535" t="n">
        <v>99.152</v>
      </c>
      <c r="K535" t="n">
        <v>3.176219</v>
      </c>
      <c r="L535" t="n">
        <v>0.043491</v>
      </c>
      <c r="M535" t="n">
        <v>0.071716</v>
      </c>
      <c r="N535" t="n">
        <v>55.41097439</v>
      </c>
      <c r="O535" t="n">
        <v>6.926365163</v>
      </c>
      <c r="P535" t="n">
        <v>85</v>
      </c>
      <c r="Q535" t="inlineStr">
        <is>
          <t>Operates as the transport authority</t>
        </is>
      </c>
      <c r="R535" t="inlineStr">
        <is>
          <t>EUR</t>
        </is>
      </c>
      <c r="S535" t="inlineStr">
        <is>
          <t>Investment Grade</t>
        </is>
      </c>
      <c r="T535" t="inlineStr">
        <is>
          <t>NR</t>
        </is>
      </c>
      <c r="U535" t="inlineStr">
        <is>
          <t>NR</t>
        </is>
      </c>
    </row>
    <row r="536">
      <c r="A536" t="inlineStr">
        <is>
          <t>US59156RCE62</t>
        </is>
      </c>
      <c r="B536" t="inlineStr">
        <is>
          <t>Top Pick</t>
        </is>
      </c>
      <c r="C536" t="inlineStr">
        <is>
          <t>Metlife Inc</t>
        </is>
      </c>
      <c r="D536" t="n">
        <v>5.375</v>
      </c>
      <c r="E536" t="inlineStr">
        <is>
          <t>Sr Unsecured</t>
        </is>
      </c>
      <c r="F536" t="inlineStr">
        <is>
          <t>15.07.2033</t>
        </is>
      </c>
      <c r="G536" t="inlineStr">
        <is>
          <t>United states</t>
        </is>
      </c>
      <c r="H536" t="inlineStr">
        <is>
          <t>Financial</t>
        </is>
      </c>
      <c r="I536" t="n">
        <v>2</v>
      </c>
      <c r="J536" t="n">
        <v>103.863</v>
      </c>
      <c r="K536" t="n">
        <v>4.774708</v>
      </c>
      <c r="L536" t="n">
        <v>-0.02109</v>
      </c>
      <c r="M536" t="n">
        <v>-0.137834</v>
      </c>
      <c r="N536" t="n">
        <v>55.34413564</v>
      </c>
      <c r="O536" t="n">
        <v>6.518268328</v>
      </c>
      <c r="P536" t="n">
        <v>80</v>
      </c>
      <c r="Q536" t="inlineStr">
        <is>
          <t>Provides individual insurance, employee benefits, and financial services</t>
        </is>
      </c>
      <c r="R536" t="inlineStr">
        <is>
          <t>USD</t>
        </is>
      </c>
      <c r="S536" t="inlineStr">
        <is>
          <t>Investment Grade</t>
        </is>
      </c>
      <c r="T536" t="inlineStr">
        <is>
          <t>A-</t>
        </is>
      </c>
      <c r="U536" t="inlineStr">
        <is>
          <t>A-</t>
        </is>
      </c>
    </row>
    <row r="537">
      <c r="A537" t="inlineStr">
        <is>
          <t>CH1226543879</t>
        </is>
      </c>
      <c r="B537" t="inlineStr">
        <is>
          <t>Hold</t>
        </is>
      </c>
      <c r="C537" t="inlineStr">
        <is>
          <t>Sika Ag</t>
        </is>
      </c>
      <c r="D537" t="n">
        <v>2.35</v>
      </c>
      <c r="E537" t="inlineStr">
        <is>
          <t>Sr Unsecured</t>
        </is>
      </c>
      <c r="F537" t="inlineStr">
        <is>
          <t>28.11.2028</t>
        </is>
      </c>
      <c r="G537" t="inlineStr">
        <is>
          <t>Switzerland</t>
        </is>
      </c>
      <c r="H537" t="inlineStr">
        <is>
          <t>Industrial</t>
        </is>
      </c>
      <c r="I537" t="n">
        <v>5</v>
      </c>
      <c r="J537" t="n">
        <v>105.471</v>
      </c>
      <c r="K537" t="n">
        <v>0.580196</v>
      </c>
      <c r="L537" t="n">
        <v>0.041258</v>
      </c>
      <c r="M537" t="n">
        <v>0.225899</v>
      </c>
      <c r="N537" t="n">
        <v>55.30746332</v>
      </c>
      <c r="O537" t="n">
        <v>3.369613998</v>
      </c>
      <c r="P537" t="n">
        <v>80</v>
      </c>
      <c r="Q537" t="inlineStr">
        <is>
          <t>Manufactures construction materials</t>
        </is>
      </c>
      <c r="R537" t="inlineStr">
        <is>
          <t>CHF</t>
        </is>
      </c>
      <c r="S537" t="inlineStr">
        <is>
          <t>Investment Grade</t>
        </is>
      </c>
      <c r="T537" t="inlineStr">
        <is>
          <t>NR</t>
        </is>
      </c>
      <c r="U537" t="inlineStr">
        <is>
          <t>NR</t>
        </is>
      </c>
    </row>
    <row r="538">
      <c r="A538" t="inlineStr">
        <is>
          <t>USG01719AK24</t>
        </is>
      </c>
      <c r="B538" t="inlineStr">
        <is>
          <t>Hold</t>
        </is>
      </c>
      <c r="C538" t="inlineStr">
        <is>
          <t>Alibaba Group Holding</t>
        </is>
      </c>
      <c r="D538" t="n">
        <v>4.875</v>
      </c>
      <c r="E538" t="inlineStr">
        <is>
          <t>Sr Unsecured</t>
        </is>
      </c>
      <c r="F538" t="inlineStr">
        <is>
          <t>26.05.2030</t>
        </is>
      </c>
      <c r="G538" t="inlineStr">
        <is>
          <t>China</t>
        </is>
      </c>
      <c r="H538" t="inlineStr">
        <is>
          <t>Communications</t>
        </is>
      </c>
      <c r="I538" t="n">
        <v>200</v>
      </c>
      <c r="J538" t="n">
        <v>101.679</v>
      </c>
      <c r="K538" t="n">
        <v>4.481812</v>
      </c>
      <c r="L538" t="n">
        <v>0.082318</v>
      </c>
      <c r="M538" t="n">
        <v>-0.079439</v>
      </c>
      <c r="N538" t="n">
        <v>55.26274903</v>
      </c>
      <c r="O538" t="n">
        <v>4.543089215</v>
      </c>
      <c r="P538" t="n">
        <v>0</v>
      </c>
      <c r="Q538" t="inlineStr">
        <is>
          <t xml:space="preserve">Chinese largest e-commerce retailer </t>
        </is>
      </c>
      <c r="R538" t="inlineStr">
        <is>
          <t>USD</t>
        </is>
      </c>
      <c r="S538" t="inlineStr">
        <is>
          <t>Investment Grade</t>
        </is>
      </c>
      <c r="T538" t="inlineStr">
        <is>
          <t>A</t>
        </is>
      </c>
      <c r="U538" t="inlineStr">
        <is>
          <t>A+</t>
        </is>
      </c>
    </row>
    <row r="539">
      <c r="A539" t="inlineStr">
        <is>
          <t>XS2051777873</t>
        </is>
      </c>
      <c r="B539" t="inlineStr">
        <is>
          <t>Hold</t>
        </is>
      </c>
      <c r="C539" t="inlineStr">
        <is>
          <t>Ds Smith Plc</t>
        </is>
      </c>
      <c r="D539" t="n">
        <v>0.875</v>
      </c>
      <c r="E539" t="inlineStr">
        <is>
          <t>Sr Unsecured</t>
        </is>
      </c>
      <c r="F539" t="inlineStr">
        <is>
          <t>12.09.2026</t>
        </is>
      </c>
      <c r="G539" t="inlineStr">
        <is>
          <t>United Kingdom</t>
        </is>
      </c>
      <c r="H539" t="inlineStr">
        <is>
          <t>Industrial</t>
        </is>
      </c>
      <c r="I539" t="n">
        <v>100</v>
      </c>
      <c r="J539" t="n">
        <v>98.249</v>
      </c>
      <c r="K539" t="n">
        <v>2.399287</v>
      </c>
      <c r="L539" t="n">
        <v>-0.108719</v>
      </c>
      <c r="M539" t="n">
        <v>-0.110427</v>
      </c>
      <c r="N539" t="n">
        <v>55.23582148</v>
      </c>
      <c r="O539" t="n">
        <v>1.497616246</v>
      </c>
      <c r="P539" t="n">
        <v>80</v>
      </c>
      <c r="Q539" t="inlineStr">
        <is>
          <t>Provider of corrugated packaging services</t>
        </is>
      </c>
      <c r="R539" t="inlineStr">
        <is>
          <t>EUR</t>
        </is>
      </c>
      <c r="S539" t="inlineStr">
        <is>
          <t>Investment Grade</t>
        </is>
      </c>
      <c r="T539" t="inlineStr">
        <is>
          <t>NR</t>
        </is>
      </c>
      <c r="U539" t="inlineStr">
        <is>
          <t>NR</t>
        </is>
      </c>
    </row>
    <row r="540">
      <c r="A540" t="inlineStr">
        <is>
          <t>XS2384273715</t>
        </is>
      </c>
      <c r="B540" t="inlineStr">
        <is>
          <t>Hold</t>
        </is>
      </c>
      <c r="C540" t="inlineStr">
        <is>
          <t>Holcim Finance Lux Sa</t>
        </is>
      </c>
      <c r="D540" t="n">
        <v>0.5</v>
      </c>
      <c r="E540" t="inlineStr">
        <is>
          <t>Sr Unsecured</t>
        </is>
      </c>
      <c r="F540" t="inlineStr">
        <is>
          <t>03.09.2030</t>
        </is>
      </c>
      <c r="G540" t="inlineStr">
        <is>
          <t>Switzerland</t>
        </is>
      </c>
      <c r="H540" t="inlineStr">
        <is>
          <t>Industrial</t>
        </is>
      </c>
      <c r="I540" t="n">
        <v>100</v>
      </c>
      <c r="J540" t="n">
        <v>88.756</v>
      </c>
      <c r="K540" t="n">
        <v>2.87858</v>
      </c>
      <c r="L540" t="n">
        <v>-0.151845</v>
      </c>
      <c r="M540" t="n">
        <v>-0.25559</v>
      </c>
      <c r="N540" t="n">
        <v>54.70653183</v>
      </c>
      <c r="O540" t="n">
        <v>5.272949841</v>
      </c>
      <c r="P540" t="n">
        <v>60</v>
      </c>
      <c r="Q540" t="inlineStr">
        <is>
          <t xml:space="preserve">provides construction materials and solutions </t>
        </is>
      </c>
      <c r="R540" t="inlineStr">
        <is>
          <t>EUR</t>
        </is>
      </c>
      <c r="S540" t="inlineStr">
        <is>
          <t>Investment Grade</t>
        </is>
      </c>
      <c r="T540" t="inlineStr">
        <is>
          <t>BBB+</t>
        </is>
      </c>
      <c r="U540" t="inlineStr">
        <is>
          <t>BBB+</t>
        </is>
      </c>
    </row>
    <row r="541">
      <c r="A541" t="inlineStr">
        <is>
          <t>XS2190256706</t>
        </is>
      </c>
      <c r="B541" t="inlineStr">
        <is>
          <t>Hold</t>
        </is>
      </c>
      <c r="C541" t="inlineStr">
        <is>
          <t>Snam Spa</t>
        </is>
      </c>
      <c r="D541" t="n">
        <v>0.75</v>
      </c>
      <c r="E541" t="inlineStr">
        <is>
          <t>Sr Unsecured</t>
        </is>
      </c>
      <c r="F541" t="inlineStr">
        <is>
          <t>17.06.2030</t>
        </is>
      </c>
      <c r="G541" t="inlineStr">
        <is>
          <t>Italy</t>
        </is>
      </c>
      <c r="H541" t="inlineStr">
        <is>
          <t>Utilities</t>
        </is>
      </c>
      <c r="I541" t="n">
        <v>100</v>
      </c>
      <c r="J541" t="n">
        <v>90.491</v>
      </c>
      <c r="K541" t="n">
        <v>2.84047</v>
      </c>
      <c r="L541" t="n">
        <v>-0.095648</v>
      </c>
      <c r="M541" t="n">
        <v>-0.129364</v>
      </c>
      <c r="N541" t="n">
        <v>54.66884887</v>
      </c>
      <c r="O541" t="n">
        <v>5.031120276</v>
      </c>
      <c r="P541" t="n">
        <v>80</v>
      </c>
      <c r="Q541" t="inlineStr">
        <is>
          <t>Owns and operates Italy's natural-gas distribution network</t>
        </is>
      </c>
      <c r="R541" t="inlineStr">
        <is>
          <t>EUR</t>
        </is>
      </c>
      <c r="S541" t="inlineStr">
        <is>
          <t>Investment Grade</t>
        </is>
      </c>
      <c r="T541" t="inlineStr">
        <is>
          <t>BBB+</t>
        </is>
      </c>
      <c r="U541" t="inlineStr">
        <is>
          <t>BBB</t>
        </is>
      </c>
    </row>
    <row r="542">
      <c r="A542" t="inlineStr">
        <is>
          <t>XS2907161363</t>
        </is>
      </c>
      <c r="B542" t="inlineStr">
        <is>
          <t>Top pick</t>
        </is>
      </c>
      <c r="C542" t="inlineStr">
        <is>
          <t>Abu Dhabi Development Ho</t>
        </is>
      </c>
      <c r="D542" t="n">
        <v>4.375</v>
      </c>
      <c r="E542" t="inlineStr">
        <is>
          <t>Sr Unsecured</t>
        </is>
      </c>
      <c r="F542" t="inlineStr">
        <is>
          <t>02.10.2031</t>
        </is>
      </c>
      <c r="G542" t="inlineStr">
        <is>
          <t>U.A.E</t>
        </is>
      </c>
      <c r="H542" t="inlineStr">
        <is>
          <t>Financial</t>
        </is>
      </c>
      <c r="I542" t="n">
        <v>200</v>
      </c>
      <c r="J542" t="n">
        <v>98.667</v>
      </c>
      <c r="K542" t="n">
        <v>4.622519</v>
      </c>
      <c r="L542" t="n">
        <v>-0.039008</v>
      </c>
      <c r="M542" t="n">
        <v>-0.114985</v>
      </c>
      <c r="N542" t="n">
        <v>54.46673559</v>
      </c>
      <c r="O542" t="n">
        <v>5.548326754</v>
      </c>
      <c r="P542" t="n">
        <v>0</v>
      </c>
      <c r="Q542" t="inlineStr">
        <is>
          <t xml:space="preserve">Sovereign wealth fund of Abu Dhabi </t>
        </is>
      </c>
      <c r="R542" t="inlineStr">
        <is>
          <t>USD</t>
        </is>
      </c>
      <c r="S542" t="inlineStr">
        <is>
          <t>Investment Grade</t>
        </is>
      </c>
      <c r="T542" t="inlineStr">
        <is>
          <t>AA</t>
        </is>
      </c>
      <c r="U542" t="inlineStr">
        <is>
          <t>AA</t>
        </is>
      </c>
    </row>
    <row r="543">
      <c r="A543" t="inlineStr">
        <is>
          <t>US87264ADE29</t>
        </is>
      </c>
      <c r="B543" t="inlineStr">
        <is>
          <t xml:space="preserve">Hold </t>
        </is>
      </c>
      <c r="C543" t="inlineStr">
        <is>
          <t>T-Mobile Usa Inc</t>
        </is>
      </c>
      <c r="D543" t="n">
        <v>4.85</v>
      </c>
      <c r="E543" t="inlineStr">
        <is>
          <t>Sr Unsecured</t>
        </is>
      </c>
      <c r="F543" t="inlineStr">
        <is>
          <t>15.01.2029</t>
        </is>
      </c>
      <c r="G543" t="inlineStr">
        <is>
          <t>United states</t>
        </is>
      </c>
      <c r="H543" t="inlineStr">
        <is>
          <t>Communications</t>
        </is>
      </c>
      <c r="I543" t="n">
        <v>2</v>
      </c>
      <c r="J543" t="n">
        <v>101.345</v>
      </c>
      <c r="K543" t="n">
        <v>4.42429</v>
      </c>
      <c r="L543" t="n">
        <v>0.012746</v>
      </c>
      <c r="M543" t="n">
        <v>-0.12032</v>
      </c>
      <c r="N543" t="n">
        <v>54.45377294</v>
      </c>
      <c r="O543" t="n">
        <v>3.431263977</v>
      </c>
      <c r="P543" t="n">
        <v>0</v>
      </c>
      <c r="Q543" t="inlineStr">
        <is>
          <t>Provides telecommunications services</t>
        </is>
      </c>
      <c r="R543" t="inlineStr">
        <is>
          <t>USD</t>
        </is>
      </c>
      <c r="S543" t="inlineStr">
        <is>
          <t>Investment Grade</t>
        </is>
      </c>
      <c r="T543" t="inlineStr">
        <is>
          <t>BBB</t>
        </is>
      </c>
      <c r="U543" t="inlineStr">
        <is>
          <t>BBB</t>
        </is>
      </c>
    </row>
    <row r="544">
      <c r="A544" t="inlineStr">
        <is>
          <t xml:space="preserve">XS2311299957 </t>
        </is>
      </c>
      <c r="B544" t="inlineStr">
        <is>
          <t>Hold</t>
        </is>
      </c>
      <c r="C544" t="inlineStr">
        <is>
          <t>Ooredoo Intl Finance</t>
        </is>
      </c>
      <c r="D544" t="n">
        <v>2.625</v>
      </c>
      <c r="E544" t="inlineStr">
        <is>
          <t>Sr Unsecured</t>
        </is>
      </c>
      <c r="F544" t="inlineStr">
        <is>
          <t>08.04.2031</t>
        </is>
      </c>
      <c r="G544" t="inlineStr">
        <is>
          <t>Qatar</t>
        </is>
      </c>
      <c r="H544" t="inlineStr">
        <is>
          <t>Communications</t>
        </is>
      </c>
      <c r="I544" t="n">
        <v>200</v>
      </c>
      <c r="J544" t="n">
        <v>90.304</v>
      </c>
      <c r="K544" t="n">
        <v>4.561275</v>
      </c>
      <c r="L544" t="n">
        <v>0.031284</v>
      </c>
      <c r="M544" t="n">
        <v>-0.133188</v>
      </c>
      <c r="N544" t="n">
        <v>54.35560726</v>
      </c>
      <c r="O544" t="n">
        <v>5.458797628</v>
      </c>
      <c r="P544" t="n">
        <v>80</v>
      </c>
      <c r="Q544" t="inlineStr">
        <is>
          <t xml:space="preserve">Qatari majority state-owned telecom </t>
        </is>
      </c>
      <c r="R544" t="inlineStr">
        <is>
          <t>USD</t>
        </is>
      </c>
      <c r="S544" t="inlineStr">
        <is>
          <t>Investment Grade</t>
        </is>
      </c>
      <c r="T544" t="inlineStr">
        <is>
          <t>A</t>
        </is>
      </c>
      <c r="U544" t="inlineStr">
        <is>
          <t>A</t>
        </is>
      </c>
    </row>
    <row r="545">
      <c r="A545" t="inlineStr">
        <is>
          <t>XS2577134401</t>
        </is>
      </c>
      <c r="B545" t="inlineStr">
        <is>
          <t>Hold</t>
        </is>
      </c>
      <c r="C545" t="inlineStr">
        <is>
          <t>Saudi International Bond</t>
        </is>
      </c>
      <c r="D545" t="n">
        <v>4.75</v>
      </c>
      <c r="E545" t="inlineStr">
        <is>
          <t>Sr Unsecured</t>
        </is>
      </c>
      <c r="F545" t="inlineStr">
        <is>
          <t>18.01.2028</t>
        </is>
      </c>
      <c r="G545" t="inlineStr">
        <is>
          <t>Saudi Arabia</t>
        </is>
      </c>
      <c r="H545" t="inlineStr">
        <is>
          <t>Government</t>
        </is>
      </c>
      <c r="I545" t="n">
        <v>200</v>
      </c>
      <c r="J545" t="n">
        <v>100.868</v>
      </c>
      <c r="K545" t="n">
        <v>4.38344</v>
      </c>
      <c r="L545" t="n">
        <v>-0.03434</v>
      </c>
      <c r="M545" t="n">
        <v>-0.102403</v>
      </c>
      <c r="N545" t="n">
        <v>54.14544428</v>
      </c>
      <c r="O545" t="n">
        <v>2.669483985</v>
      </c>
      <c r="P545" t="n">
        <v>80</v>
      </c>
      <c r="Q545" t="inlineStr">
        <is>
          <t>Kingdom of Saudia sovereign bond</t>
        </is>
      </c>
      <c r="R545" t="inlineStr">
        <is>
          <t>USD</t>
        </is>
      </c>
      <c r="S545" t="inlineStr">
        <is>
          <t>Investment Grade</t>
        </is>
      </c>
      <c r="T545" t="inlineStr">
        <is>
          <t>A+</t>
        </is>
      </c>
      <c r="U545" t="inlineStr">
        <is>
          <t>A+</t>
        </is>
      </c>
    </row>
    <row r="546">
      <c r="A546" t="inlineStr">
        <is>
          <t xml:space="preserve"> XS2791959906</t>
        </is>
      </c>
      <c r="B546" t="inlineStr">
        <is>
          <t xml:space="preserve">Hold </t>
        </is>
      </c>
      <c r="C546" t="inlineStr">
        <is>
          <t>E.On Se</t>
        </is>
      </c>
      <c r="D546" t="n">
        <v>3.5</v>
      </c>
      <c r="E546" t="inlineStr">
        <is>
          <t>Sr Unsecured</t>
        </is>
      </c>
      <c r="F546" t="inlineStr">
        <is>
          <t>25.03.2032</t>
        </is>
      </c>
      <c r="G546" t="inlineStr">
        <is>
          <t>Germany</t>
        </is>
      </c>
      <c r="H546" t="inlineStr">
        <is>
          <t>Utilities</t>
        </is>
      </c>
      <c r="I546" t="n">
        <v>1</v>
      </c>
      <c r="J546" t="n">
        <v>102.496</v>
      </c>
      <c r="K546" t="n">
        <v>3.067866</v>
      </c>
      <c r="L546" t="n">
        <v>-0.086106</v>
      </c>
      <c r="M546" t="n">
        <v>-0.067722</v>
      </c>
      <c r="N546" t="n">
        <v>54.07066503</v>
      </c>
      <c r="O546" t="n">
        <v>5.825284422</v>
      </c>
      <c r="P546" t="n">
        <v>0</v>
      </c>
      <c r="Q546" t="inlineStr">
        <is>
          <t xml:space="preserve">German utility company </t>
        </is>
      </c>
      <c r="R546" t="inlineStr">
        <is>
          <t>EUR</t>
        </is>
      </c>
      <c r="S546" t="inlineStr">
        <is>
          <t>Investment Grade</t>
        </is>
      </c>
      <c r="T546" t="inlineStr">
        <is>
          <t>BBB+</t>
        </is>
      </c>
      <c r="U546" t="inlineStr">
        <is>
          <t>BBB+</t>
        </is>
      </c>
    </row>
    <row r="547">
      <c r="A547" t="inlineStr">
        <is>
          <t>US68389XCH61</t>
        </is>
      </c>
      <c r="B547" t="inlineStr">
        <is>
          <t>Hold</t>
        </is>
      </c>
      <c r="C547" t="inlineStr">
        <is>
          <t>Oracle Corp</t>
        </is>
      </c>
      <c r="D547" t="n">
        <v>6.15</v>
      </c>
      <c r="E547" t="inlineStr">
        <is>
          <t>Sr Unsecured</t>
        </is>
      </c>
      <c r="F547" t="inlineStr">
        <is>
          <t>09.11.2029</t>
        </is>
      </c>
      <c r="G547" t="inlineStr">
        <is>
          <t>United states</t>
        </is>
      </c>
      <c r="H547" t="inlineStr">
        <is>
          <t>Technology</t>
        </is>
      </c>
      <c r="I547" t="n">
        <v>2</v>
      </c>
      <c r="J547" t="n">
        <v>106.396</v>
      </c>
      <c r="K547" t="n">
        <v>4.451804</v>
      </c>
      <c r="L547" t="n">
        <v>0.037294</v>
      </c>
      <c r="M547" t="n">
        <v>-0.099897</v>
      </c>
      <c r="N547" t="n">
        <v>53.87631283</v>
      </c>
      <c r="O547" t="n">
        <v>3.890895516</v>
      </c>
      <c r="P547" t="n">
        <v>85</v>
      </c>
      <c r="Q547" t="inlineStr">
        <is>
          <t>One of the largest global enterprise software companies</t>
        </is>
      </c>
      <c r="R547" t="inlineStr">
        <is>
          <t>USD</t>
        </is>
      </c>
      <c r="S547" t="inlineStr">
        <is>
          <t>Investment Grade</t>
        </is>
      </c>
      <c r="T547" t="inlineStr">
        <is>
          <t>BBB</t>
        </is>
      </c>
      <c r="U547" t="inlineStr">
        <is>
          <t>BBB</t>
        </is>
      </c>
    </row>
    <row r="548">
      <c r="A548" t="inlineStr">
        <is>
          <t>IT0003535157</t>
        </is>
      </c>
      <c r="B548" t="inlineStr">
        <is>
          <t>Hold</t>
        </is>
      </c>
      <c r="C548" t="inlineStr">
        <is>
          <t>Buoni Poliennali Del Tes</t>
        </is>
      </c>
      <c r="D548" t="n">
        <v>5</v>
      </c>
      <c r="E548" t="inlineStr">
        <is>
          <t>Sr Unsecured</t>
        </is>
      </c>
      <c r="F548" t="inlineStr">
        <is>
          <t>01.08.2034</t>
        </is>
      </c>
      <c r="G548" t="inlineStr">
        <is>
          <t>Italy</t>
        </is>
      </c>
      <c r="H548" t="inlineStr">
        <is>
          <t>Government</t>
        </is>
      </c>
      <c r="I548" t="n">
        <v>1</v>
      </c>
      <c r="J548" t="n">
        <v>113.52</v>
      </c>
      <c r="K548" t="n">
        <v>3.290996</v>
      </c>
      <c r="L548" t="n">
        <v>0.014328</v>
      </c>
      <c r="M548" t="n">
        <v>-0.018157</v>
      </c>
      <c r="N548" t="n">
        <v>53.71746831</v>
      </c>
      <c r="O548" t="n">
        <v>7.469235278</v>
      </c>
      <c r="P548" t="n">
        <v>70</v>
      </c>
      <c r="Q548" t="inlineStr">
        <is>
          <t>Italy government bond</t>
        </is>
      </c>
      <c r="R548" t="inlineStr">
        <is>
          <t>EUR</t>
        </is>
      </c>
      <c r="S548" t="inlineStr">
        <is>
          <t>Investment Grade</t>
        </is>
      </c>
      <c r="T548" t="inlineStr">
        <is>
          <t>NR</t>
        </is>
      </c>
      <c r="U548" t="inlineStr">
        <is>
          <t>NR</t>
        </is>
      </c>
    </row>
    <row r="549">
      <c r="A549" t="inlineStr">
        <is>
          <t>XS2911044019</t>
        </is>
      </c>
      <c r="B549" t="inlineStr">
        <is>
          <t>Top Pick</t>
        </is>
      </c>
      <c r="C549" t="inlineStr">
        <is>
          <t>Abu Dhabi National Energ</t>
        </is>
      </c>
      <c r="D549" t="n">
        <v>4.375</v>
      </c>
      <c r="E549" t="inlineStr">
        <is>
          <t>Sr Unsecured</t>
        </is>
      </c>
      <c r="F549" t="inlineStr">
        <is>
          <t>09.10.2031</t>
        </is>
      </c>
      <c r="G549" t="inlineStr">
        <is>
          <t>U.A.E</t>
        </is>
      </c>
      <c r="H549" t="inlineStr">
        <is>
          <t>Utilities</t>
        </is>
      </c>
      <c r="I549" t="n">
        <v>200</v>
      </c>
      <c r="J549" t="n">
        <v>98.803</v>
      </c>
      <c r="K549" t="n">
        <v>4.596274</v>
      </c>
      <c r="L549" t="n">
        <v>-0.077172</v>
      </c>
      <c r="M549" t="n">
        <v>-0.160367</v>
      </c>
      <c r="N549" t="n">
        <v>53.64619019</v>
      </c>
      <c r="O549" t="n">
        <v>5.559109655</v>
      </c>
      <c r="P549" t="n">
        <v>0</v>
      </c>
      <c r="Q549" t="inlineStr">
        <is>
          <t>Romanian government bond</t>
        </is>
      </c>
      <c r="R549" t="inlineStr">
        <is>
          <t>USD</t>
        </is>
      </c>
      <c r="S549" t="inlineStr">
        <is>
          <t>Investment Grade</t>
        </is>
      </c>
      <c r="T549" t="inlineStr">
        <is>
          <t>AA-</t>
        </is>
      </c>
      <c r="U549" t="inlineStr">
        <is>
          <t>AA-</t>
        </is>
      </c>
    </row>
    <row r="550">
      <c r="A550" t="inlineStr">
        <is>
          <t>XS2997537357</t>
        </is>
      </c>
      <c r="B550" t="inlineStr">
        <is>
          <t xml:space="preserve">Hold </t>
        </is>
      </c>
      <c r="C550" t="inlineStr">
        <is>
          <t>Swedbank Ab</t>
        </is>
      </c>
      <c r="D550" t="n">
        <v>4.875</v>
      </c>
      <c r="E550" t="inlineStr">
        <is>
          <t>Sr Non Preferred</t>
        </is>
      </c>
      <c r="F550" t="inlineStr">
        <is>
          <t>11.10.2030</t>
        </is>
      </c>
      <c r="G550" t="inlineStr">
        <is>
          <t>Sweden</t>
        </is>
      </c>
      <c r="H550" t="inlineStr">
        <is>
          <t>Financial</t>
        </is>
      </c>
      <c r="I550" t="n">
        <v>100</v>
      </c>
      <c r="J550" t="n">
        <v>101.038</v>
      </c>
      <c r="K550" t="n">
        <v>4.602027</v>
      </c>
      <c r="L550" t="n">
        <v>-0.023796</v>
      </c>
      <c r="M550" t="n">
        <v>-0.267222</v>
      </c>
      <c r="N550" t="n">
        <v>53.42561452</v>
      </c>
      <c r="O550" t="n">
        <v>4.852515318</v>
      </c>
      <c r="P550" t="n">
        <v>0</v>
      </c>
      <c r="Q550" t="inlineStr">
        <is>
          <t xml:space="preserve">Sweden's largest savings bank </t>
        </is>
      </c>
      <c r="R550" t="inlineStr">
        <is>
          <t>GBP</t>
        </is>
      </c>
      <c r="S550" t="inlineStr">
        <is>
          <t>Investment Grade</t>
        </is>
      </c>
      <c r="T550" t="inlineStr">
        <is>
          <t>A</t>
        </is>
      </c>
      <c r="U550" t="inlineStr">
        <is>
          <t>A-</t>
        </is>
      </c>
    </row>
    <row r="551">
      <c r="A551" t="inlineStr">
        <is>
          <t>CH1264414348</t>
        </is>
      </c>
      <c r="B551" t="inlineStr">
        <is>
          <t>Hold</t>
        </is>
      </c>
      <c r="C551" t="inlineStr">
        <is>
          <t>Toyota Motor Finance Bv</t>
        </is>
      </c>
      <c r="D551" t="n">
        <v>2.13</v>
      </c>
      <c r="E551" t="inlineStr">
        <is>
          <t>Sr Unsecured</t>
        </is>
      </c>
      <c r="F551" t="inlineStr">
        <is>
          <t>15.06.2027</t>
        </is>
      </c>
      <c r="G551" t="inlineStr">
        <is>
          <t>Japan</t>
        </is>
      </c>
      <c r="H551" t="inlineStr">
        <is>
          <t>Consumer, Cyclical</t>
        </is>
      </c>
      <c r="I551" t="n">
        <v>5</v>
      </c>
      <c r="J551" t="n">
        <v>103.202</v>
      </c>
      <c r="K551" t="n">
        <v>0.462394</v>
      </c>
      <c r="L551" t="n">
        <v>0.038945</v>
      </c>
      <c r="M551" t="n">
        <v>0.112623</v>
      </c>
      <c r="N551" t="n">
        <v>53.37486118</v>
      </c>
      <c r="O551" t="n">
        <v>2.230589886</v>
      </c>
      <c r="P551" t="n">
        <v>80</v>
      </c>
      <c r="Q551" t="inlineStr">
        <is>
          <t>Japan's largest auto maker</t>
        </is>
      </c>
      <c r="R551" t="inlineStr">
        <is>
          <t>CHF</t>
        </is>
      </c>
      <c r="S551" t="inlineStr">
        <is>
          <t>Investment Grade</t>
        </is>
      </c>
      <c r="T551" t="inlineStr">
        <is>
          <t>A+</t>
        </is>
      </c>
      <c r="U551" t="inlineStr">
        <is>
          <t>A+</t>
        </is>
      </c>
    </row>
    <row r="552">
      <c r="A552" t="inlineStr">
        <is>
          <t>US459200KY61</t>
        </is>
      </c>
      <c r="B552" t="inlineStr">
        <is>
          <t>Hold</t>
        </is>
      </c>
      <c r="C552" t="inlineStr">
        <is>
          <t>Ibm Corp</t>
        </is>
      </c>
      <c r="D552" t="n">
        <v>4.75</v>
      </c>
      <c r="E552" t="inlineStr">
        <is>
          <t>Sr Unsecured</t>
        </is>
      </c>
      <c r="F552" t="inlineStr">
        <is>
          <t>06.02.2033</t>
        </is>
      </c>
      <c r="G552" t="inlineStr">
        <is>
          <t>United states</t>
        </is>
      </c>
      <c r="H552" t="inlineStr">
        <is>
          <t>Technology</t>
        </is>
      </c>
      <c r="I552" t="n">
        <v>100</v>
      </c>
      <c r="J552" t="n">
        <v>100.116</v>
      </c>
      <c r="K552" t="n">
        <v>4.731105</v>
      </c>
      <c r="L552" t="n">
        <v>0.006542</v>
      </c>
      <c r="M552" t="n">
        <v>-0.183659</v>
      </c>
      <c r="N552" t="n">
        <v>53.37354739</v>
      </c>
      <c r="O552" t="n">
        <v>6.524614844</v>
      </c>
      <c r="P552" t="n">
        <v>80</v>
      </c>
      <c r="Q552" t="inlineStr">
        <is>
          <t>International Business Machines Corporation (IBM) provides computer solutions</t>
        </is>
      </c>
      <c r="R552" t="inlineStr">
        <is>
          <t>USD</t>
        </is>
      </c>
      <c r="S552" t="inlineStr">
        <is>
          <t>Investment Grade</t>
        </is>
      </c>
      <c r="T552" t="inlineStr">
        <is>
          <t>A-</t>
        </is>
      </c>
      <c r="U552" t="inlineStr">
        <is>
          <t>A-</t>
        </is>
      </c>
    </row>
    <row r="553">
      <c r="A553" t="inlineStr">
        <is>
          <t>FR0013419736</t>
        </is>
      </c>
      <c r="B553" t="inlineStr">
        <is>
          <t>Hold</t>
        </is>
      </c>
      <c r="C553" t="inlineStr">
        <is>
          <t>Carrefour Sa</t>
        </is>
      </c>
      <c r="D553" t="n">
        <v>1</v>
      </c>
      <c r="E553" t="inlineStr">
        <is>
          <t>Sr Unsecured</t>
        </is>
      </c>
      <c r="F553" t="inlineStr">
        <is>
          <t>17.05.2027</t>
        </is>
      </c>
      <c r="G553" t="inlineStr">
        <is>
          <t>France</t>
        </is>
      </c>
      <c r="H553" t="inlineStr">
        <is>
          <t>Consumer, Non-cyclical</t>
        </is>
      </c>
      <c r="I553" t="n">
        <v>100</v>
      </c>
      <c r="J553" t="n">
        <v>97.499</v>
      </c>
      <c r="K553" t="n">
        <v>2.394094</v>
      </c>
      <c r="L553" t="n">
        <v>-0.07766000000000001</v>
      </c>
      <c r="M553" t="n">
        <v>-0.118119</v>
      </c>
      <c r="N553" t="n">
        <v>53.02775576</v>
      </c>
      <c r="O553" t="n">
        <v>2.135627847</v>
      </c>
      <c r="P553" t="n">
        <v>75</v>
      </c>
      <c r="Q553" t="inlineStr">
        <is>
          <t>French multinational retailer</t>
        </is>
      </c>
      <c r="R553" t="inlineStr">
        <is>
          <t>EUR</t>
        </is>
      </c>
      <c r="S553" t="inlineStr">
        <is>
          <t>Investment Grade</t>
        </is>
      </c>
      <c r="T553" t="inlineStr">
        <is>
          <t>NR</t>
        </is>
      </c>
      <c r="U553" t="inlineStr">
        <is>
          <t>NR</t>
        </is>
      </c>
    </row>
    <row r="554">
      <c r="A554" t="inlineStr">
        <is>
          <t>FR0014006CS9</t>
        </is>
      </c>
      <c r="B554" t="inlineStr">
        <is>
          <t>Hold</t>
        </is>
      </c>
      <c r="C554" t="inlineStr">
        <is>
          <t>Bouygues Sa</t>
        </is>
      </c>
      <c r="D554" t="n">
        <v>0.5</v>
      </c>
      <c r="E554" t="inlineStr">
        <is>
          <t>Sr Unsecured</t>
        </is>
      </c>
      <c r="F554" t="inlineStr">
        <is>
          <t>11.02.2030</t>
        </is>
      </c>
      <c r="G554" t="inlineStr">
        <is>
          <t>France</t>
        </is>
      </c>
      <c r="H554" t="inlineStr">
        <is>
          <t>Industrial</t>
        </is>
      </c>
      <c r="I554" t="n">
        <v>100</v>
      </c>
      <c r="J554" t="n">
        <v>90.297</v>
      </c>
      <c r="K554" t="n">
        <v>2.779171</v>
      </c>
      <c r="L554" t="n">
        <v>-0.014362</v>
      </c>
      <c r="M554" t="n">
        <v>-0.0047</v>
      </c>
      <c r="N554" t="n">
        <v>53.00754735</v>
      </c>
      <c r="O554" t="n">
        <v>4.770689813</v>
      </c>
      <c r="P554" t="n">
        <v>80</v>
      </c>
      <c r="Q554" t="inlineStr">
        <is>
          <t>Offers construction services, communications services, television programming</t>
        </is>
      </c>
      <c r="R554" t="inlineStr">
        <is>
          <t>EUR</t>
        </is>
      </c>
      <c r="S554" t="inlineStr">
        <is>
          <t>Investment Grade</t>
        </is>
      </c>
      <c r="T554" t="inlineStr">
        <is>
          <t>A-</t>
        </is>
      </c>
      <c r="U554" t="inlineStr">
        <is>
          <t>A-</t>
        </is>
      </c>
    </row>
    <row r="555">
      <c r="A555" t="inlineStr">
        <is>
          <t>XS1681521081</t>
        </is>
      </c>
      <c r="B555" t="inlineStr">
        <is>
          <t>Hold</t>
        </is>
      </c>
      <c r="C555" t="inlineStr">
        <is>
          <t>Telefonica Emisiones Sau</t>
        </is>
      </c>
      <c r="D555" t="n">
        <v>1.715</v>
      </c>
      <c r="E555" t="inlineStr">
        <is>
          <t>Sr Unsecured</t>
        </is>
      </c>
      <c r="F555" t="inlineStr">
        <is>
          <t>12.01.2028</t>
        </is>
      </c>
      <c r="G555" t="inlineStr">
        <is>
          <t>Spain</t>
        </is>
      </c>
      <c r="H555" t="inlineStr">
        <is>
          <t>Communications</t>
        </is>
      </c>
      <c r="I555" t="n">
        <v>100</v>
      </c>
      <c r="J555" t="n">
        <v>98.185</v>
      </c>
      <c r="K555" t="n">
        <v>2.466968</v>
      </c>
      <c r="L555" t="n">
        <v>-0.058075</v>
      </c>
      <c r="M555" t="n">
        <v>-0.076386</v>
      </c>
      <c r="N555" t="n">
        <v>52.86023257</v>
      </c>
      <c r="O555" t="n">
        <v>2.758744723</v>
      </c>
      <c r="P555" t="n">
        <v>60</v>
      </c>
      <c r="Q555" t="inlineStr">
        <is>
          <t>Leading Spanish telecom company with operations in Latin America</t>
        </is>
      </c>
      <c r="R555" t="inlineStr">
        <is>
          <t>EUR</t>
        </is>
      </c>
      <c r="S555" t="inlineStr">
        <is>
          <t>Investment Grade</t>
        </is>
      </c>
      <c r="T555" t="inlineStr">
        <is>
          <t>BBB-</t>
        </is>
      </c>
      <c r="U555" t="inlineStr">
        <is>
          <t>BBB-</t>
        </is>
      </c>
    </row>
    <row r="556">
      <c r="A556" t="inlineStr">
        <is>
          <t>XS2823302026</t>
        </is>
      </c>
      <c r="B556" t="inlineStr">
        <is>
          <t>Top Pick</t>
        </is>
      </c>
      <c r="C556" t="inlineStr">
        <is>
          <t>Toyota Motor Finance Bv</t>
        </is>
      </c>
      <c r="D556" t="n">
        <v>4.75</v>
      </c>
      <c r="E556" t="inlineStr">
        <is>
          <t>Sr Unsecured</t>
        </is>
      </c>
      <c r="F556" t="inlineStr">
        <is>
          <t>22.10.2029</t>
        </is>
      </c>
      <c r="G556" t="inlineStr">
        <is>
          <t>Japan</t>
        </is>
      </c>
      <c r="H556" t="inlineStr">
        <is>
          <t>Consumer, Cyclical</t>
        </is>
      </c>
      <c r="I556" t="n">
        <v>100</v>
      </c>
      <c r="J556" t="n">
        <v>101.184</v>
      </c>
      <c r="K556" t="n">
        <v>4.387314</v>
      </c>
      <c r="L556" t="n">
        <v>0.006731</v>
      </c>
      <c r="M556" t="n">
        <v>-0.263767</v>
      </c>
      <c r="N556" t="n">
        <v>52.81823285</v>
      </c>
      <c r="O556" t="n">
        <v>4.027740131</v>
      </c>
      <c r="P556" t="n">
        <v>80</v>
      </c>
      <c r="Q556" t="inlineStr">
        <is>
          <t>Japan's largest auto maker</t>
        </is>
      </c>
      <c r="R556" t="inlineStr">
        <is>
          <t>GBP</t>
        </is>
      </c>
      <c r="S556" t="inlineStr">
        <is>
          <t>Investment Grade</t>
        </is>
      </c>
      <c r="T556" t="inlineStr">
        <is>
          <t>A+</t>
        </is>
      </c>
      <c r="U556" t="inlineStr">
        <is>
          <t>A+</t>
        </is>
      </c>
    </row>
    <row r="557">
      <c r="A557" t="inlineStr">
        <is>
          <t>USG91139AD00</t>
        </is>
      </c>
      <c r="B557" t="inlineStr">
        <is>
          <t>Hold</t>
        </is>
      </c>
      <c r="C557" t="inlineStr">
        <is>
          <t>Tsmc Global Ltd</t>
        </is>
      </c>
      <c r="D557" t="n">
        <v>1</v>
      </c>
      <c r="E557" t="inlineStr">
        <is>
          <t>Sr Unsecured</t>
        </is>
      </c>
      <c r="F557" t="inlineStr">
        <is>
          <t>28.09.2027</t>
        </is>
      </c>
      <c r="G557" t="inlineStr">
        <is>
          <t>Taiwan</t>
        </is>
      </c>
      <c r="H557" t="inlineStr">
        <is>
          <t>Technology</t>
        </is>
      </c>
      <c r="I557" t="n">
        <v>200</v>
      </c>
      <c r="J557" t="n">
        <v>92.925</v>
      </c>
      <c r="K557" t="n">
        <v>4.374808</v>
      </c>
      <c r="L557" t="n">
        <v>0.080404</v>
      </c>
      <c r="M557" t="n">
        <v>-0.063914</v>
      </c>
      <c r="N557" t="n">
        <v>52.47220236</v>
      </c>
      <c r="O557" t="n">
        <v>2.504672342</v>
      </c>
      <c r="P557" t="n">
        <v>70</v>
      </c>
      <c r="Q557" t="inlineStr">
        <is>
          <t>Manufactures semiconductor devices</t>
        </is>
      </c>
      <c r="R557" t="inlineStr">
        <is>
          <t>USD</t>
        </is>
      </c>
      <c r="S557" t="inlineStr">
        <is>
          <t>Investment Grade</t>
        </is>
      </c>
      <c r="T557" t="inlineStr">
        <is>
          <t>AA-</t>
        </is>
      </c>
      <c r="U557" t="inlineStr">
        <is>
          <t>AA-</t>
        </is>
      </c>
    </row>
    <row r="558">
      <c r="A558" t="inlineStr">
        <is>
          <t xml:space="preserve"> XS2862984510</t>
        </is>
      </c>
      <c r="B558" t="inlineStr">
        <is>
          <t xml:space="preserve">Hold </t>
        </is>
      </c>
      <c r="C558" t="inlineStr">
        <is>
          <t>Enbw Intl Finance Bv</t>
        </is>
      </c>
      <c r="D558" t="n">
        <v>3.5</v>
      </c>
      <c r="E558" t="inlineStr">
        <is>
          <t>Sr Unsecured</t>
        </is>
      </c>
      <c r="F558" t="inlineStr">
        <is>
          <t>22.07.2031</t>
        </is>
      </c>
      <c r="G558" t="inlineStr">
        <is>
          <t>Germany</t>
        </is>
      </c>
      <c r="H558" t="inlineStr">
        <is>
          <t>Utilities</t>
        </is>
      </c>
      <c r="I558" t="n">
        <v>1</v>
      </c>
      <c r="J558" t="n">
        <v>102.769</v>
      </c>
      <c r="K558" t="n">
        <v>2.973541</v>
      </c>
      <c r="L558" t="n">
        <v>-0.072672</v>
      </c>
      <c r="M558" t="n">
        <v>-0.095522</v>
      </c>
      <c r="N558" t="n">
        <v>52.45091814</v>
      </c>
      <c r="O558" t="n">
        <v>5.369068578</v>
      </c>
      <c r="P558" t="n">
        <v>0</v>
      </c>
      <c r="Q558" t="inlineStr">
        <is>
          <t xml:space="preserve">German utility company </t>
        </is>
      </c>
      <c r="R558" t="inlineStr">
        <is>
          <t>EUR</t>
        </is>
      </c>
      <c r="S558" t="inlineStr">
        <is>
          <t>Investment Grade</t>
        </is>
      </c>
      <c r="T558" t="inlineStr">
        <is>
          <t>BBB+</t>
        </is>
      </c>
      <c r="U558" t="inlineStr">
        <is>
          <t>BBB+</t>
        </is>
      </c>
    </row>
    <row r="559">
      <c r="A559" t="inlineStr">
        <is>
          <t>US105756BX78</t>
        </is>
      </c>
      <c r="B559" t="inlineStr">
        <is>
          <t xml:space="preserve">Hold </t>
        </is>
      </c>
      <c r="C559" t="inlineStr">
        <is>
          <t>Fed Republic Of Brazil</t>
        </is>
      </c>
      <c r="D559" t="n">
        <v>6</v>
      </c>
      <c r="E559" t="inlineStr">
        <is>
          <t>Sr Unsecured</t>
        </is>
      </c>
      <c r="F559" t="inlineStr">
        <is>
          <t>07.04.2026</t>
        </is>
      </c>
      <c r="G559" t="inlineStr">
        <is>
          <t>Brazil</t>
        </is>
      </c>
      <c r="H559" t="inlineStr">
        <is>
          <t>Government</t>
        </is>
      </c>
      <c r="I559" t="n">
        <v>200</v>
      </c>
      <c r="J559" t="n">
        <v>100.985</v>
      </c>
      <c r="K559" t="n">
        <v>4.631815</v>
      </c>
      <c r="L559" t="n">
        <v>0.006636</v>
      </c>
      <c r="M559" t="n">
        <v>-0.119654</v>
      </c>
      <c r="N559" t="n">
        <v>52.35545264</v>
      </c>
      <c r="O559" t="n">
        <v>1.05934167</v>
      </c>
      <c r="P559" t="n">
        <v>25</v>
      </c>
      <c r="Q559" t="inlineStr">
        <is>
          <t>Brazilian Governemnt</t>
        </is>
      </c>
      <c r="R559" t="inlineStr">
        <is>
          <t>USD</t>
        </is>
      </c>
      <c r="S559" t="inlineStr">
        <is>
          <t>Latin America</t>
        </is>
      </c>
      <c r="T559" t="inlineStr">
        <is>
          <t>BB</t>
        </is>
      </c>
      <c r="U559" t="inlineStr">
        <is>
          <t>BB</t>
        </is>
      </c>
    </row>
    <row r="560">
      <c r="A560" t="inlineStr">
        <is>
          <t>CH1242301278</t>
        </is>
      </c>
      <c r="B560" t="inlineStr">
        <is>
          <t>Hold</t>
        </is>
      </c>
      <c r="C560" t="inlineStr">
        <is>
          <t>Swiss Life Holding Ag</t>
        </is>
      </c>
      <c r="D560" t="n">
        <v>2.2588</v>
      </c>
      <c r="E560" t="inlineStr">
        <is>
          <t>Sr Unsecured</t>
        </is>
      </c>
      <c r="F560" t="inlineStr">
        <is>
          <t>26.07.2028</t>
        </is>
      </c>
      <c r="G560" t="inlineStr">
        <is>
          <t>Switzerland</t>
        </is>
      </c>
      <c r="H560" t="inlineStr">
        <is>
          <t>Financial</t>
        </is>
      </c>
      <c r="I560" t="n">
        <v>5</v>
      </c>
      <c r="J560" t="n">
        <v>104.809</v>
      </c>
      <c r="K560" t="n">
        <v>0.519128</v>
      </c>
      <c r="L560" t="n">
        <v>0.022475</v>
      </c>
      <c r="M560" t="n">
        <v>0.186612</v>
      </c>
      <c r="N560" t="n">
        <v>52.27820048</v>
      </c>
      <c r="O560" t="n">
        <v>3.039539489</v>
      </c>
      <c r="P560" t="n">
        <v>80</v>
      </c>
      <c r="Q560" t="inlineStr">
        <is>
          <t>Provides life and property insurance</t>
        </is>
      </c>
      <c r="R560" t="inlineStr">
        <is>
          <t>CHF</t>
        </is>
      </c>
      <c r="S560" t="inlineStr">
        <is>
          <t>Investment Grade</t>
        </is>
      </c>
      <c r="T560" t="inlineStr">
        <is>
          <t>NR</t>
        </is>
      </c>
      <c r="U560" t="inlineStr">
        <is>
          <t>NR</t>
        </is>
      </c>
    </row>
    <row r="561">
      <c r="A561" t="inlineStr">
        <is>
          <t>XS2357494322</t>
        </is>
      </c>
      <c r="B561" t="inlineStr">
        <is>
          <t>Hold</t>
        </is>
      </c>
      <c r="C561" t="inlineStr">
        <is>
          <t>Qatar Energy</t>
        </is>
      </c>
      <c r="D561" t="n">
        <v>2.25</v>
      </c>
      <c r="E561" t="inlineStr">
        <is>
          <t>Sr Unsecured</t>
        </is>
      </c>
      <c r="F561" t="inlineStr">
        <is>
          <t>12.07.2031</t>
        </is>
      </c>
      <c r="G561" t="inlineStr">
        <is>
          <t>Qatar</t>
        </is>
      </c>
      <c r="H561" t="inlineStr">
        <is>
          <t>Energy</t>
        </is>
      </c>
      <c r="I561" t="n">
        <v>200</v>
      </c>
      <c r="J561" t="n">
        <v>87.95</v>
      </c>
      <c r="K561" t="n">
        <v>4.565723</v>
      </c>
      <c r="L561" t="n">
        <v>-0.023625</v>
      </c>
      <c r="M561" t="n">
        <v>-0.062115</v>
      </c>
      <c r="N561" t="n">
        <v>52.05855421</v>
      </c>
      <c r="O561" t="n">
        <v>5.776413271</v>
      </c>
      <c r="P561" t="n">
        <v>85</v>
      </c>
      <c r="Q561" t="inlineStr">
        <is>
          <t xml:space="preserve">Qatari fully state-owned integrated energy company </t>
        </is>
      </c>
      <c r="R561" t="inlineStr">
        <is>
          <t>USD</t>
        </is>
      </c>
      <c r="S561" t="inlineStr">
        <is>
          <t>Investment Grade</t>
        </is>
      </c>
      <c r="T561" t="inlineStr">
        <is>
          <t>AA</t>
        </is>
      </c>
      <c r="U561" t="inlineStr">
        <is>
          <t>AA</t>
        </is>
      </c>
    </row>
    <row r="562">
      <c r="A562" t="inlineStr">
        <is>
          <t>US718172DN66</t>
        </is>
      </c>
      <c r="B562" t="inlineStr">
        <is>
          <t>Top Pick</t>
        </is>
      </c>
      <c r="C562" t="inlineStr">
        <is>
          <t>Philip Morris Intl Inc</t>
        </is>
      </c>
      <c r="D562" t="n">
        <v>4.625</v>
      </c>
      <c r="E562" t="inlineStr">
        <is>
          <t>Sr Unsecured</t>
        </is>
      </c>
      <c r="F562" t="inlineStr">
        <is>
          <t>01.11.2029</t>
        </is>
      </c>
      <c r="G562" t="inlineStr">
        <is>
          <t>United states</t>
        </is>
      </c>
      <c r="H562" t="inlineStr">
        <is>
          <t>Consumer, Non-cyclical</t>
        </is>
      </c>
      <c r="I562" t="n">
        <v>2</v>
      </c>
      <c r="J562" t="n">
        <v>100.723</v>
      </c>
      <c r="K562" t="n">
        <v>4.434772</v>
      </c>
      <c r="L562" t="n">
        <v>0.030279</v>
      </c>
      <c r="M562" t="n">
        <v>-0.119522</v>
      </c>
      <c r="N562" t="n">
        <v>51.82612994</v>
      </c>
      <c r="O562" t="n">
        <v>4.114385928</v>
      </c>
      <c r="P562" t="n">
        <v>0</v>
      </c>
      <c r="Q562" t="inlineStr">
        <is>
          <t>World's leading international tobacco company</t>
        </is>
      </c>
      <c r="R562" t="inlineStr">
        <is>
          <t>USD</t>
        </is>
      </c>
      <c r="S562" t="inlineStr">
        <is>
          <t>Investment Grade</t>
        </is>
      </c>
      <c r="T562" t="inlineStr">
        <is>
          <t>A-</t>
        </is>
      </c>
      <c r="U562" t="inlineStr">
        <is>
          <t>A-</t>
        </is>
      </c>
    </row>
    <row r="563">
      <c r="A563" t="inlineStr">
        <is>
          <t>XS2154419118</t>
        </is>
      </c>
      <c r="B563" t="inlineStr">
        <is>
          <t xml:space="preserve">Hold </t>
        </is>
      </c>
      <c r="C563" t="inlineStr">
        <is>
          <t>Shell International Fin</t>
        </is>
      </c>
      <c r="D563" t="n">
        <v>1.875</v>
      </c>
      <c r="E563" t="inlineStr">
        <is>
          <t>Sr Unsecured</t>
        </is>
      </c>
      <c r="F563" t="inlineStr">
        <is>
          <t>07.04.2032</t>
        </is>
      </c>
      <c r="G563" t="inlineStr">
        <is>
          <t>United states</t>
        </is>
      </c>
      <c r="H563" t="inlineStr">
        <is>
          <t>Energy</t>
        </is>
      </c>
      <c r="I563" t="n">
        <v>100</v>
      </c>
      <c r="J563" t="n">
        <v>92.908</v>
      </c>
      <c r="K563" t="n">
        <v>3.053517</v>
      </c>
      <c r="L563" t="n">
        <v>-0.022097</v>
      </c>
      <c r="M563" t="n">
        <v>-0.005662</v>
      </c>
      <c r="N563" t="n">
        <v>51.56424461</v>
      </c>
      <c r="O563" t="n">
        <v>6.394957587</v>
      </c>
      <c r="P563" t="n">
        <v>0</v>
      </c>
      <c r="Q563" t="inlineStr">
        <is>
          <t>One of the largest and most geographically diversified integrated oil companies</t>
        </is>
      </c>
      <c r="R563" t="inlineStr">
        <is>
          <t>EUR</t>
        </is>
      </c>
      <c r="S563" t="inlineStr">
        <is>
          <t>Investment Grade</t>
        </is>
      </c>
      <c r="T563" t="inlineStr">
        <is>
          <t>AA-</t>
        </is>
      </c>
      <c r="U563" t="inlineStr">
        <is>
          <t>AA-</t>
        </is>
      </c>
    </row>
    <row r="564">
      <c r="A564" t="inlineStr">
        <is>
          <t>US87264ADL61</t>
        </is>
      </c>
      <c r="B564" t="inlineStr">
        <is>
          <t xml:space="preserve">Hold </t>
        </is>
      </c>
      <c r="C564" t="inlineStr">
        <is>
          <t>T-Mobile Usa Inc</t>
        </is>
      </c>
      <c r="D564" t="n">
        <v>4.2</v>
      </c>
      <c r="E564" t="inlineStr">
        <is>
          <t>Sr Unsecured</t>
        </is>
      </c>
      <c r="F564" t="inlineStr">
        <is>
          <t>01.10.2029</t>
        </is>
      </c>
      <c r="G564" t="inlineStr">
        <is>
          <t>United states</t>
        </is>
      </c>
      <c r="H564" t="inlineStr">
        <is>
          <t>Communications</t>
        </is>
      </c>
      <c r="I564" t="n">
        <v>2</v>
      </c>
      <c r="J564" t="n">
        <v>99.13</v>
      </c>
      <c r="K564" t="n">
        <v>4.426267</v>
      </c>
      <c r="L564" t="n">
        <v>-0.004026</v>
      </c>
      <c r="M564" t="n">
        <v>-0.162845</v>
      </c>
      <c r="N564" t="n">
        <v>51.46390216</v>
      </c>
      <c r="O564" t="n">
        <v>4.062217211</v>
      </c>
      <c r="P564" t="n">
        <v>0</v>
      </c>
      <c r="Q564" t="inlineStr">
        <is>
          <t>Provides telecommunications services</t>
        </is>
      </c>
      <c r="R564" t="inlineStr">
        <is>
          <t>USD</t>
        </is>
      </c>
      <c r="S564" t="inlineStr">
        <is>
          <t>Investment Grade</t>
        </is>
      </c>
      <c r="T564" t="inlineStr">
        <is>
          <t>BBB</t>
        </is>
      </c>
      <c r="U564" t="inlineStr">
        <is>
          <t>BBB</t>
        </is>
      </c>
    </row>
    <row r="565">
      <c r="A565" t="inlineStr">
        <is>
          <t xml:space="preserve"> XS2942478822</t>
        </is>
      </c>
      <c r="B565" t="inlineStr">
        <is>
          <t xml:space="preserve">Hold </t>
        </is>
      </c>
      <c r="C565" t="inlineStr">
        <is>
          <t>Enbw Intl Finance Bv</t>
        </is>
      </c>
      <c r="D565" t="n">
        <v>3</v>
      </c>
      <c r="E565" t="inlineStr">
        <is>
          <t>Sr Unsecured</t>
        </is>
      </c>
      <c r="F565" t="inlineStr">
        <is>
          <t>20.05.2029</t>
        </is>
      </c>
      <c r="G565" t="inlineStr">
        <is>
          <t>Germany</t>
        </is>
      </c>
      <c r="H565" t="inlineStr">
        <is>
          <t>Utilities</t>
        </is>
      </c>
      <c r="I565" t="n">
        <v>1</v>
      </c>
      <c r="J565" t="n">
        <v>101.271</v>
      </c>
      <c r="K565" t="n">
        <v>2.641942</v>
      </c>
      <c r="L565" t="n">
        <v>-0.057792</v>
      </c>
      <c r="M565" t="n">
        <v>-0.074488</v>
      </c>
      <c r="N565" t="n">
        <v>51.43822003</v>
      </c>
      <c r="O565" t="n">
        <v>3.889339487</v>
      </c>
      <c r="P565" t="n">
        <v>0</v>
      </c>
      <c r="Q565" t="inlineStr">
        <is>
          <t xml:space="preserve">German utility company </t>
        </is>
      </c>
      <c r="R565" t="inlineStr">
        <is>
          <t>EUR</t>
        </is>
      </c>
      <c r="S565" t="inlineStr">
        <is>
          <t>Investment Grade</t>
        </is>
      </c>
      <c r="T565" t="inlineStr">
        <is>
          <t>BBB+</t>
        </is>
      </c>
      <c r="U565" t="inlineStr">
        <is>
          <t>BBB+</t>
        </is>
      </c>
    </row>
    <row r="566">
      <c r="A566" t="inlineStr">
        <is>
          <t>FR0013417128</t>
        </is>
      </c>
      <c r="B566" t="inlineStr">
        <is>
          <t>Hold</t>
        </is>
      </c>
      <c r="C566" t="inlineStr">
        <is>
          <t>Wendel Se</t>
        </is>
      </c>
      <c r="D566" t="n">
        <v>1.375</v>
      </c>
      <c r="E566" t="inlineStr">
        <is>
          <t>Sr Preferred</t>
        </is>
      </c>
      <c r="F566" t="inlineStr">
        <is>
          <t>26.04.2026</t>
        </is>
      </c>
      <c r="G566" t="inlineStr">
        <is>
          <t>France</t>
        </is>
      </c>
      <c r="H566" t="inlineStr">
        <is>
          <t>Financial</t>
        </is>
      </c>
      <c r="I566" t="n">
        <v>100</v>
      </c>
      <c r="J566" t="n">
        <v>99.236</v>
      </c>
      <c r="K566" t="n">
        <v>2.350851</v>
      </c>
      <c r="L566" t="n">
        <v>-0.11456</v>
      </c>
      <c r="M566" t="n">
        <v>-0.116034</v>
      </c>
      <c r="N566" t="n">
        <v>51.08239617</v>
      </c>
      <c r="O566" t="n">
        <v>1.123210646</v>
      </c>
      <c r="P566" t="n">
        <v>80</v>
      </c>
      <c r="Q566" t="inlineStr">
        <is>
          <t>French investment firm that invest in industrial and services companies</t>
        </is>
      </c>
      <c r="R566" t="inlineStr">
        <is>
          <t>EUR</t>
        </is>
      </c>
      <c r="S566" t="inlineStr">
        <is>
          <t>Investment Grade</t>
        </is>
      </c>
      <c r="T566" t="inlineStr">
        <is>
          <t>NR</t>
        </is>
      </c>
      <c r="U566" t="inlineStr">
        <is>
          <t>NR</t>
        </is>
      </c>
    </row>
    <row r="567">
      <c r="A567" t="inlineStr">
        <is>
          <t>XS1567174286</t>
        </is>
      </c>
      <c r="B567" t="inlineStr">
        <is>
          <t>Hold</t>
        </is>
      </c>
      <c r="C567" t="inlineStr">
        <is>
          <t>Mckesson Corp</t>
        </is>
      </c>
      <c r="D567" t="n">
        <v>1.5</v>
      </c>
      <c r="E567" t="inlineStr">
        <is>
          <t>Sr Unsecured</t>
        </is>
      </c>
      <c r="F567" t="inlineStr">
        <is>
          <t>17.11.2025</t>
        </is>
      </c>
      <c r="G567" t="inlineStr">
        <is>
          <t>United states</t>
        </is>
      </c>
      <c r="H567" t="inlineStr">
        <is>
          <t>Consumer, Non-cyclical</t>
        </is>
      </c>
      <c r="I567" t="n">
        <v>100</v>
      </c>
      <c r="J567" t="n">
        <v>99.693</v>
      </c>
      <c r="K567" t="n">
        <v>2.357654</v>
      </c>
      <c r="L567" t="n">
        <v>-0.04821</v>
      </c>
      <c r="M567" t="n">
        <v>-0.029852</v>
      </c>
      <c r="N567" t="n">
        <v>51.06593831</v>
      </c>
      <c r="O567" t="n">
        <v>0.715856456</v>
      </c>
      <c r="P567" t="n">
        <v>80</v>
      </c>
      <c r="Q567" t="inlineStr">
        <is>
          <t>Distributor of pharmaceuticals and medical-surgical supplies.</t>
        </is>
      </c>
      <c r="R567" t="inlineStr">
        <is>
          <t>EUR</t>
        </is>
      </c>
      <c r="S567" t="inlineStr">
        <is>
          <t>Investment Grade</t>
        </is>
      </c>
      <c r="T567" t="inlineStr">
        <is>
          <t>BBB+</t>
        </is>
      </c>
      <c r="U567" t="inlineStr">
        <is>
          <t>BBB+</t>
        </is>
      </c>
    </row>
    <row r="568">
      <c r="A568" t="inlineStr">
        <is>
          <t>USU1300RAL60</t>
        </is>
      </c>
      <c r="B568" t="inlineStr">
        <is>
          <t>Hold</t>
        </is>
      </c>
      <c r="C568" t="inlineStr">
        <is>
          <t>Energy Transfer Lp</t>
        </is>
      </c>
      <c r="D568" t="n">
        <v>7.375</v>
      </c>
      <c r="E568" t="inlineStr">
        <is>
          <t>Sr Unsecured</t>
        </is>
      </c>
      <c r="F568" t="inlineStr">
        <is>
          <t>01.02.2031</t>
        </is>
      </c>
      <c r="G568" t="inlineStr">
        <is>
          <t>United states</t>
        </is>
      </c>
      <c r="H568" t="inlineStr">
        <is>
          <t>Energy</t>
        </is>
      </c>
      <c r="I568" t="n">
        <v>2</v>
      </c>
      <c r="J568" t="n">
        <v>104.738</v>
      </c>
      <c r="K568" t="n">
        <v>5.258062</v>
      </c>
      <c r="L568" t="n">
        <v>0.040046</v>
      </c>
      <c r="M568" t="n">
        <v>-0.037528</v>
      </c>
      <c r="N568" t="n">
        <v>50.74837167</v>
      </c>
      <c r="O568" t="n">
        <v>1.795569358</v>
      </c>
      <c r="P568" t="n">
        <v>0</v>
      </c>
      <c r="Q568" t="inlineStr">
        <is>
          <t xml:space="preserve">US midstream in pipeline and storage </t>
        </is>
      </c>
      <c r="R568" t="inlineStr">
        <is>
          <t>USD</t>
        </is>
      </c>
      <c r="S568" t="inlineStr">
        <is>
          <t>Investment Grade</t>
        </is>
      </c>
      <c r="T568" t="inlineStr">
        <is>
          <t>BBB</t>
        </is>
      </c>
      <c r="U568" t="inlineStr">
        <is>
          <t>BBB</t>
        </is>
      </c>
    </row>
    <row r="569">
      <c r="A569" t="inlineStr">
        <is>
          <t>US05584KAN81</t>
        </is>
      </c>
      <c r="B569" t="inlineStr">
        <is>
          <t>Hold</t>
        </is>
      </c>
      <c r="C569" t="inlineStr">
        <is>
          <t>Bpce Sa</t>
        </is>
      </c>
      <c r="D569" t="n">
        <v>5.975</v>
      </c>
      <c r="E569" t="inlineStr">
        <is>
          <t>Sr Non Preferred</t>
        </is>
      </c>
      <c r="F569" t="inlineStr">
        <is>
          <t>18.01.2027</t>
        </is>
      </c>
      <c r="G569" t="inlineStr">
        <is>
          <t>France</t>
        </is>
      </c>
      <c r="H569" t="inlineStr">
        <is>
          <t>Financial</t>
        </is>
      </c>
      <c r="I569" t="n">
        <v>250</v>
      </c>
      <c r="J569" t="n">
        <v>100.61</v>
      </c>
      <c r="K569" t="n">
        <v>4.786195</v>
      </c>
      <c r="L569" t="n">
        <v>0.027898</v>
      </c>
      <c r="M569" t="n">
        <v>-0.158824</v>
      </c>
      <c r="N569" t="n">
        <v>50.43424967</v>
      </c>
      <c r="O569" t="n">
        <v>0.872938984</v>
      </c>
      <c r="P569" t="n">
        <v>80</v>
      </c>
      <c r="Q569" t="inlineStr">
        <is>
          <t>One of the largest French retail banks</t>
        </is>
      </c>
      <c r="R569" t="inlineStr">
        <is>
          <t>USD</t>
        </is>
      </c>
      <c r="S569" t="inlineStr">
        <is>
          <t>Investment Grade</t>
        </is>
      </c>
      <c r="T569" t="inlineStr">
        <is>
          <t>BBB+</t>
        </is>
      </c>
      <c r="U569" t="inlineStr">
        <is>
          <t>BBB+</t>
        </is>
      </c>
    </row>
    <row r="570">
      <c r="A570" t="inlineStr">
        <is>
          <t xml:space="preserve"> XS2482887879</t>
        </is>
      </c>
      <c r="B570" t="inlineStr">
        <is>
          <t xml:space="preserve">Hold </t>
        </is>
      </c>
      <c r="C570" t="inlineStr">
        <is>
          <t>Rwe Ag</t>
        </is>
      </c>
      <c r="D570" t="n">
        <v>2.75</v>
      </c>
      <c r="E570" t="inlineStr">
        <is>
          <t>Sr Unsecured</t>
        </is>
      </c>
      <c r="F570" t="inlineStr">
        <is>
          <t>24.05.2030</t>
        </is>
      </c>
      <c r="G570" t="inlineStr">
        <is>
          <t>Germany</t>
        </is>
      </c>
      <c r="H570" t="inlineStr">
        <is>
          <t>Utilities</t>
        </is>
      </c>
      <c r="I570" t="n">
        <v>1</v>
      </c>
      <c r="J570" t="n">
        <v>99.8</v>
      </c>
      <c r="K570" t="n">
        <v>2.793536</v>
      </c>
      <c r="L570" t="n">
        <v>-0.047413</v>
      </c>
      <c r="M570" t="n">
        <v>-0.005578</v>
      </c>
      <c r="N570" t="n">
        <v>50.34162316</v>
      </c>
      <c r="O570" t="n">
        <v>4.714821029</v>
      </c>
      <c r="P570" t="n">
        <v>0</v>
      </c>
      <c r="Q570" t="inlineStr">
        <is>
          <t xml:space="preserve">German utility company </t>
        </is>
      </c>
      <c r="R570" t="inlineStr">
        <is>
          <t>EUR</t>
        </is>
      </c>
      <c r="S570" t="inlineStr">
        <is>
          <t>Investment Grade</t>
        </is>
      </c>
      <c r="T570" t="inlineStr">
        <is>
          <t>BBB</t>
        </is>
      </c>
      <c r="U570" t="inlineStr">
        <is>
          <t>BBB</t>
        </is>
      </c>
    </row>
    <row r="571">
      <c r="A571" t="inlineStr">
        <is>
          <t>USP2000TAA36</t>
        </is>
      </c>
      <c r="B571" t="inlineStr">
        <is>
          <t>Hold</t>
        </is>
      </c>
      <c r="C571" t="inlineStr">
        <is>
          <t>Banco Do Brasil (Cayman)</t>
        </is>
      </c>
      <c r="D571" t="n">
        <v>3.25</v>
      </c>
      <c r="E571" t="inlineStr">
        <is>
          <t>Sr Unsecured</t>
        </is>
      </c>
      <c r="F571" t="inlineStr">
        <is>
          <t>30.09.2026</t>
        </is>
      </c>
      <c r="G571" t="inlineStr">
        <is>
          <t>Brazil</t>
        </is>
      </c>
      <c r="H571" t="inlineStr">
        <is>
          <t>Financial</t>
        </is>
      </c>
      <c r="I571" t="n">
        <v>200</v>
      </c>
      <c r="J571" t="n">
        <v>98.554</v>
      </c>
      <c r="K571" t="n">
        <v>4.469688</v>
      </c>
      <c r="L571" t="n">
        <v>0.023217</v>
      </c>
      <c r="M571" t="n">
        <v>-0.144608</v>
      </c>
      <c r="N571" t="n">
        <v>50.29355985</v>
      </c>
      <c r="O571" t="n">
        <v>1.523750068</v>
      </c>
      <c r="P571" t="n">
        <v>25</v>
      </c>
      <c r="Q571" t="inlineStr">
        <is>
          <t>Largest Brazilian and Latin American bank by assets</t>
        </is>
      </c>
      <c r="R571" t="inlineStr">
        <is>
          <t>USD</t>
        </is>
      </c>
      <c r="S571" t="inlineStr">
        <is>
          <t>Latin America</t>
        </is>
      </c>
      <c r="T571" t="inlineStr">
        <is>
          <t>BB</t>
        </is>
      </c>
      <c r="U571" t="inlineStr">
        <is>
          <t>BB</t>
        </is>
      </c>
    </row>
    <row r="572">
      <c r="A572" t="inlineStr">
        <is>
          <t>US05526DBJ37</t>
        </is>
      </c>
      <c r="B572" t="inlineStr">
        <is>
          <t>Top Pick</t>
        </is>
      </c>
      <c r="C572" t="inlineStr">
        <is>
          <t>Bat Capital Corp</t>
        </is>
      </c>
      <c r="D572" t="n">
        <v>3.215</v>
      </c>
      <c r="E572" t="inlineStr">
        <is>
          <t>Sr Unsecured</t>
        </is>
      </c>
      <c r="F572" t="inlineStr">
        <is>
          <t>06.09.2026</t>
        </is>
      </c>
      <c r="G572" t="inlineStr">
        <is>
          <t>United Kingdom</t>
        </is>
      </c>
      <c r="H572" t="inlineStr">
        <is>
          <t>Consumer, Non-cyclical</t>
        </is>
      </c>
      <c r="I572" t="n">
        <v>2</v>
      </c>
      <c r="J572" t="n">
        <v>98.562</v>
      </c>
      <c r="K572" t="n">
        <v>4.496455</v>
      </c>
      <c r="L572" t="n">
        <v>0.029018</v>
      </c>
      <c r="M572" t="n">
        <v>-0.150447</v>
      </c>
      <c r="N572" t="n">
        <v>50.25617225</v>
      </c>
      <c r="O572" t="n">
        <v>1.459300418</v>
      </c>
      <c r="P572" t="n">
        <v>60</v>
      </c>
      <c r="Q572" t="inlineStr">
        <is>
          <t>Tobacco company</t>
        </is>
      </c>
      <c r="R572" t="inlineStr">
        <is>
          <t>USD</t>
        </is>
      </c>
      <c r="S572" t="inlineStr">
        <is>
          <t>Investment Grade</t>
        </is>
      </c>
      <c r="T572" t="inlineStr">
        <is>
          <t>BBB+</t>
        </is>
      </c>
      <c r="U572" t="inlineStr">
        <is>
          <t>BBB+</t>
        </is>
      </c>
    </row>
    <row r="573">
      <c r="A573" t="inlineStr">
        <is>
          <t>XS2133071774</t>
        </is>
      </c>
      <c r="B573" t="inlineStr">
        <is>
          <t>Hold</t>
        </is>
      </c>
      <c r="C573" t="inlineStr">
        <is>
          <t>Carlsberg Breweries A/S</t>
        </is>
      </c>
      <c r="D573" t="n">
        <v>0.625</v>
      </c>
      <c r="E573" t="inlineStr">
        <is>
          <t>Sr Unsecured</t>
        </is>
      </c>
      <c r="F573" t="inlineStr">
        <is>
          <t>09.03.2030</t>
        </is>
      </c>
      <c r="G573" t="inlineStr">
        <is>
          <t>Denmark</t>
        </is>
      </c>
      <c r="H573" t="inlineStr">
        <is>
          <t>Consumer, Non-cyclical</t>
        </is>
      </c>
      <c r="I573" t="n">
        <v>100</v>
      </c>
      <c r="J573" t="n">
        <v>90.777</v>
      </c>
      <c r="K573" t="n">
        <v>2.759319</v>
      </c>
      <c r="L573" t="n">
        <v>-0.086564</v>
      </c>
      <c r="M573" t="n">
        <v>-0.09296599999999999</v>
      </c>
      <c r="N573" t="n">
        <v>50.08498947</v>
      </c>
      <c r="O573" t="n">
        <v>4.789453746</v>
      </c>
      <c r="P573" t="n">
        <v>60</v>
      </c>
      <c r="Q573" t="inlineStr">
        <is>
          <t>Provides alcoholic beverages</t>
        </is>
      </c>
      <c r="R573" t="inlineStr">
        <is>
          <t>EUR</t>
        </is>
      </c>
      <c r="S573" t="inlineStr">
        <is>
          <t>Investment Grade</t>
        </is>
      </c>
      <c r="T573" t="inlineStr">
        <is>
          <t>BBB+</t>
        </is>
      </c>
      <c r="U573" t="inlineStr">
        <is>
          <t>BBB+</t>
        </is>
      </c>
    </row>
    <row r="574">
      <c r="A574" t="inlineStr">
        <is>
          <t>XS2447602793</t>
        </is>
      </c>
      <c r="B574" t="inlineStr">
        <is>
          <t>Hold</t>
        </is>
      </c>
      <c r="C574" t="inlineStr">
        <is>
          <t>Republic Of Poland</t>
        </is>
      </c>
      <c r="D574" t="n">
        <v>2.75</v>
      </c>
      <c r="E574" t="inlineStr">
        <is>
          <t>Sr Unsecured</t>
        </is>
      </c>
      <c r="F574" t="inlineStr">
        <is>
          <t>25.05.2032</t>
        </is>
      </c>
      <c r="G574" t="inlineStr">
        <is>
          <t>Poland</t>
        </is>
      </c>
      <c r="H574" t="inlineStr">
        <is>
          <t>Government</t>
        </is>
      </c>
      <c r="I574" t="n">
        <v>1</v>
      </c>
      <c r="J574" t="n">
        <v>98.224</v>
      </c>
      <c r="K574" t="n">
        <v>3.039359</v>
      </c>
      <c r="L574" t="n">
        <v>-0.003138</v>
      </c>
      <c r="M574" t="n">
        <v>-0.031005</v>
      </c>
      <c r="N574" t="n">
        <v>49.74853372</v>
      </c>
      <c r="O574" t="n">
        <v>6.337798093</v>
      </c>
      <c r="P574" t="n">
        <v>80</v>
      </c>
      <c r="Q574" t="inlineStr">
        <is>
          <t>Poland government bond</t>
        </is>
      </c>
      <c r="R574" t="inlineStr">
        <is>
          <t>EUR</t>
        </is>
      </c>
      <c r="S574" t="inlineStr">
        <is>
          <t>Investment Grade</t>
        </is>
      </c>
      <c r="T574" t="inlineStr">
        <is>
          <t>A-</t>
        </is>
      </c>
      <c r="U574" t="inlineStr">
        <is>
          <t>A-</t>
        </is>
      </c>
    </row>
    <row r="575">
      <c r="A575" t="inlineStr">
        <is>
          <t>US91159HJA95</t>
        </is>
      </c>
      <c r="B575" t="inlineStr">
        <is>
          <t>Hold</t>
        </is>
      </c>
      <c r="C575" t="inlineStr">
        <is>
          <t>Us Bancorp</t>
        </is>
      </c>
      <c r="D575" t="n">
        <v>1.375</v>
      </c>
      <c r="E575" t="inlineStr">
        <is>
          <t>Sr Unsecured</t>
        </is>
      </c>
      <c r="F575" t="inlineStr">
        <is>
          <t>22.07.2030</t>
        </is>
      </c>
      <c r="G575" t="inlineStr">
        <is>
          <t>United states</t>
        </is>
      </c>
      <c r="H575" t="inlineStr">
        <is>
          <t>Financial</t>
        </is>
      </c>
      <c r="I575" t="n">
        <v>1</v>
      </c>
      <c r="J575" t="n">
        <v>86.336</v>
      </c>
      <c r="K575" t="n">
        <v>4.430322</v>
      </c>
      <c r="L575" t="n">
        <v>-0.003165</v>
      </c>
      <c r="M575" t="n">
        <v>-0.20636</v>
      </c>
      <c r="N575" t="n">
        <v>49.66769396</v>
      </c>
      <c r="O575" t="n">
        <v>5.087323453</v>
      </c>
      <c r="P575" t="n">
        <v>80</v>
      </c>
      <c r="Q575" t="inlineStr">
        <is>
          <t xml:space="preserve">U.S Bancorp is a diversified financial services company </t>
        </is>
      </c>
      <c r="R575" t="inlineStr">
        <is>
          <t>USD</t>
        </is>
      </c>
      <c r="S575" t="inlineStr">
        <is>
          <t>Investment Grade</t>
        </is>
      </c>
      <c r="T575" t="inlineStr">
        <is>
          <t>A</t>
        </is>
      </c>
      <c r="U575" t="inlineStr">
        <is>
          <t>A</t>
        </is>
      </c>
    </row>
    <row r="576">
      <c r="A576" t="inlineStr">
        <is>
          <t>XS1840618059</t>
        </is>
      </c>
      <c r="B576" t="inlineStr">
        <is>
          <t xml:space="preserve">Not accumulate </t>
        </is>
      </c>
      <c r="C576" t="inlineStr">
        <is>
          <t>Bayer Capital Corp Bv</t>
        </is>
      </c>
      <c r="D576" t="n">
        <v>1.5</v>
      </c>
      <c r="E576" t="inlineStr">
        <is>
          <t>Sr Unsecured</t>
        </is>
      </c>
      <c r="F576" t="inlineStr">
        <is>
          <t>26.06.2026</t>
        </is>
      </c>
      <c r="G576" t="inlineStr">
        <is>
          <t>Germany</t>
        </is>
      </c>
      <c r="H576" t="inlineStr">
        <is>
          <t>Consumer, Non-cyclical</t>
        </is>
      </c>
      <c r="I576" t="n">
        <v>100</v>
      </c>
      <c r="J576" t="n">
        <v>99.215</v>
      </c>
      <c r="K576" t="n">
        <v>2.33254</v>
      </c>
      <c r="L576" t="n">
        <v>-0.052238</v>
      </c>
      <c r="M576" t="n">
        <v>-0.164846</v>
      </c>
      <c r="N576" t="n">
        <v>49.48770682</v>
      </c>
      <c r="O576" t="n">
        <v>1.284389514</v>
      </c>
      <c r="P576" t="n">
        <v>60</v>
      </c>
      <c r="Q576" t="inlineStr">
        <is>
          <t>Multinational pharmaceutical and life sciences company</t>
        </is>
      </c>
      <c r="R576" t="inlineStr">
        <is>
          <t>EUR</t>
        </is>
      </c>
      <c r="S576" t="inlineStr">
        <is>
          <t>Investment Grade</t>
        </is>
      </c>
      <c r="T576" t="inlineStr">
        <is>
          <t>BBB</t>
        </is>
      </c>
      <c r="U576" t="inlineStr">
        <is>
          <t>BBB</t>
        </is>
      </c>
    </row>
    <row r="577" ht="43.2" customHeight="1">
      <c r="A577" t="inlineStr">
        <is>
          <t xml:space="preserve"> XS2856698126</t>
        </is>
      </c>
      <c r="B577" t="inlineStr">
        <is>
          <t>Hold</t>
        </is>
      </c>
      <c r="C577" t="inlineStr">
        <is>
          <t>John Deere Capital Corp</t>
        </is>
      </c>
      <c r="D577" t="n">
        <v>3.45</v>
      </c>
      <c r="E577" t="inlineStr">
        <is>
          <t>Sr Unsecured</t>
        </is>
      </c>
      <c r="F577" t="inlineStr">
        <is>
          <t>16.07.2032</t>
        </is>
      </c>
      <c r="G577" t="inlineStr">
        <is>
          <t>United states</t>
        </is>
      </c>
      <c r="H577" t="inlineStr">
        <is>
          <t>Industrial</t>
        </is>
      </c>
      <c r="I577" t="n">
        <v>100</v>
      </c>
      <c r="J577" t="n">
        <v>102.545</v>
      </c>
      <c r="K577" t="n">
        <v>3.041796</v>
      </c>
      <c r="L577" t="n">
        <v>-0.06458999999999999</v>
      </c>
      <c r="M577" t="n">
        <v>-0.026106</v>
      </c>
      <c r="N577" t="n">
        <v>49.24544011</v>
      </c>
      <c r="O577" t="n">
        <v>6.32641227</v>
      </c>
      <c r="P577" t="n">
        <v>75</v>
      </c>
      <c r="Q577" s="40" t="inlineStr">
        <is>
          <t>Manufactures agricultural machinery and parts</t>
        </is>
      </c>
      <c r="R577" t="inlineStr">
        <is>
          <t>EUR</t>
        </is>
      </c>
      <c r="S577" t="inlineStr">
        <is>
          <t>Investment Grade</t>
        </is>
      </c>
      <c r="T577" t="inlineStr">
        <is>
          <t>A</t>
        </is>
      </c>
      <c r="U577" t="inlineStr">
        <is>
          <t>A</t>
        </is>
      </c>
    </row>
    <row r="578" ht="28.8" customHeight="1">
      <c r="A578" t="inlineStr">
        <is>
          <t>US58013MFV19</t>
        </is>
      </c>
      <c r="B578" t="inlineStr">
        <is>
          <t xml:space="preserve">Hold </t>
        </is>
      </c>
      <c r="C578" t="inlineStr">
        <is>
          <t>Mcdonald'S Corp</t>
        </is>
      </c>
      <c r="D578" t="n">
        <v>4.95</v>
      </c>
      <c r="E578" t="inlineStr">
        <is>
          <t>Sr Unsecured</t>
        </is>
      </c>
      <c r="F578" t="inlineStr">
        <is>
          <t>14.08.2033</t>
        </is>
      </c>
      <c r="G578" t="inlineStr">
        <is>
          <t>United states</t>
        </is>
      </c>
      <c r="H578" t="inlineStr">
        <is>
          <t>Consumer, Cyclical</t>
        </is>
      </c>
      <c r="I578" t="n">
        <v>1</v>
      </c>
      <c r="J578" t="n">
        <v>101.458</v>
      </c>
      <c r="K578" t="n">
        <v>4.725589</v>
      </c>
      <c r="L578" t="n">
        <v>0.004887</v>
      </c>
      <c r="M578" t="n">
        <v>-0.103874</v>
      </c>
      <c r="N578" t="n">
        <v>48.92085407</v>
      </c>
      <c r="O578" t="n">
        <v>6.847806996</v>
      </c>
      <c r="P578" t="n">
        <v>85</v>
      </c>
      <c r="Q578" s="40" t="inlineStr">
        <is>
          <t>franchised fast food chain</t>
        </is>
      </c>
      <c r="R578" t="inlineStr">
        <is>
          <t>USD</t>
        </is>
      </c>
      <c r="S578" t="inlineStr">
        <is>
          <t>Investment Grade</t>
        </is>
      </c>
      <c r="T578" t="inlineStr">
        <is>
          <t>BBB+</t>
        </is>
      </c>
      <c r="U578" t="inlineStr">
        <is>
          <t>BBB+</t>
        </is>
      </c>
    </row>
    <row r="579">
      <c r="A579" t="inlineStr">
        <is>
          <t>XS2575155671</t>
        </is>
      </c>
      <c r="B579" t="inlineStr">
        <is>
          <t>Top Pick</t>
        </is>
      </c>
      <c r="C579" t="inlineStr">
        <is>
          <t>Ubs Ag London</t>
        </is>
      </c>
      <c r="D579" t="n">
        <v>7.75</v>
      </c>
      <c r="E579" t="inlineStr">
        <is>
          <t>Sr Unsecured</t>
        </is>
      </c>
      <c r="F579" t="inlineStr">
        <is>
          <t>10.03.2026</t>
        </is>
      </c>
      <c r="G579" t="inlineStr">
        <is>
          <t>Switzerland</t>
        </is>
      </c>
      <c r="H579" t="inlineStr">
        <is>
          <t>Financial</t>
        </is>
      </c>
      <c r="I579" t="n">
        <v>100</v>
      </c>
      <c r="J579" t="n">
        <v>102.157</v>
      </c>
      <c r="K579" t="n">
        <v>4.319942</v>
      </c>
      <c r="L579" t="n">
        <v>-0.08140799999999999</v>
      </c>
      <c r="M579" t="n">
        <v>-0.3686</v>
      </c>
      <c r="N579" t="n">
        <v>48.34736605</v>
      </c>
      <c r="O579" t="n">
        <v>0.924647342</v>
      </c>
      <c r="P579" t="n">
        <v>60</v>
      </c>
      <c r="Q579" t="inlineStr">
        <is>
          <t>Second largest swiss banking group</t>
        </is>
      </c>
      <c r="R579" t="inlineStr">
        <is>
          <t>GBP</t>
        </is>
      </c>
      <c r="S579" t="inlineStr">
        <is>
          <t>Investment Grade</t>
        </is>
      </c>
      <c r="T579" t="inlineStr">
        <is>
          <t>A+</t>
        </is>
      </c>
      <c r="U579" t="inlineStr">
        <is>
          <t>A+</t>
        </is>
      </c>
    </row>
    <row r="580">
      <c r="A580" t="inlineStr">
        <is>
          <t>US88579YBJ91</t>
        </is>
      </c>
      <c r="B580" t="inlineStr">
        <is>
          <t>Hold</t>
        </is>
      </c>
      <c r="C580" t="inlineStr">
        <is>
          <t>3M Company</t>
        </is>
      </c>
      <c r="D580" t="n">
        <v>2.375</v>
      </c>
      <c r="E580" t="inlineStr">
        <is>
          <t>Sr Unsecured</t>
        </is>
      </c>
      <c r="F580" t="inlineStr">
        <is>
          <t>26.08.2029</t>
        </is>
      </c>
      <c r="G580" t="inlineStr">
        <is>
          <t>United states</t>
        </is>
      </c>
      <c r="H580" t="inlineStr">
        <is>
          <t>Industrial</t>
        </is>
      </c>
      <c r="I580" t="n">
        <v>2</v>
      </c>
      <c r="J580" t="n">
        <v>92.489</v>
      </c>
      <c r="K580" t="n">
        <v>4.380902</v>
      </c>
      <c r="L580" t="n">
        <v>0.039346</v>
      </c>
      <c r="M580" t="n">
        <v>-0.127322</v>
      </c>
      <c r="N580" t="n">
        <v>48.30350055</v>
      </c>
      <c r="O580" t="n">
        <v>4.140127959</v>
      </c>
      <c r="P580" t="n">
        <v>80</v>
      </c>
      <c r="Q580" t="inlineStr">
        <is>
          <t>US industrial and consumer company</t>
        </is>
      </c>
      <c r="R580" t="inlineStr">
        <is>
          <t>USD</t>
        </is>
      </c>
      <c r="S580" t="inlineStr">
        <is>
          <t>Investment Grade</t>
        </is>
      </c>
      <c r="T580" t="inlineStr">
        <is>
          <t>BBB+</t>
        </is>
      </c>
      <c r="U580" t="inlineStr">
        <is>
          <t>BBB+</t>
        </is>
      </c>
    </row>
    <row r="581">
      <c r="A581" t="inlineStr">
        <is>
          <t>XS1528093799</t>
        </is>
      </c>
      <c r="B581" t="inlineStr">
        <is>
          <t>Hold</t>
        </is>
      </c>
      <c r="C581" t="inlineStr">
        <is>
          <t>Autostrade Per L'Italia</t>
        </is>
      </c>
      <c r="D581" t="n">
        <v>1.75</v>
      </c>
      <c r="E581" t="inlineStr">
        <is>
          <t>Sr Unsecured</t>
        </is>
      </c>
      <c r="F581" t="inlineStr">
        <is>
          <t>01.02.2027</t>
        </is>
      </c>
      <c r="G581" t="inlineStr">
        <is>
          <t>Italy</t>
        </is>
      </c>
      <c r="H581" t="inlineStr">
        <is>
          <t>Consumer, Non-cyclical</t>
        </is>
      </c>
      <c r="I581" t="n">
        <v>100</v>
      </c>
      <c r="J581" t="n">
        <v>99.101</v>
      </c>
      <c r="K581" t="n">
        <v>2.337652</v>
      </c>
      <c r="L581" t="n">
        <v>-0.215026</v>
      </c>
      <c r="M581" t="n">
        <v>-0.246192</v>
      </c>
      <c r="N581" t="n">
        <v>48.00088756</v>
      </c>
      <c r="O581" t="n">
        <v>1.870201287</v>
      </c>
      <c r="P581" t="n">
        <v>20</v>
      </c>
      <c r="Q581" t="inlineStr">
        <is>
          <t>Italian infrastructure construction service company</t>
        </is>
      </c>
      <c r="R581" t="inlineStr">
        <is>
          <t>EUR</t>
        </is>
      </c>
      <c r="S581" t="inlineStr">
        <is>
          <t>Investment Grade</t>
        </is>
      </c>
      <c r="T581" t="inlineStr">
        <is>
          <t>BBB-</t>
        </is>
      </c>
      <c r="U581" t="inlineStr">
        <is>
          <t>BBB-</t>
        </is>
      </c>
    </row>
    <row r="582">
      <c r="A582" t="inlineStr">
        <is>
          <t>XS2811733240</t>
        </is>
      </c>
      <c r="B582" t="inlineStr">
        <is>
          <t xml:space="preserve">Hold </t>
        </is>
      </c>
      <c r="C582" t="inlineStr">
        <is>
          <t>New York Life Global Fdg</t>
        </is>
      </c>
      <c r="D582" t="n">
        <v>4.875</v>
      </c>
      <c r="E582" t="inlineStr">
        <is>
          <t>Secured</t>
        </is>
      </c>
      <c r="F582" t="inlineStr">
        <is>
          <t>30.04.2031</t>
        </is>
      </c>
      <c r="G582" t="inlineStr">
        <is>
          <t>United states</t>
        </is>
      </c>
      <c r="H582" t="inlineStr">
        <is>
          <t>Financial</t>
        </is>
      </c>
      <c r="I582" t="n">
        <v>100</v>
      </c>
      <c r="J582" t="n">
        <v>101.768</v>
      </c>
      <c r="K582" t="n">
        <v>4.524988</v>
      </c>
      <c r="L582" t="n">
        <v>-0.002912</v>
      </c>
      <c r="M582" t="n">
        <v>-0.249214</v>
      </c>
      <c r="N582" t="n">
        <v>47.74685524</v>
      </c>
      <c r="O582" t="n">
        <v>5.203061456</v>
      </c>
      <c r="P582" t="n">
        <v>85</v>
      </c>
      <c r="Q582" t="inlineStr">
        <is>
          <t>The company provides life insurance, automobile and homeowners insurance.</t>
        </is>
      </c>
      <c r="R582" t="inlineStr">
        <is>
          <t>GBP</t>
        </is>
      </c>
      <c r="S582" t="inlineStr">
        <is>
          <t>Investment Grade</t>
        </is>
      </c>
      <c r="T582" t="inlineStr">
        <is>
          <t>AA+</t>
        </is>
      </c>
      <c r="U582" t="inlineStr">
        <is>
          <t>AA+</t>
        </is>
      </c>
    </row>
    <row r="583">
      <c r="A583" t="inlineStr">
        <is>
          <t>XS2696089197</t>
        </is>
      </c>
      <c r="B583" t="inlineStr">
        <is>
          <t>Hold</t>
        </is>
      </c>
      <c r="C583" t="inlineStr">
        <is>
          <t>Carlsberg Breweries A/S</t>
        </is>
      </c>
      <c r="D583" t="n">
        <v>4.25</v>
      </c>
      <c r="E583" t="inlineStr">
        <is>
          <t>Sr Unsecured</t>
        </is>
      </c>
      <c r="F583" t="inlineStr">
        <is>
          <t>05.10.2033</t>
        </is>
      </c>
      <c r="G583" t="inlineStr">
        <is>
          <t>Denmark</t>
        </is>
      </c>
      <c r="H583" t="inlineStr">
        <is>
          <t>Consumer, Non-cyclical</t>
        </is>
      </c>
      <c r="I583" t="n">
        <v>100</v>
      </c>
      <c r="J583" t="n">
        <v>107.61</v>
      </c>
      <c r="K583" t="n">
        <v>3.156847</v>
      </c>
      <c r="L583" t="n">
        <v>-0.152926</v>
      </c>
      <c r="M583" t="n">
        <v>-0.183387</v>
      </c>
      <c r="N583" t="n">
        <v>47.69610845</v>
      </c>
      <c r="O583" t="n">
        <v>6.90931185</v>
      </c>
      <c r="P583" t="n">
        <v>60</v>
      </c>
      <c r="Q583" t="inlineStr">
        <is>
          <t>Provides alcoholic beverages</t>
        </is>
      </c>
      <c r="R583" t="inlineStr">
        <is>
          <t>EUR</t>
        </is>
      </c>
      <c r="S583" t="inlineStr">
        <is>
          <t>Investment Grade</t>
        </is>
      </c>
      <c r="T583" t="inlineStr">
        <is>
          <t>BBB+</t>
        </is>
      </c>
      <c r="U583" t="inlineStr">
        <is>
          <t>BBB+</t>
        </is>
      </c>
    </row>
    <row r="584">
      <c r="A584" t="inlineStr">
        <is>
          <t>XS2153409029</t>
        </is>
      </c>
      <c r="B584" t="inlineStr">
        <is>
          <t xml:space="preserve">Hold </t>
        </is>
      </c>
      <c r="C584" t="inlineStr">
        <is>
          <t>Totalenergies Cap Intl</t>
        </is>
      </c>
      <c r="D584" t="n">
        <v>1.994</v>
      </c>
      <c r="E584" t="inlineStr">
        <is>
          <t>Sr Unsecured</t>
        </is>
      </c>
      <c r="F584" t="inlineStr">
        <is>
          <t>08.04.2032</t>
        </is>
      </c>
      <c r="G584" t="inlineStr">
        <is>
          <t>France</t>
        </is>
      </c>
      <c r="H584" t="inlineStr">
        <is>
          <t>Energy</t>
        </is>
      </c>
      <c r="I584" t="n">
        <v>100</v>
      </c>
      <c r="J584" t="n">
        <v>93.845</v>
      </c>
      <c r="K584" t="n">
        <v>3.014677</v>
      </c>
      <c r="L584" t="n">
        <v>-0.024007</v>
      </c>
      <c r="M584" t="n">
        <v>-0.01466</v>
      </c>
      <c r="N584" t="n">
        <v>47.54203375</v>
      </c>
      <c r="O584" t="n">
        <v>6.376589471</v>
      </c>
      <c r="P584" t="n">
        <v>0</v>
      </c>
      <c r="Q584" t="inlineStr">
        <is>
          <t>One of the largest oil companies of the world</t>
        </is>
      </c>
      <c r="R584" t="inlineStr">
        <is>
          <t>EUR</t>
        </is>
      </c>
      <c r="S584" t="inlineStr">
        <is>
          <t>Investment Grade</t>
        </is>
      </c>
      <c r="T584" t="inlineStr">
        <is>
          <t>A+</t>
        </is>
      </c>
      <c r="U584" t="inlineStr">
        <is>
          <t>A+</t>
        </is>
      </c>
    </row>
    <row r="585">
      <c r="A585" t="inlineStr">
        <is>
          <t xml:space="preserve">  US219868CL83</t>
        </is>
      </c>
      <c r="B585" t="inlineStr">
        <is>
          <t>Top Pick</t>
        </is>
      </c>
      <c r="C585" t="inlineStr">
        <is>
          <t>Corp Andina De Fomento</t>
        </is>
      </c>
      <c r="D585" t="n">
        <v>5</v>
      </c>
      <c r="E585" t="inlineStr">
        <is>
          <t>Sr Unsecured</t>
        </is>
      </c>
      <c r="F585" t="inlineStr">
        <is>
          <t>22.01.2030</t>
        </is>
      </c>
      <c r="G585" t="inlineStr">
        <is>
          <t>Supranational</t>
        </is>
      </c>
      <c r="H585" t="inlineStr">
        <is>
          <t>Government</t>
        </is>
      </c>
      <c r="I585" t="n">
        <v>1</v>
      </c>
      <c r="J585" t="n">
        <v>102.505</v>
      </c>
      <c r="K585" t="n">
        <v>4.384996</v>
      </c>
      <c r="L585" t="n">
        <v>0.09710199999999999</v>
      </c>
      <c r="M585" t="n">
        <v>-0.079349</v>
      </c>
      <c r="N585" t="n">
        <v>47.25363163</v>
      </c>
      <c r="O585" t="n">
        <v>4.303818202</v>
      </c>
      <c r="P585" t="n">
        <v>0</v>
      </c>
      <c r="Q585" t="inlineStr">
        <is>
          <t xml:space="preserve">Development bank </t>
        </is>
      </c>
      <c r="R585" t="inlineStr">
        <is>
          <t>USD</t>
        </is>
      </c>
      <c r="S585" t="inlineStr">
        <is>
          <t>Investment Grade</t>
        </is>
      </c>
      <c r="T585" t="inlineStr">
        <is>
          <t>AA-</t>
        </is>
      </c>
      <c r="U585" t="inlineStr">
        <is>
          <t>AA-</t>
        </is>
      </c>
    </row>
    <row r="586">
      <c r="A586" t="inlineStr">
        <is>
          <t>FR001400KJO0</t>
        </is>
      </c>
      <c r="B586" t="inlineStr">
        <is>
          <t>Hold</t>
        </is>
      </c>
      <c r="C586" t="inlineStr">
        <is>
          <t>Lvmh Moet Hennessy Vuitt</t>
        </is>
      </c>
      <c r="D586" t="n">
        <v>3.5</v>
      </c>
      <c r="E586" t="inlineStr">
        <is>
          <t>Sr Unsecured</t>
        </is>
      </c>
      <c r="F586" t="inlineStr">
        <is>
          <t>07.09.2033</t>
        </is>
      </c>
      <c r="G586" t="inlineStr">
        <is>
          <t>France</t>
        </is>
      </c>
      <c r="H586" t="inlineStr">
        <is>
          <t>Consumer, Cyclical</t>
        </is>
      </c>
      <c r="I586" t="n">
        <v>100</v>
      </c>
      <c r="J586" t="n">
        <v>102.381</v>
      </c>
      <c r="K586" t="n">
        <v>3.155474</v>
      </c>
      <c r="L586" t="n">
        <v>-0.028167</v>
      </c>
      <c r="M586" t="n">
        <v>0.045922</v>
      </c>
      <c r="N586" t="n">
        <v>46.63676995</v>
      </c>
      <c r="O586" t="n">
        <v>7.018371207</v>
      </c>
      <c r="P586" t="n">
        <v>85</v>
      </c>
      <c r="Q586" t="inlineStr">
        <is>
          <t>French luxury group</t>
        </is>
      </c>
      <c r="R586" t="inlineStr">
        <is>
          <t>EUR</t>
        </is>
      </c>
      <c r="S586" t="inlineStr">
        <is>
          <t>Investment Grade</t>
        </is>
      </c>
      <c r="T586" t="inlineStr">
        <is>
          <t>AA-</t>
        </is>
      </c>
      <c r="U586" t="inlineStr">
        <is>
          <t>AA-</t>
        </is>
      </c>
    </row>
    <row r="587">
      <c r="A587" t="inlineStr">
        <is>
          <t>US88032XAN49</t>
        </is>
      </c>
      <c r="B587" t="inlineStr">
        <is>
          <t>Top pick</t>
        </is>
      </c>
      <c r="C587" t="inlineStr">
        <is>
          <t>Tencent Holdings Ltd</t>
        </is>
      </c>
      <c r="D587" t="n">
        <v>3.975</v>
      </c>
      <c r="E587" t="inlineStr">
        <is>
          <t>Sr Unsecured</t>
        </is>
      </c>
      <c r="F587" t="inlineStr">
        <is>
          <t>11.04.2029</t>
        </is>
      </c>
      <c r="G587" t="inlineStr">
        <is>
          <t>China</t>
        </is>
      </c>
      <c r="H587" t="inlineStr">
        <is>
          <t>Communications</t>
        </is>
      </c>
      <c r="I587" t="n">
        <v>200</v>
      </c>
      <c r="J587" t="n">
        <v>98.627</v>
      </c>
      <c r="K587" t="n">
        <v>4.373575</v>
      </c>
      <c r="L587" t="n">
        <v>0.07041</v>
      </c>
      <c r="M587" t="n">
        <v>-0.06278499999999999</v>
      </c>
      <c r="N587" t="n">
        <v>46.47734005</v>
      </c>
      <c r="O587" t="n">
        <v>3.709045249</v>
      </c>
      <c r="P587" t="n">
        <v>80</v>
      </c>
      <c r="Q587" t="inlineStr">
        <is>
          <t>Provider of Internet and mobile value-added services</t>
        </is>
      </c>
      <c r="R587" t="inlineStr">
        <is>
          <t>USD</t>
        </is>
      </c>
      <c r="S587" t="inlineStr">
        <is>
          <t>Investment Grade</t>
        </is>
      </c>
      <c r="T587" t="inlineStr">
        <is>
          <t>A</t>
        </is>
      </c>
      <c r="U587" t="inlineStr">
        <is>
          <t>A+</t>
        </is>
      </c>
    </row>
    <row r="588">
      <c r="A588" t="inlineStr">
        <is>
          <t>USU75091AT28</t>
        </is>
      </c>
      <c r="B588" t="inlineStr">
        <is>
          <t>Top Pick</t>
        </is>
      </c>
      <c r="C588" t="inlineStr">
        <is>
          <t>S&amp;P Global Inc</t>
        </is>
      </c>
      <c r="D588" t="n">
        <v>5.25</v>
      </c>
      <c r="E588" t="inlineStr">
        <is>
          <t>Sr Unsecured</t>
        </is>
      </c>
      <c r="F588" t="inlineStr">
        <is>
          <t>15.09.2033</t>
        </is>
      </c>
      <c r="G588" t="inlineStr">
        <is>
          <t>United states</t>
        </is>
      </c>
      <c r="H588" t="inlineStr">
        <is>
          <t>Consumer, Non-cyclical</t>
        </is>
      </c>
      <c r="I588" t="n">
        <v>2</v>
      </c>
      <c r="J588" t="n">
        <v>103.596</v>
      </c>
      <c r="K588" t="n">
        <v>4.701574</v>
      </c>
      <c r="L588" t="n">
        <v>-0.023774</v>
      </c>
      <c r="M588" t="n">
        <v>-0.175029</v>
      </c>
      <c r="N588" t="n">
        <v>46.39382178</v>
      </c>
      <c r="O588" t="n">
        <v>6.5410123</v>
      </c>
      <c r="P588" t="n">
        <v>80</v>
      </c>
      <c r="Q588" t="inlineStr">
        <is>
          <t>One of the largest rating agencies</t>
        </is>
      </c>
      <c r="R588" t="inlineStr">
        <is>
          <t>USD</t>
        </is>
      </c>
      <c r="S588" t="inlineStr">
        <is>
          <t>Investment Grade</t>
        </is>
      </c>
      <c r="T588" t="inlineStr">
        <is>
          <t>A-</t>
        </is>
      </c>
      <c r="U588" t="inlineStr">
        <is>
          <t>A-</t>
        </is>
      </c>
    </row>
    <row r="589">
      <c r="A589" t="inlineStr">
        <is>
          <t>US71647NAQ25</t>
        </is>
      </c>
      <c r="B589" t="inlineStr">
        <is>
          <t xml:space="preserve">Hold </t>
        </is>
      </c>
      <c r="C589" t="inlineStr">
        <is>
          <t>Petrobras Global Finance</t>
        </is>
      </c>
      <c r="D589" t="n">
        <v>8.75</v>
      </c>
      <c r="E589" t="inlineStr">
        <is>
          <t>Sr Unsecured</t>
        </is>
      </c>
      <c r="F589" t="inlineStr">
        <is>
          <t>23.05.2026</t>
        </is>
      </c>
      <c r="G589" t="inlineStr">
        <is>
          <t>Brazil</t>
        </is>
      </c>
      <c r="H589" t="inlineStr">
        <is>
          <t>Energy</t>
        </is>
      </c>
      <c r="I589" t="n">
        <v>2</v>
      </c>
      <c r="J589" t="n">
        <v>103.582</v>
      </c>
      <c r="K589" t="n">
        <v>4.518569</v>
      </c>
      <c r="L589" t="n">
        <v>0.266492</v>
      </c>
      <c r="M589" t="n">
        <v>-0.032005</v>
      </c>
      <c r="N589" t="n">
        <v>46.3773147</v>
      </c>
      <c r="O589" t="n">
        <v>1.164913538</v>
      </c>
      <c r="P589" t="n">
        <v>25</v>
      </c>
      <c r="Q589" t="inlineStr">
        <is>
          <t>Largest oil company in Latin America</t>
        </is>
      </c>
      <c r="R589" t="inlineStr">
        <is>
          <t>USD</t>
        </is>
      </c>
      <c r="S589" t="inlineStr">
        <is>
          <t>Latin America</t>
        </is>
      </c>
      <c r="T589" t="inlineStr">
        <is>
          <t>BB</t>
        </is>
      </c>
      <c r="U589" t="inlineStr">
        <is>
          <t>BB</t>
        </is>
      </c>
    </row>
    <row r="590">
      <c r="A590" t="inlineStr">
        <is>
          <t xml:space="preserve"> US716973AD41</t>
        </is>
      </c>
      <c r="B590" t="inlineStr">
        <is>
          <t>Hold</t>
        </is>
      </c>
      <c r="C590" t="inlineStr">
        <is>
          <t>Pfizer Investment Enter</t>
        </is>
      </c>
      <c r="D590" t="n">
        <v>4.65</v>
      </c>
      <c r="E590" t="inlineStr">
        <is>
          <t>Sr Unsecured</t>
        </is>
      </c>
      <c r="F590" t="inlineStr">
        <is>
          <t>19.05.2030</t>
        </is>
      </c>
      <c r="G590" t="inlineStr">
        <is>
          <t>United states</t>
        </is>
      </c>
      <c r="H590" t="inlineStr">
        <is>
          <t>Consumer, Non-cyclical</t>
        </is>
      </c>
      <c r="I590" t="n">
        <v>2</v>
      </c>
      <c r="J590" t="n">
        <v>101.052</v>
      </c>
      <c r="K590" t="n">
        <v>4.399555</v>
      </c>
      <c r="L590" t="n">
        <v>0.038926</v>
      </c>
      <c r="M590" t="n">
        <v>-0.128676</v>
      </c>
      <c r="N590" t="n">
        <v>45.95607338</v>
      </c>
      <c r="O590" t="n">
        <v>4.54794325</v>
      </c>
      <c r="P590" t="n">
        <v>80</v>
      </c>
      <c r="Q590" t="inlineStr">
        <is>
          <t>One of the world's largest pharmaceutical companies</t>
        </is>
      </c>
      <c r="R590" t="inlineStr">
        <is>
          <t>USD</t>
        </is>
      </c>
      <c r="S590" t="inlineStr">
        <is>
          <t>Investment Grade</t>
        </is>
      </c>
      <c r="T590" t="inlineStr">
        <is>
          <t>A</t>
        </is>
      </c>
      <c r="U590" t="inlineStr">
        <is>
          <t>A</t>
        </is>
      </c>
    </row>
    <row r="591">
      <c r="A591" t="inlineStr">
        <is>
          <t>XS2576245281</t>
        </is>
      </c>
      <c r="B591" t="inlineStr">
        <is>
          <t xml:space="preserve">Hold </t>
        </is>
      </c>
      <c r="C591" t="inlineStr">
        <is>
          <t>Cie De Saint-Gobain Sa</t>
        </is>
      </c>
      <c r="D591" t="n">
        <v>3.5</v>
      </c>
      <c r="E591" t="inlineStr">
        <is>
          <t>Sr Unsecured</t>
        </is>
      </c>
      <c r="F591" t="inlineStr">
        <is>
          <t>18.01.2029</t>
        </is>
      </c>
      <c r="G591" t="inlineStr">
        <is>
          <t>France</t>
        </is>
      </c>
      <c r="H591" t="inlineStr">
        <is>
          <t>Industrial</t>
        </is>
      </c>
      <c r="I591" t="n">
        <v>100</v>
      </c>
      <c r="J591" t="n">
        <v>103.017</v>
      </c>
      <c r="K591" t="n">
        <v>2.528149</v>
      </c>
      <c r="L591" t="n">
        <v>-0.076456</v>
      </c>
      <c r="M591" t="n">
        <v>-0.121695</v>
      </c>
      <c r="N591" t="n">
        <v>45.88306845</v>
      </c>
      <c r="O591" t="n">
        <v>3.378591857</v>
      </c>
      <c r="P591" t="n">
        <v>60</v>
      </c>
      <c r="Q591" t="inlineStr">
        <is>
          <t>Manufactures glass products and contruction materials</t>
        </is>
      </c>
      <c r="R591" t="inlineStr">
        <is>
          <t>EUR</t>
        </is>
      </c>
      <c r="S591" t="inlineStr">
        <is>
          <t>Investment Grade</t>
        </is>
      </c>
      <c r="T591" t="inlineStr">
        <is>
          <t>BBB+</t>
        </is>
      </c>
      <c r="U591" t="inlineStr">
        <is>
          <t>BBB+</t>
        </is>
      </c>
    </row>
    <row r="592">
      <c r="A592" t="inlineStr">
        <is>
          <t>XS2696046460</t>
        </is>
      </c>
      <c r="B592" t="inlineStr">
        <is>
          <t>Hold</t>
        </is>
      </c>
      <c r="C592" t="inlineStr">
        <is>
          <t>Carlsberg Breweries A/S</t>
        </is>
      </c>
      <c r="D592" t="n">
        <v>4</v>
      </c>
      <c r="E592" t="inlineStr">
        <is>
          <t>Sr Unsecured</t>
        </is>
      </c>
      <c r="F592" t="inlineStr">
        <is>
          <t>05.10.2028</t>
        </is>
      </c>
      <c r="G592" t="inlineStr">
        <is>
          <t>Denmark</t>
        </is>
      </c>
      <c r="H592" t="inlineStr">
        <is>
          <t>Consumer, Non-cyclical</t>
        </is>
      </c>
      <c r="I592" t="n">
        <v>100</v>
      </c>
      <c r="J592" t="n">
        <v>104.385</v>
      </c>
      <c r="K592" t="n">
        <v>2.461284</v>
      </c>
      <c r="L592" t="n">
        <v>-0.098652</v>
      </c>
      <c r="M592" t="n">
        <v>-0.096544</v>
      </c>
      <c r="N592" t="n">
        <v>45.46613222</v>
      </c>
      <c r="O592" t="n">
        <v>3.078855202</v>
      </c>
      <c r="P592" t="n">
        <v>60</v>
      </c>
      <c r="Q592" t="inlineStr">
        <is>
          <t>Provides alcoholic beverages</t>
        </is>
      </c>
      <c r="R592" t="inlineStr">
        <is>
          <t>EUR</t>
        </is>
      </c>
      <c r="S592" t="inlineStr">
        <is>
          <t>Investment Grade</t>
        </is>
      </c>
      <c r="T592" t="inlineStr">
        <is>
          <t>BBB+</t>
        </is>
      </c>
      <c r="U592" t="inlineStr">
        <is>
          <t>BBB+</t>
        </is>
      </c>
    </row>
    <row r="593">
      <c r="A593" t="inlineStr">
        <is>
          <t>XS1617830721</t>
        </is>
      </c>
      <c r="B593" t="inlineStr">
        <is>
          <t>Hold</t>
        </is>
      </c>
      <c r="C593" t="inlineStr">
        <is>
          <t>Wells Fargo &amp; Company</t>
        </is>
      </c>
      <c r="D593" t="n">
        <v>1.5</v>
      </c>
      <c r="E593" t="inlineStr">
        <is>
          <t>Sr Unsecured</t>
        </is>
      </c>
      <c r="F593" t="inlineStr">
        <is>
          <t>24.05.2027</t>
        </is>
      </c>
      <c r="G593" t="inlineStr">
        <is>
          <t>United states</t>
        </is>
      </c>
      <c r="H593" t="inlineStr">
        <is>
          <t>Financial</t>
        </is>
      </c>
      <c r="I593" t="n">
        <v>100</v>
      </c>
      <c r="J593" t="n">
        <v>98.518</v>
      </c>
      <c r="K593" t="n">
        <v>2.315645</v>
      </c>
      <c r="L593" t="n">
        <v>-0.06297800000000001</v>
      </c>
      <c r="M593" t="n">
        <v>-0.165572</v>
      </c>
      <c r="N593" t="n">
        <v>45.32684163</v>
      </c>
      <c r="O593" t="n">
        <v>2.140576259</v>
      </c>
      <c r="P593" t="n">
        <v>80</v>
      </c>
      <c r="Q593" t="inlineStr">
        <is>
          <t>Fourth largest US bank by assets</t>
        </is>
      </c>
      <c r="R593" t="inlineStr">
        <is>
          <t>EUR</t>
        </is>
      </c>
      <c r="S593" t="inlineStr">
        <is>
          <t>Investment Grade</t>
        </is>
      </c>
      <c r="T593" t="inlineStr">
        <is>
          <t>A</t>
        </is>
      </c>
      <c r="U593" t="inlineStr">
        <is>
          <t>A</t>
        </is>
      </c>
    </row>
    <row r="594">
      <c r="A594" t="inlineStr">
        <is>
          <t>XS2703627021</t>
        </is>
      </c>
      <c r="B594" t="inlineStr">
        <is>
          <t>Hold</t>
        </is>
      </c>
      <c r="C594" t="inlineStr">
        <is>
          <t>John Deere Bank Sa</t>
        </is>
      </c>
      <c r="D594" t="n">
        <v>5.125</v>
      </c>
      <c r="E594" t="inlineStr">
        <is>
          <t>Sr Unsecured</t>
        </is>
      </c>
      <c r="F594" t="inlineStr">
        <is>
          <t>18.10.2028</t>
        </is>
      </c>
      <c r="G594" t="inlineStr">
        <is>
          <t>United states</t>
        </is>
      </c>
      <c r="H594" t="inlineStr">
        <is>
          <t>Industrial</t>
        </is>
      </c>
      <c r="I594" t="n">
        <v>100</v>
      </c>
      <c r="J594" t="n">
        <v>102.553</v>
      </c>
      <c r="K594" t="n">
        <v>4.222248</v>
      </c>
      <c r="L594" t="n">
        <v>-0.001257</v>
      </c>
      <c r="M594" t="n">
        <v>-0.297214</v>
      </c>
      <c r="N594" t="n">
        <v>45.31688877</v>
      </c>
      <c r="O594" t="n">
        <v>3.218754891</v>
      </c>
      <c r="P594" t="n">
        <v>75</v>
      </c>
      <c r="Q594" t="inlineStr">
        <is>
          <t>Manufactures agricultural machinery and parts</t>
        </is>
      </c>
      <c r="R594" t="inlineStr">
        <is>
          <t>GBP</t>
        </is>
      </c>
      <c r="S594" t="inlineStr">
        <is>
          <t>Investment Grade</t>
        </is>
      </c>
      <c r="T594" t="inlineStr">
        <is>
          <t>A</t>
        </is>
      </c>
      <c r="U594" t="inlineStr">
        <is>
          <t>A</t>
        </is>
      </c>
    </row>
    <row r="595">
      <c r="A595" t="inlineStr">
        <is>
          <t>US911312BZ82</t>
        </is>
      </c>
      <c r="B595" t="inlineStr">
        <is>
          <t>Hold</t>
        </is>
      </c>
      <c r="C595" t="inlineStr">
        <is>
          <t>United Parcel Service</t>
        </is>
      </c>
      <c r="D595" t="n">
        <v>4.875</v>
      </c>
      <c r="E595" t="inlineStr">
        <is>
          <t>Sr Unsecured</t>
        </is>
      </c>
      <c r="F595" t="inlineStr">
        <is>
          <t>03.03.2033</t>
        </is>
      </c>
      <c r="G595" t="inlineStr">
        <is>
          <t>United states</t>
        </is>
      </c>
      <c r="H595" t="inlineStr">
        <is>
          <t>Industrial</t>
        </is>
      </c>
      <c r="I595" t="n">
        <v>2</v>
      </c>
      <c r="J595" t="n">
        <v>101.399</v>
      </c>
      <c r="K595" t="n">
        <v>4.64939</v>
      </c>
      <c r="L595" t="n">
        <v>-0.008836</v>
      </c>
      <c r="M595" t="n">
        <v>-0.220015</v>
      </c>
      <c r="N595" t="n">
        <v>45.16795373</v>
      </c>
      <c r="O595" t="n">
        <v>6.424148416</v>
      </c>
      <c r="P595" t="n">
        <v>80</v>
      </c>
      <c r="Q595" t="inlineStr">
        <is>
          <t>Delivers packages and documents</t>
        </is>
      </c>
      <c r="R595" t="inlineStr">
        <is>
          <t>USD</t>
        </is>
      </c>
      <c r="S595" t="inlineStr">
        <is>
          <t>Investment Grade</t>
        </is>
      </c>
      <c r="T595" t="inlineStr">
        <is>
          <t>A</t>
        </is>
      </c>
      <c r="U595" t="inlineStr">
        <is>
          <t>A</t>
        </is>
      </c>
    </row>
    <row r="596">
      <c r="A596" t="inlineStr">
        <is>
          <t>XS1799545329</t>
        </is>
      </c>
      <c r="B596" t="inlineStr">
        <is>
          <t>Hold</t>
        </is>
      </c>
      <c r="C596" t="inlineStr">
        <is>
          <t>Dragados Sa</t>
        </is>
      </c>
      <c r="D596" t="n">
        <v>1.875</v>
      </c>
      <c r="E596" t="inlineStr">
        <is>
          <t>Sr Unsecured</t>
        </is>
      </c>
      <c r="F596" t="inlineStr">
        <is>
          <t>20.04.2026</t>
        </is>
      </c>
      <c r="G596" t="inlineStr">
        <is>
          <t>Spain</t>
        </is>
      </c>
      <c r="H596" t="inlineStr">
        <is>
          <t>Industrial</t>
        </is>
      </c>
      <c r="I596" t="n">
        <v>100</v>
      </c>
      <c r="J596" t="n">
        <v>99.676</v>
      </c>
      <c r="K596" t="n">
        <v>2.29367</v>
      </c>
      <c r="L596" t="n">
        <v>-0.042271</v>
      </c>
      <c r="M596" t="n">
        <v>-0.330675</v>
      </c>
      <c r="N596" t="n">
        <v>44.46029706</v>
      </c>
      <c r="O596" t="n">
        <v>1.101846099</v>
      </c>
      <c r="P596" t="n">
        <v>60</v>
      </c>
      <c r="Q596" t="inlineStr">
        <is>
          <t>Spanish engineering and contracting company</t>
        </is>
      </c>
      <c r="R596" t="inlineStr">
        <is>
          <t>EUR</t>
        </is>
      </c>
      <c r="S596" t="inlineStr">
        <is>
          <t>Investment Grade</t>
        </is>
      </c>
      <c r="T596" t="inlineStr">
        <is>
          <t>NR</t>
        </is>
      </c>
      <c r="U596" t="inlineStr">
        <is>
          <t>NR</t>
        </is>
      </c>
    </row>
    <row r="597">
      <c r="A597" t="inlineStr">
        <is>
          <t>XS2559069849</t>
        </is>
      </c>
      <c r="B597" t="inlineStr">
        <is>
          <t xml:space="preserve">Hold </t>
        </is>
      </c>
      <c r="C597" t="inlineStr">
        <is>
          <t>Intesa Sanpaolo Spa</t>
        </is>
      </c>
      <c r="D597" t="n">
        <v>7</v>
      </c>
      <c r="E597" t="inlineStr">
        <is>
          <t>Sr Preferred</t>
        </is>
      </c>
      <c r="F597" t="inlineStr">
        <is>
          <t>21.11.2025</t>
        </is>
      </c>
      <c r="G597" t="inlineStr">
        <is>
          <t>Italy</t>
        </is>
      </c>
      <c r="H597" t="inlineStr">
        <is>
          <t>Financial</t>
        </is>
      </c>
      <c r="I597" t="n">
        <v>200</v>
      </c>
      <c r="J597" t="n">
        <v>100.785</v>
      </c>
      <c r="K597" t="n">
        <v>4.77837</v>
      </c>
      <c r="L597" t="n">
        <v>0.042948</v>
      </c>
      <c r="M597" t="n">
        <v>-0.072841</v>
      </c>
      <c r="N597" t="n">
        <v>44.37943426</v>
      </c>
      <c r="O597" t="n">
        <v>0.708100892</v>
      </c>
      <c r="P597" t="n">
        <v>60</v>
      </c>
      <c r="Q597" t="inlineStr">
        <is>
          <t>One of the largest Italian banks</t>
        </is>
      </c>
      <c r="R597" t="inlineStr">
        <is>
          <t>USD</t>
        </is>
      </c>
      <c r="S597" t="inlineStr">
        <is>
          <t>Investment Grade</t>
        </is>
      </c>
      <c r="T597" t="inlineStr">
        <is>
          <t>BBB</t>
        </is>
      </c>
      <c r="U597" t="inlineStr">
        <is>
          <t>BBB</t>
        </is>
      </c>
    </row>
    <row r="598">
      <c r="A598" t="inlineStr">
        <is>
          <t>US88032XAG97</t>
        </is>
      </c>
      <c r="B598" t="inlineStr">
        <is>
          <t>Top pick</t>
        </is>
      </c>
      <c r="C598" t="inlineStr">
        <is>
          <t>Tencent Holdings Ltd</t>
        </is>
      </c>
      <c r="D598" t="n">
        <v>3.595</v>
      </c>
      <c r="E598" t="inlineStr">
        <is>
          <t>Sr Unsecured</t>
        </is>
      </c>
      <c r="F598" t="inlineStr">
        <is>
          <t>19.01.2028</t>
        </is>
      </c>
      <c r="G598" t="inlineStr">
        <is>
          <t>China</t>
        </is>
      </c>
      <c r="H598" t="inlineStr">
        <is>
          <t>Communications</t>
        </is>
      </c>
      <c r="I598" t="n">
        <v>200</v>
      </c>
      <c r="J598" t="n">
        <v>98.29300000000001</v>
      </c>
      <c r="K598" t="n">
        <v>4.31382</v>
      </c>
      <c r="L598" t="n">
        <v>0.08298999999999999</v>
      </c>
      <c r="M598" t="n">
        <v>-0.072628</v>
      </c>
      <c r="N598" t="n">
        <v>44.2679622</v>
      </c>
      <c r="O598" t="n">
        <v>2.715243667</v>
      </c>
      <c r="P598" t="n">
        <v>80</v>
      </c>
      <c r="Q598" t="inlineStr">
        <is>
          <t>Provider of Internet and mobile value-added services</t>
        </is>
      </c>
      <c r="R598" t="inlineStr">
        <is>
          <t>USD</t>
        </is>
      </c>
      <c r="S598" t="inlineStr">
        <is>
          <t>Investment Grade</t>
        </is>
      </c>
      <c r="T598" t="inlineStr">
        <is>
          <t>A</t>
        </is>
      </c>
      <c r="U598" t="inlineStr">
        <is>
          <t>A+</t>
        </is>
      </c>
    </row>
    <row r="599">
      <c r="A599" t="inlineStr">
        <is>
          <t>XS2150006562</t>
        </is>
      </c>
      <c r="B599" t="inlineStr">
        <is>
          <t>Hold</t>
        </is>
      </c>
      <c r="C599" t="inlineStr">
        <is>
          <t>John Deere Cash Manageme</t>
        </is>
      </c>
      <c r="D599" t="n">
        <v>2.2</v>
      </c>
      <c r="E599" t="inlineStr">
        <is>
          <t>Sr Unsecured</t>
        </is>
      </c>
      <c r="F599" t="inlineStr">
        <is>
          <t>02.04.2032</t>
        </is>
      </c>
      <c r="G599" t="inlineStr">
        <is>
          <t>United states</t>
        </is>
      </c>
      <c r="H599" t="inlineStr">
        <is>
          <t>Industrial</t>
        </is>
      </c>
      <c r="I599" t="n">
        <v>100</v>
      </c>
      <c r="J599" t="n">
        <v>95.339</v>
      </c>
      <c r="K599" t="n">
        <v>2.973346</v>
      </c>
      <c r="L599" t="n">
        <v>-0.029152</v>
      </c>
      <c r="M599" t="n">
        <v>0.010171</v>
      </c>
      <c r="N599" t="n">
        <v>44.10151154</v>
      </c>
      <c r="O599" t="n">
        <v>6.311474022</v>
      </c>
      <c r="P599" t="n">
        <v>80</v>
      </c>
      <c r="Q599" t="inlineStr">
        <is>
          <t>Manufactures agricultural machinery and parts</t>
        </is>
      </c>
      <c r="R599" t="inlineStr">
        <is>
          <t>EUR</t>
        </is>
      </c>
      <c r="S599" t="inlineStr">
        <is>
          <t>Investment Grade</t>
        </is>
      </c>
      <c r="T599" t="inlineStr">
        <is>
          <t>A</t>
        </is>
      </c>
      <c r="U599" t="inlineStr">
        <is>
          <t>A</t>
        </is>
      </c>
    </row>
    <row r="600">
      <c r="A600" t="inlineStr">
        <is>
          <t>US872898AC52</t>
        </is>
      </c>
      <c r="B600" t="inlineStr">
        <is>
          <t>Hold</t>
        </is>
      </c>
      <c r="C600" t="inlineStr">
        <is>
          <t>Tsmc Arizona Corp</t>
        </is>
      </c>
      <c r="D600" t="n">
        <v>2.5</v>
      </c>
      <c r="E600" t="inlineStr">
        <is>
          <t>Sr Unsecured</t>
        </is>
      </c>
      <c r="F600" t="inlineStr">
        <is>
          <t>25.10.2031</t>
        </is>
      </c>
      <c r="G600" t="inlineStr">
        <is>
          <t>Taiwan</t>
        </is>
      </c>
      <c r="H600" t="inlineStr">
        <is>
          <t>Technology</t>
        </is>
      </c>
      <c r="I600" t="n">
        <v>200</v>
      </c>
      <c r="J600" t="n">
        <v>89.111</v>
      </c>
      <c r="K600" t="n">
        <v>4.504568</v>
      </c>
      <c r="L600" t="n">
        <v>0.07001599999999999</v>
      </c>
      <c r="M600" t="n">
        <v>-0.130944</v>
      </c>
      <c r="N600" t="n">
        <v>43.20209447</v>
      </c>
      <c r="O600" t="n">
        <v>5.944027454</v>
      </c>
      <c r="P600" t="n">
        <v>85</v>
      </c>
      <c r="Q600" t="inlineStr">
        <is>
          <t>Manufactures semiconductor devices</t>
        </is>
      </c>
      <c r="R600" t="inlineStr">
        <is>
          <t>USD</t>
        </is>
      </c>
      <c r="S600" t="inlineStr">
        <is>
          <t>Investment Grade</t>
        </is>
      </c>
      <c r="T600" t="inlineStr">
        <is>
          <t>AA-</t>
        </is>
      </c>
      <c r="U600" t="inlineStr">
        <is>
          <t>AA-</t>
        </is>
      </c>
    </row>
    <row r="601">
      <c r="A601" t="inlineStr">
        <is>
          <t>FR001400KHF2</t>
        </is>
      </c>
      <c r="B601" t="inlineStr">
        <is>
          <t>Hold</t>
        </is>
      </c>
      <c r="C601" t="inlineStr">
        <is>
          <t>Engie Sa</t>
        </is>
      </c>
      <c r="D601" t="n">
        <v>3.75</v>
      </c>
      <c r="E601" t="inlineStr">
        <is>
          <t>Sr Unsecured</t>
        </is>
      </c>
      <c r="F601" t="inlineStr">
        <is>
          <t>06.09.2027</t>
        </is>
      </c>
      <c r="G601" t="inlineStr">
        <is>
          <t>France</t>
        </is>
      </c>
      <c r="H601" t="inlineStr">
        <is>
          <t>Utilities</t>
        </is>
      </c>
      <c r="I601" t="n">
        <v>100</v>
      </c>
      <c r="J601" t="n">
        <v>102.667</v>
      </c>
      <c r="K601" t="n">
        <v>2.307627</v>
      </c>
      <c r="L601" t="n">
        <v>-0.077336</v>
      </c>
      <c r="M601" t="n">
        <v>-0.133094</v>
      </c>
      <c r="N601" t="n">
        <v>43.13161757</v>
      </c>
      <c r="O601" t="n">
        <v>2.133767039</v>
      </c>
      <c r="P601" t="n">
        <v>60</v>
      </c>
      <c r="Q601" t="inlineStr">
        <is>
          <t>French utility company specialised in renewables</t>
        </is>
      </c>
      <c r="R601" t="inlineStr">
        <is>
          <t>EUR</t>
        </is>
      </c>
      <c r="S601" t="inlineStr">
        <is>
          <t>Investment Grade</t>
        </is>
      </c>
      <c r="T601" t="inlineStr">
        <is>
          <t>BBB+</t>
        </is>
      </c>
      <c r="U601" t="inlineStr">
        <is>
          <t>BBB+</t>
        </is>
      </c>
    </row>
    <row r="602">
      <c r="A602" t="inlineStr">
        <is>
          <t>FR001400F711</t>
        </is>
      </c>
      <c r="B602" t="inlineStr">
        <is>
          <t>Hold</t>
        </is>
      </c>
      <c r="C602" t="inlineStr">
        <is>
          <t>Schneider Electric Se</t>
        </is>
      </c>
      <c r="D602" t="n">
        <v>3.375</v>
      </c>
      <c r="E602" t="inlineStr">
        <is>
          <t>Sr Unsecured</t>
        </is>
      </c>
      <c r="F602" t="inlineStr">
        <is>
          <t>13.04.2034</t>
        </is>
      </c>
      <c r="G602" t="inlineStr">
        <is>
          <t>United states</t>
        </is>
      </c>
      <c r="H602" t="inlineStr">
        <is>
          <t>Industrial</t>
        </is>
      </c>
      <c r="I602" t="n">
        <v>100</v>
      </c>
      <c r="J602" t="n">
        <v>101.467</v>
      </c>
      <c r="K602" t="n">
        <v>3.17535</v>
      </c>
      <c r="L602" t="n">
        <v>-0.055736</v>
      </c>
      <c r="M602" t="n">
        <v>-0.013554</v>
      </c>
      <c r="N602" t="n">
        <v>43.12127586</v>
      </c>
      <c r="O602" t="n">
        <v>7.382071646</v>
      </c>
      <c r="P602" t="n">
        <v>85</v>
      </c>
      <c r="Q602" t="inlineStr">
        <is>
          <t>manufactures electrical power products</t>
        </is>
      </c>
      <c r="R602" t="inlineStr">
        <is>
          <t>EUR</t>
        </is>
      </c>
      <c r="S602" t="inlineStr">
        <is>
          <t>Investment Grade</t>
        </is>
      </c>
      <c r="T602" t="inlineStr">
        <is>
          <t>NR</t>
        </is>
      </c>
      <c r="U602" t="inlineStr">
        <is>
          <t>NR</t>
        </is>
      </c>
    </row>
    <row r="603">
      <c r="A603" t="inlineStr">
        <is>
          <t>XS2576255249</t>
        </is>
      </c>
      <c r="B603" t="inlineStr">
        <is>
          <t>Hold</t>
        </is>
      </c>
      <c r="C603" t="inlineStr">
        <is>
          <t>Natwest Markets Plc</t>
        </is>
      </c>
      <c r="D603" t="n">
        <v>4.25</v>
      </c>
      <c r="E603" t="inlineStr">
        <is>
          <t>Sr Unsecured</t>
        </is>
      </c>
      <c r="F603" t="inlineStr">
        <is>
          <t>13.01.2028</t>
        </is>
      </c>
      <c r="G603" t="inlineStr">
        <is>
          <t>United Kingdom</t>
        </is>
      </c>
      <c r="H603" t="inlineStr">
        <is>
          <t>Financial</t>
        </is>
      </c>
      <c r="I603" t="n">
        <v>100</v>
      </c>
      <c r="J603" t="n">
        <v>104.538</v>
      </c>
      <c r="K603" t="n">
        <v>2.364092</v>
      </c>
      <c r="L603" t="n">
        <v>-0.07541299999999999</v>
      </c>
      <c r="M603" t="n">
        <v>-0.09654</v>
      </c>
      <c r="N603" t="n">
        <v>42.91636519</v>
      </c>
      <c r="O603" t="n">
        <v>2.692871419</v>
      </c>
      <c r="P603" t="n">
        <v>80</v>
      </c>
      <c r="Q603" t="inlineStr">
        <is>
          <t xml:space="preserve">Banking and Financial service company </t>
        </is>
      </c>
      <c r="R603" t="inlineStr">
        <is>
          <t>EUR</t>
        </is>
      </c>
      <c r="S603" t="inlineStr">
        <is>
          <t>Investment Grade</t>
        </is>
      </c>
      <c r="T603" t="inlineStr">
        <is>
          <t>A+</t>
        </is>
      </c>
      <c r="U603" t="inlineStr">
        <is>
          <t>A</t>
        </is>
      </c>
    </row>
    <row r="604">
      <c r="A604" t="inlineStr">
        <is>
          <t>XS2448014808</t>
        </is>
      </c>
      <c r="B604" t="inlineStr">
        <is>
          <t>Hold</t>
        </is>
      </c>
      <c r="C604" t="inlineStr">
        <is>
          <t>Mastercard Inc</t>
        </is>
      </c>
      <c r="D604" t="n">
        <v>1</v>
      </c>
      <c r="E604" t="inlineStr">
        <is>
          <t>Sr Unsecured</t>
        </is>
      </c>
      <c r="F604" t="inlineStr">
        <is>
          <t>22.02.2029</t>
        </is>
      </c>
      <c r="G604" t="inlineStr">
        <is>
          <t>United states</t>
        </is>
      </c>
      <c r="H604" t="inlineStr">
        <is>
          <t>Financial</t>
        </is>
      </c>
      <c r="I604" t="n">
        <v>100</v>
      </c>
      <c r="J604" t="n">
        <v>94.78100000000001</v>
      </c>
      <c r="K604" t="n">
        <v>2.523957</v>
      </c>
      <c r="L604" t="n">
        <v>-0.025911</v>
      </c>
      <c r="M604" t="n">
        <v>0.007998</v>
      </c>
      <c r="N604" t="n">
        <v>42.75999728</v>
      </c>
      <c r="O604" t="n">
        <v>3.832427647</v>
      </c>
      <c r="P604" t="n">
        <v>80</v>
      </c>
      <c r="Q604" t="inlineStr">
        <is>
          <t>Provides financial transaction processing services</t>
        </is>
      </c>
      <c r="R604" t="inlineStr">
        <is>
          <t>EUR</t>
        </is>
      </c>
      <c r="S604" t="inlineStr">
        <is>
          <t>Investment Grade</t>
        </is>
      </c>
      <c r="T604" t="inlineStr">
        <is>
          <t>A+</t>
        </is>
      </c>
      <c r="U604" t="inlineStr">
        <is>
          <t>A+</t>
        </is>
      </c>
    </row>
    <row r="605">
      <c r="A605" t="inlineStr">
        <is>
          <t>XS1709529520</t>
        </is>
      </c>
      <c r="B605" t="inlineStr">
        <is>
          <t>Hold</t>
        </is>
      </c>
      <c r="C605" t="inlineStr">
        <is>
          <t>Abu Dhabi Crude Oil</t>
        </is>
      </c>
      <c r="D605" t="n">
        <v>3.65</v>
      </c>
      <c r="E605" t="inlineStr">
        <is>
          <t>1St Lien</t>
        </is>
      </c>
      <c r="F605" t="inlineStr">
        <is>
          <t>02.11.2029</t>
        </is>
      </c>
      <c r="G605" t="inlineStr">
        <is>
          <t>U.A.E</t>
        </is>
      </c>
      <c r="H605" t="inlineStr">
        <is>
          <t>Energy</t>
        </is>
      </c>
      <c r="I605" t="n">
        <v>200</v>
      </c>
      <c r="J605" t="n">
        <v>97.343</v>
      </c>
      <c r="K605" t="n">
        <v>4.332701</v>
      </c>
      <c r="L605" t="n">
        <v>-0.049334</v>
      </c>
      <c r="M605" t="n">
        <v>-0.140423</v>
      </c>
      <c r="N605" t="n">
        <v>42.73498829</v>
      </c>
      <c r="O605" t="n">
        <v>4.213092602</v>
      </c>
      <c r="P605" t="n">
        <v>85</v>
      </c>
      <c r="Q605" t="inlineStr">
        <is>
          <t>Abu Dhabi Crude Oil Pipeline L.L.C. operates as a pipeline company.</t>
        </is>
      </c>
      <c r="R605" t="inlineStr">
        <is>
          <t>USD</t>
        </is>
      </c>
      <c r="S605" t="inlineStr">
        <is>
          <t>Investment Grade</t>
        </is>
      </c>
      <c r="T605" t="inlineStr">
        <is>
          <t>AA</t>
        </is>
      </c>
      <c r="U605" t="inlineStr">
        <is>
          <t>AA</t>
        </is>
      </c>
    </row>
    <row r="606">
      <c r="A606" t="inlineStr">
        <is>
          <t>US57636QAX25</t>
        </is>
      </c>
      <c r="B606" t="inlineStr">
        <is>
          <t>Hold</t>
        </is>
      </c>
      <c r="C606" t="inlineStr">
        <is>
          <t>Mastercard Inc</t>
        </is>
      </c>
      <c r="D606" t="n">
        <v>4.85</v>
      </c>
      <c r="E606" t="inlineStr">
        <is>
          <t>Sr Unsecured</t>
        </is>
      </c>
      <c r="F606" t="inlineStr">
        <is>
          <t>09.03.2033</t>
        </is>
      </c>
      <c r="G606" t="inlineStr">
        <is>
          <t>United states</t>
        </is>
      </c>
      <c r="H606" t="inlineStr">
        <is>
          <t>Financial</t>
        </is>
      </c>
      <c r="I606" t="n">
        <v>2</v>
      </c>
      <c r="J606" t="n">
        <v>101.391</v>
      </c>
      <c r="K606" t="n">
        <v>4.626083</v>
      </c>
      <c r="L606" t="n">
        <v>0.004794</v>
      </c>
      <c r="M606" t="n">
        <v>-0.114977</v>
      </c>
      <c r="N606" t="n">
        <v>42.6814121</v>
      </c>
      <c r="O606" t="n">
        <v>6.4524567</v>
      </c>
      <c r="P606" t="n">
        <v>80</v>
      </c>
      <c r="Q606" t="inlineStr">
        <is>
          <t>Provides financial transaction processing services</t>
        </is>
      </c>
      <c r="R606" t="inlineStr">
        <is>
          <t>USD</t>
        </is>
      </c>
      <c r="S606" t="inlineStr">
        <is>
          <t>Investment Grade</t>
        </is>
      </c>
      <c r="T606" t="inlineStr">
        <is>
          <t>A+</t>
        </is>
      </c>
      <c r="U606" t="inlineStr">
        <is>
          <t>A+</t>
        </is>
      </c>
    </row>
    <row r="607">
      <c r="A607" t="inlineStr">
        <is>
          <t>DE000A1ZZ028</t>
        </is>
      </c>
      <c r="B607" t="inlineStr">
        <is>
          <t>Hold</t>
        </is>
      </c>
      <c r="C607" t="inlineStr">
        <is>
          <t>Bmw Us Capital Llc</t>
        </is>
      </c>
      <c r="D607" t="n">
        <v>1</v>
      </c>
      <c r="E607" t="inlineStr">
        <is>
          <t>Sr Unsecured</t>
        </is>
      </c>
      <c r="F607" t="inlineStr">
        <is>
          <t>20.04.2027</t>
        </is>
      </c>
      <c r="G607" t="inlineStr">
        <is>
          <t>Germany</t>
        </is>
      </c>
      <c r="H607" t="inlineStr">
        <is>
          <t>Consumer, Cyclical</t>
        </is>
      </c>
      <c r="I607" t="n">
        <v>1</v>
      </c>
      <c r="J607" t="n">
        <v>97.77500000000001</v>
      </c>
      <c r="K607" t="n">
        <v>2.287287</v>
      </c>
      <c r="L607" t="n">
        <v>-0.08941200000000001</v>
      </c>
      <c r="M607" t="n">
        <v>-0.056358</v>
      </c>
      <c r="N607" t="n">
        <v>42.67555766</v>
      </c>
      <c r="O607" t="n">
        <v>2.067073786</v>
      </c>
      <c r="P607" t="n">
        <v>80</v>
      </c>
      <c r="Q607" t="inlineStr">
        <is>
          <t>European car manufacturer focused entirely on the premium segment</t>
        </is>
      </c>
      <c r="R607" t="inlineStr">
        <is>
          <t>EUR</t>
        </is>
      </c>
      <c r="S607" t="inlineStr">
        <is>
          <t>Investment Grade</t>
        </is>
      </c>
      <c r="T607" t="inlineStr">
        <is>
          <t>A</t>
        </is>
      </c>
      <c r="U607" t="inlineStr">
        <is>
          <t>A</t>
        </is>
      </c>
    </row>
    <row r="608">
      <c r="A608" t="inlineStr">
        <is>
          <t>XS2390400633</t>
        </is>
      </c>
      <c r="B608" t="inlineStr">
        <is>
          <t>Hold</t>
        </is>
      </c>
      <c r="C608" t="inlineStr">
        <is>
          <t>Enel Finance Intl Nv</t>
        </is>
      </c>
      <c r="D608" t="n">
        <v>0.25</v>
      </c>
      <c r="E608" t="inlineStr">
        <is>
          <t>Sr Unsecured</t>
        </is>
      </c>
      <c r="F608" t="inlineStr">
        <is>
          <t>28.05.2026</t>
        </is>
      </c>
      <c r="G608" t="inlineStr">
        <is>
          <t>Italy</t>
        </is>
      </c>
      <c r="H608" t="inlineStr">
        <is>
          <t>Utilities</t>
        </is>
      </c>
      <c r="I608" t="n">
        <v>100</v>
      </c>
      <c r="J608" t="n">
        <v>98.26000000000001</v>
      </c>
      <c r="K608" t="n">
        <v>2.255426</v>
      </c>
      <c r="L608" t="n">
        <v>-0.050392</v>
      </c>
      <c r="M608" t="n">
        <v>-0.080649</v>
      </c>
      <c r="N608" t="n">
        <v>42.0777251</v>
      </c>
      <c r="O608" t="n">
        <v>1.220763256</v>
      </c>
      <c r="P608" t="n">
        <v>80</v>
      </c>
      <c r="Q608" t="inlineStr">
        <is>
          <t xml:space="preserve">Italian utility company </t>
        </is>
      </c>
      <c r="R608" t="inlineStr">
        <is>
          <t>EUR</t>
        </is>
      </c>
      <c r="S608" t="inlineStr">
        <is>
          <t>Investment Grade</t>
        </is>
      </c>
      <c r="T608" t="inlineStr">
        <is>
          <t>BBB</t>
        </is>
      </c>
      <c r="U608" t="inlineStr">
        <is>
          <t>BBB</t>
        </is>
      </c>
    </row>
    <row r="609">
      <c r="A609" t="inlineStr">
        <is>
          <t>US06368LGV27</t>
        </is>
      </c>
      <c r="B609" t="inlineStr">
        <is>
          <t>Hold</t>
        </is>
      </c>
      <c r="C609" t="inlineStr">
        <is>
          <t>Bank Of Montreal</t>
        </is>
      </c>
      <c r="D609" t="n">
        <v>5.203</v>
      </c>
      <c r="E609" t="inlineStr">
        <is>
          <t>Sr Unsecured</t>
        </is>
      </c>
      <c r="F609" t="inlineStr">
        <is>
          <t>01.02.2028</t>
        </is>
      </c>
      <c r="G609" t="inlineStr">
        <is>
          <t>Canada</t>
        </is>
      </c>
      <c r="H609" t="inlineStr">
        <is>
          <t>Financial</t>
        </is>
      </c>
      <c r="I609" t="n">
        <v>2</v>
      </c>
      <c r="J609" t="n">
        <v>102.157</v>
      </c>
      <c r="K609" t="n">
        <v>4.277605</v>
      </c>
      <c r="L609" t="n">
        <v>0.031584</v>
      </c>
      <c r="M609" t="n">
        <v>-0.126391</v>
      </c>
      <c r="N609" t="n">
        <v>42.05920672</v>
      </c>
      <c r="O609" t="n">
        <v>2.625648402</v>
      </c>
      <c r="P609" t="n">
        <v>80</v>
      </c>
      <c r="Q609" t="inlineStr">
        <is>
          <t>Canadian chartered bank which operates throughout the world</t>
        </is>
      </c>
      <c r="R609" t="inlineStr">
        <is>
          <t>USD</t>
        </is>
      </c>
      <c r="S609" t="inlineStr">
        <is>
          <t>Investment Grade</t>
        </is>
      </c>
      <c r="T609" t="inlineStr">
        <is>
          <t>A</t>
        </is>
      </c>
      <c r="U609" t="inlineStr">
        <is>
          <t>A</t>
        </is>
      </c>
    </row>
    <row r="610">
      <c r="A610" t="inlineStr">
        <is>
          <t>XS2572989817</t>
        </is>
      </c>
      <c r="B610" t="inlineStr">
        <is>
          <t>Hold</t>
        </is>
      </c>
      <c r="C610" t="inlineStr">
        <is>
          <t>Toyota Motor Finance Bv</t>
        </is>
      </c>
      <c r="D610" t="n">
        <v>3.5</v>
      </c>
      <c r="E610" t="inlineStr">
        <is>
          <t>Sr Unsecured</t>
        </is>
      </c>
      <c r="F610" t="inlineStr">
        <is>
          <t>13.01.2028</t>
        </is>
      </c>
      <c r="G610" t="inlineStr">
        <is>
          <t>Japan</t>
        </is>
      </c>
      <c r="H610" t="inlineStr">
        <is>
          <t>Consumer, Cyclical</t>
        </is>
      </c>
      <c r="I610" t="n">
        <v>100</v>
      </c>
      <c r="J610" t="n">
        <v>102.756</v>
      </c>
      <c r="K610" t="n">
        <v>2.354586</v>
      </c>
      <c r="L610" t="n">
        <v>-0.09529600000000001</v>
      </c>
      <c r="M610" t="n">
        <v>-0.041376</v>
      </c>
      <c r="N610" t="n">
        <v>41.81122786</v>
      </c>
      <c r="O610" t="n">
        <v>2.710664545</v>
      </c>
      <c r="P610" t="n">
        <v>80</v>
      </c>
      <c r="Q610" t="inlineStr">
        <is>
          <t>One of the largest car maker in the world</t>
        </is>
      </c>
      <c r="R610" t="inlineStr">
        <is>
          <t>EUR</t>
        </is>
      </c>
      <c r="S610" t="inlineStr">
        <is>
          <t>Investment Grade</t>
        </is>
      </c>
      <c r="T610" t="inlineStr">
        <is>
          <t>A+</t>
        </is>
      </c>
      <c r="U610" t="inlineStr">
        <is>
          <t>A+</t>
        </is>
      </c>
    </row>
    <row r="611">
      <c r="A611" t="inlineStr">
        <is>
          <t>XS0096412548</t>
        </is>
      </c>
      <c r="B611" t="inlineStr">
        <is>
          <t xml:space="preserve">Hold </t>
        </is>
      </c>
      <c r="C611" t="inlineStr">
        <is>
          <t>Sncf Reseau</t>
        </is>
      </c>
      <c r="D611" t="n">
        <v>5.25</v>
      </c>
      <c r="E611" t="inlineStr">
        <is>
          <t>Sr Unsecured</t>
        </is>
      </c>
      <c r="F611" t="inlineStr">
        <is>
          <t>07.12.2028</t>
        </is>
      </c>
      <c r="G611" t="inlineStr">
        <is>
          <t>France</t>
        </is>
      </c>
      <c r="H611" t="inlineStr">
        <is>
          <t>Industrial</t>
        </is>
      </c>
      <c r="I611" t="n">
        <v>1</v>
      </c>
      <c r="J611" t="n">
        <v>103.101</v>
      </c>
      <c r="K611" t="n">
        <v>4.201728</v>
      </c>
      <c r="L611" t="n">
        <v>0.03359</v>
      </c>
      <c r="M611" t="n">
        <v>-0.110315</v>
      </c>
      <c r="N611" t="n">
        <v>41.80753589</v>
      </c>
      <c r="O611" t="n">
        <v>3.345786207</v>
      </c>
      <c r="P611" t="n">
        <v>85</v>
      </c>
      <c r="Q611" t="inlineStr">
        <is>
          <t>Provides railway network management services</t>
        </is>
      </c>
      <c r="R611" t="inlineStr">
        <is>
          <t>GBP</t>
        </is>
      </c>
      <c r="S611" t="inlineStr">
        <is>
          <t>Investment Grade</t>
        </is>
      </c>
      <c r="T611" t="inlineStr">
        <is>
          <t>AA-</t>
        </is>
      </c>
      <c r="U611" t="inlineStr">
        <is>
          <t>AA-</t>
        </is>
      </c>
    </row>
    <row r="612">
      <c r="A612" t="inlineStr">
        <is>
          <t>US105756AE07</t>
        </is>
      </c>
      <c r="B612" t="inlineStr">
        <is>
          <t xml:space="preserve">Hold </t>
        </is>
      </c>
      <c r="C612" t="inlineStr">
        <is>
          <t>Fed Republic Of Brazil</t>
        </is>
      </c>
      <c r="D612" t="n">
        <v>10.125</v>
      </c>
      <c r="E612" t="inlineStr">
        <is>
          <t>Sr Unsecured</t>
        </is>
      </c>
      <c r="F612" t="inlineStr">
        <is>
          <t>15.05.2027</t>
        </is>
      </c>
      <c r="G612" t="inlineStr">
        <is>
          <t>Brazil</t>
        </is>
      </c>
      <c r="H612" t="inlineStr">
        <is>
          <t>Government</t>
        </is>
      </c>
      <c r="I612" t="n">
        <v>1</v>
      </c>
      <c r="J612" t="n">
        <v>110.265</v>
      </c>
      <c r="K612" t="n">
        <v>4.295417</v>
      </c>
      <c r="L612" t="n">
        <v>-0.06498</v>
      </c>
      <c r="M612" t="n">
        <v>-0.183693</v>
      </c>
      <c r="N612" t="n">
        <v>41.6104801</v>
      </c>
      <c r="O612" t="n">
        <v>1.969650239</v>
      </c>
      <c r="P612" t="n">
        <v>25</v>
      </c>
      <c r="Q612" t="inlineStr">
        <is>
          <t>Brazilian Governemnt</t>
        </is>
      </c>
      <c r="R612" t="inlineStr">
        <is>
          <t>USD</t>
        </is>
      </c>
      <c r="S612" t="inlineStr">
        <is>
          <t>Latin America</t>
        </is>
      </c>
      <c r="T612" t="inlineStr">
        <is>
          <t>BB</t>
        </is>
      </c>
      <c r="U612" t="inlineStr">
        <is>
          <t>BB</t>
        </is>
      </c>
    </row>
    <row r="613">
      <c r="A613" t="inlineStr">
        <is>
          <t>US00440KAC71</t>
        </is>
      </c>
      <c r="B613" t="inlineStr">
        <is>
          <t>Top Pick</t>
        </is>
      </c>
      <c r="C613" t="inlineStr">
        <is>
          <t>Accenture Capital Inc</t>
        </is>
      </c>
      <c r="D613" t="n">
        <v>4.25</v>
      </c>
      <c r="E613" t="inlineStr">
        <is>
          <t>Sr Unsecured</t>
        </is>
      </c>
      <c r="F613" t="inlineStr">
        <is>
          <t>04.10.2031</t>
        </is>
      </c>
      <c r="G613" t="inlineStr">
        <is>
          <t>United states</t>
        </is>
      </c>
      <c r="H613" t="inlineStr">
        <is>
          <t>Technology</t>
        </is>
      </c>
      <c r="I613" t="n">
        <v>2</v>
      </c>
      <c r="J613" t="n">
        <v>98.709</v>
      </c>
      <c r="K613" t="n">
        <v>4.488551</v>
      </c>
      <c r="L613" t="n">
        <v>0.030761</v>
      </c>
      <c r="M613" t="n">
        <v>-0.109998</v>
      </c>
      <c r="N613" t="n">
        <v>41.59951949</v>
      </c>
      <c r="O613" t="n">
        <v>5.592489894</v>
      </c>
      <c r="P613" t="n">
        <v>0</v>
      </c>
      <c r="Q613" t="inlineStr">
        <is>
          <t xml:space="preserve">Largest global consultancy firm </t>
        </is>
      </c>
      <c r="R613" t="inlineStr">
        <is>
          <t>USD</t>
        </is>
      </c>
      <c r="S613" t="inlineStr">
        <is>
          <t>Investment Grade</t>
        </is>
      </c>
      <c r="T613" t="inlineStr">
        <is>
          <t>A+</t>
        </is>
      </c>
      <c r="U613" t="inlineStr">
        <is>
          <t>A+</t>
        </is>
      </c>
    </row>
    <row r="614">
      <c r="A614" t="inlineStr">
        <is>
          <t>XS1846632104</t>
        </is>
      </c>
      <c r="B614" t="inlineStr">
        <is>
          <t>Hold</t>
        </is>
      </c>
      <c r="C614" t="inlineStr">
        <is>
          <t>Edp Finance Bv</t>
        </is>
      </c>
      <c r="D614" t="n">
        <v>1.625</v>
      </c>
      <c r="E614" t="inlineStr">
        <is>
          <t>Sr Unsecured</t>
        </is>
      </c>
      <c r="F614" t="inlineStr">
        <is>
          <t>26.01.2026</t>
        </is>
      </c>
      <c r="G614" t="inlineStr">
        <is>
          <t>Portugal</t>
        </is>
      </c>
      <c r="H614" t="inlineStr">
        <is>
          <t>Utilities</t>
        </is>
      </c>
      <c r="I614" t="n">
        <v>100</v>
      </c>
      <c r="J614" t="n">
        <v>99.652</v>
      </c>
      <c r="K614" t="n">
        <v>2.246517</v>
      </c>
      <c r="L614" t="n">
        <v>-0.012587</v>
      </c>
      <c r="M614" t="n">
        <v>-0.061166</v>
      </c>
      <c r="N614" t="n">
        <v>41.52638857</v>
      </c>
      <c r="O614" t="n">
        <v>0.90111893</v>
      </c>
      <c r="P614" t="n">
        <v>60</v>
      </c>
      <c r="Q614" t="inlineStr">
        <is>
          <t>Portugal's largest utility company</t>
        </is>
      </c>
      <c r="R614" t="inlineStr">
        <is>
          <t>EUR</t>
        </is>
      </c>
      <c r="S614" t="inlineStr">
        <is>
          <t>Investment Grade</t>
        </is>
      </c>
      <c r="T614" t="inlineStr">
        <is>
          <t>BBB</t>
        </is>
      </c>
      <c r="U614" t="inlineStr">
        <is>
          <t>BBB</t>
        </is>
      </c>
    </row>
    <row r="615">
      <c r="A615" t="inlineStr">
        <is>
          <t>XS2723549528</t>
        </is>
      </c>
      <c r="B615" t="inlineStr">
        <is>
          <t>Hold</t>
        </is>
      </c>
      <c r="C615" t="inlineStr">
        <is>
          <t>Cie De Saint-Gobain Sa</t>
        </is>
      </c>
      <c r="D615" t="n">
        <v>3.75</v>
      </c>
      <c r="E615" t="inlineStr">
        <is>
          <t>Sr Unsecured</t>
        </is>
      </c>
      <c r="F615" t="inlineStr">
        <is>
          <t>29.11.2026</t>
        </is>
      </c>
      <c r="G615" t="inlineStr">
        <is>
          <t>France</t>
        </is>
      </c>
      <c r="H615" t="inlineStr">
        <is>
          <t>Industrial</t>
        </is>
      </c>
      <c r="I615" t="n">
        <v>100</v>
      </c>
      <c r="J615" t="n">
        <v>101.885</v>
      </c>
      <c r="K615" t="n">
        <v>2.264901</v>
      </c>
      <c r="L615" t="n">
        <v>-0.122277</v>
      </c>
      <c r="M615" t="n">
        <v>-0.150458</v>
      </c>
      <c r="N615" t="n">
        <v>41.30999273</v>
      </c>
      <c r="O615" t="n">
        <v>1.601848553</v>
      </c>
      <c r="P615" t="n">
        <v>60</v>
      </c>
      <c r="Q615" t="inlineStr">
        <is>
          <t>Manufactures glass products and construction materials</t>
        </is>
      </c>
      <c r="R615" t="inlineStr">
        <is>
          <t>EUR</t>
        </is>
      </c>
      <c r="S615" t="inlineStr">
        <is>
          <t>Investment Grade</t>
        </is>
      </c>
      <c r="T615" t="inlineStr">
        <is>
          <t>BBB+</t>
        </is>
      </c>
      <c r="U615" t="inlineStr">
        <is>
          <t>BBB+</t>
        </is>
      </c>
    </row>
    <row r="616">
      <c r="A616" t="inlineStr">
        <is>
          <t xml:space="preserve">XS2831017467 </t>
        </is>
      </c>
      <c r="B616" t="inlineStr">
        <is>
          <t>Hold</t>
        </is>
      </c>
      <c r="C616" t="inlineStr">
        <is>
          <t>Swedbank Ab</t>
        </is>
      </c>
      <c r="D616" t="n">
        <v>3.375</v>
      </c>
      <c r="E616" t="inlineStr">
        <is>
          <t>Sr Preferred</t>
        </is>
      </c>
      <c r="F616" t="inlineStr">
        <is>
          <t>29.05.2030</t>
        </is>
      </c>
      <c r="G616" t="inlineStr">
        <is>
          <t>Sweden</t>
        </is>
      </c>
      <c r="H616" t="inlineStr">
        <is>
          <t>Financial</t>
        </is>
      </c>
      <c r="I616" t="n">
        <v>100</v>
      </c>
      <c r="J616" t="n">
        <v>103.123</v>
      </c>
      <c r="K616" t="n">
        <v>2.683934</v>
      </c>
      <c r="L616" t="n">
        <v>-0.070605</v>
      </c>
      <c r="M616" t="n">
        <v>-0.106871</v>
      </c>
      <c r="N616" t="n">
        <v>41.22327229</v>
      </c>
      <c r="O616" t="n">
        <v>4.656213156</v>
      </c>
      <c r="P616" t="n">
        <v>80</v>
      </c>
      <c r="Q616" t="inlineStr">
        <is>
          <t xml:space="preserve">Sweden's largest savings bank. </t>
        </is>
      </c>
      <c r="R616" t="inlineStr">
        <is>
          <t>EUR</t>
        </is>
      </c>
      <c r="S616" t="inlineStr">
        <is>
          <t>Investment Grade</t>
        </is>
      </c>
      <c r="T616" t="inlineStr">
        <is>
          <t>AA-</t>
        </is>
      </c>
      <c r="U616" t="inlineStr">
        <is>
          <t>AA-</t>
        </is>
      </c>
    </row>
    <row r="617">
      <c r="A617" t="inlineStr">
        <is>
          <t>XS2696749626</t>
        </is>
      </c>
      <c r="B617" t="inlineStr">
        <is>
          <t>Hold</t>
        </is>
      </c>
      <c r="C617" t="inlineStr">
        <is>
          <t>Toyota Motor Finance Bv</t>
        </is>
      </c>
      <c r="D617" t="n">
        <v>4</v>
      </c>
      <c r="E617" t="inlineStr">
        <is>
          <t>Sr Unsecured</t>
        </is>
      </c>
      <c r="F617" t="inlineStr">
        <is>
          <t>02.04.2027</t>
        </is>
      </c>
      <c r="G617" t="inlineStr">
        <is>
          <t>Japan</t>
        </is>
      </c>
      <c r="H617" t="inlineStr">
        <is>
          <t>Consumer, Cyclical</t>
        </is>
      </c>
      <c r="I617" t="n">
        <v>100</v>
      </c>
      <c r="J617" t="n">
        <v>102.893</v>
      </c>
      <c r="K617" t="n">
        <v>2.271969</v>
      </c>
      <c r="L617" t="n">
        <v>-0.086049</v>
      </c>
      <c r="M617" t="n">
        <v>-0.092585</v>
      </c>
      <c r="N617" t="n">
        <v>41.18572993</v>
      </c>
      <c r="O617" t="n">
        <v>1.936865801</v>
      </c>
      <c r="P617" t="n">
        <v>80</v>
      </c>
      <c r="Q617" t="inlineStr">
        <is>
          <t>One of the largest car maker in the world</t>
        </is>
      </c>
      <c r="R617" t="inlineStr">
        <is>
          <t>EUR</t>
        </is>
      </c>
      <c r="S617" t="inlineStr">
        <is>
          <t>Investment Grade</t>
        </is>
      </c>
      <c r="T617" t="inlineStr">
        <is>
          <t>A+</t>
        </is>
      </c>
      <c r="U617" t="inlineStr">
        <is>
          <t>A+</t>
        </is>
      </c>
    </row>
    <row r="618">
      <c r="A618" t="inlineStr">
        <is>
          <t xml:space="preserve"> XS2834282142</t>
        </is>
      </c>
      <c r="B618" t="inlineStr">
        <is>
          <t>Hold</t>
        </is>
      </c>
      <c r="C618" t="inlineStr">
        <is>
          <t>Linde Plc</t>
        </is>
      </c>
      <c r="D618" t="n">
        <v>3.375</v>
      </c>
      <c r="E618" t="inlineStr">
        <is>
          <t>Sr Unsecured</t>
        </is>
      </c>
      <c r="F618" t="inlineStr">
        <is>
          <t>04.06.2030</t>
        </is>
      </c>
      <c r="G618" t="inlineStr">
        <is>
          <t>United states</t>
        </is>
      </c>
      <c r="H618" t="inlineStr">
        <is>
          <t>Basic Materials</t>
        </is>
      </c>
      <c r="I618" t="n">
        <v>100</v>
      </c>
      <c r="J618" t="n">
        <v>102.968</v>
      </c>
      <c r="K618" t="n">
        <v>2.68949</v>
      </c>
      <c r="L618" t="n">
        <v>-0.075421</v>
      </c>
      <c r="M618" t="n">
        <v>-0.09113300000000001</v>
      </c>
      <c r="N618" t="n">
        <v>41.17070913</v>
      </c>
      <c r="O618" t="n">
        <v>4.465851051</v>
      </c>
      <c r="P618" t="n">
        <v>80</v>
      </c>
      <c r="Q618" t="inlineStr">
        <is>
          <t xml:space="preserve">Manufacturer of industrial gas  </t>
        </is>
      </c>
      <c r="R618" t="inlineStr">
        <is>
          <t>EUR</t>
        </is>
      </c>
      <c r="S618" t="inlineStr">
        <is>
          <t>Investment Grade</t>
        </is>
      </c>
      <c r="T618" t="inlineStr">
        <is>
          <t>A</t>
        </is>
      </c>
      <c r="U618" t="inlineStr">
        <is>
          <t>A</t>
        </is>
      </c>
    </row>
    <row r="619">
      <c r="A619" t="inlineStr">
        <is>
          <t>XS0092541969</t>
        </is>
      </c>
      <c r="B619" t="inlineStr">
        <is>
          <t xml:space="preserve">Hold </t>
        </is>
      </c>
      <c r="C619" t="inlineStr">
        <is>
          <t>Equinor Asa</t>
        </is>
      </c>
      <c r="D619" t="n">
        <v>6.125</v>
      </c>
      <c r="E619" t="inlineStr">
        <is>
          <t>Sr Unsecured</t>
        </is>
      </c>
      <c r="F619" t="inlineStr">
        <is>
          <t>27.11.2028</t>
        </is>
      </c>
      <c r="G619" t="inlineStr">
        <is>
          <t>Norway</t>
        </is>
      </c>
      <c r="H619" t="inlineStr">
        <is>
          <t>Energy</t>
        </is>
      </c>
      <c r="I619" t="n">
        <v>1</v>
      </c>
      <c r="J619" t="n">
        <v>105.822</v>
      </c>
      <c r="K619" t="n">
        <v>4.188696</v>
      </c>
      <c r="L619" t="n">
        <v>-0.018614</v>
      </c>
      <c r="M619" t="n">
        <v>-0.214905</v>
      </c>
      <c r="N619" t="n">
        <v>40.66739034</v>
      </c>
      <c r="O619" t="n">
        <v>3.286545563</v>
      </c>
      <c r="P619" t="n">
        <v>85</v>
      </c>
      <c r="Q619" t="inlineStr">
        <is>
          <t>The company operates as an energy company</t>
        </is>
      </c>
      <c r="R619" t="inlineStr">
        <is>
          <t>GBP</t>
        </is>
      </c>
      <c r="S619" t="inlineStr">
        <is>
          <t>Investment Grade</t>
        </is>
      </c>
      <c r="T619" t="inlineStr">
        <is>
          <t>AA-</t>
        </is>
      </c>
      <c r="U619" t="inlineStr">
        <is>
          <t>AA-</t>
        </is>
      </c>
    </row>
    <row r="620">
      <c r="A620" t="inlineStr">
        <is>
          <t>US872898AD36</t>
        </is>
      </c>
      <c r="B620" t="inlineStr">
        <is>
          <t>Hold</t>
        </is>
      </c>
      <c r="C620" t="inlineStr">
        <is>
          <t>Tsmc Arizona Corp</t>
        </is>
      </c>
      <c r="D620" t="n">
        <v>3.125</v>
      </c>
      <c r="E620" t="inlineStr">
        <is>
          <t>Sr Unsecured</t>
        </is>
      </c>
      <c r="F620" t="inlineStr">
        <is>
          <t>25.10.2041</t>
        </is>
      </c>
      <c r="G620" t="inlineStr">
        <is>
          <t>Taiwan</t>
        </is>
      </c>
      <c r="H620" t="inlineStr">
        <is>
          <t>Technology</t>
        </is>
      </c>
      <c r="I620" t="n">
        <v>200</v>
      </c>
      <c r="J620" t="n">
        <v>77.20099999999999</v>
      </c>
      <c r="K620" t="n">
        <v>5.218844</v>
      </c>
      <c r="L620" t="n">
        <v>0.018969</v>
      </c>
      <c r="M620" t="n">
        <v>-0.06338000000000001</v>
      </c>
      <c r="N620" t="n">
        <v>40.42507553</v>
      </c>
      <c r="O620" t="n">
        <v>12.06868867</v>
      </c>
      <c r="P620" t="n">
        <v>70</v>
      </c>
      <c r="Q620" t="inlineStr">
        <is>
          <t>Manufactures semiconductor devices</t>
        </is>
      </c>
      <c r="R620" t="inlineStr">
        <is>
          <t>USD</t>
        </is>
      </c>
      <c r="S620" t="inlineStr">
        <is>
          <t>Investment Grade</t>
        </is>
      </c>
      <c r="T620" t="inlineStr">
        <is>
          <t>AA-</t>
        </is>
      </c>
      <c r="U620" t="inlineStr">
        <is>
          <t>AA-</t>
        </is>
      </c>
    </row>
    <row r="621">
      <c r="A621" t="inlineStr">
        <is>
          <t>XS2583741934</t>
        </is>
      </c>
      <c r="B621" t="inlineStr">
        <is>
          <t>Hold</t>
        </is>
      </c>
      <c r="C621" t="inlineStr">
        <is>
          <t>Ibm Corp</t>
        </is>
      </c>
      <c r="D621" t="n">
        <v>3.375</v>
      </c>
      <c r="E621" t="inlineStr">
        <is>
          <t>Sr Unsecured</t>
        </is>
      </c>
      <c r="F621" t="inlineStr">
        <is>
          <t>06.02.2027</t>
        </is>
      </c>
      <c r="G621" t="inlineStr">
        <is>
          <t>United states</t>
        </is>
      </c>
      <c r="H621" t="inlineStr">
        <is>
          <t>Technology</t>
        </is>
      </c>
      <c r="I621" t="n">
        <v>100</v>
      </c>
      <c r="J621" t="n">
        <v>101.614</v>
      </c>
      <c r="K621" t="n">
        <v>2.261186</v>
      </c>
      <c r="L621" t="n">
        <v>-0.08763700000000001</v>
      </c>
      <c r="M621" t="n">
        <v>-0.141119</v>
      </c>
      <c r="N621" t="n">
        <v>40.23005322</v>
      </c>
      <c r="O621" t="n">
        <v>1.787971626</v>
      </c>
      <c r="P621" t="n">
        <v>80</v>
      </c>
      <c r="Q621" t="inlineStr">
        <is>
          <t>International Business Machines Corporation (IBM) provides computer solutions</t>
        </is>
      </c>
      <c r="R621" t="inlineStr">
        <is>
          <t>EUR</t>
        </is>
      </c>
      <c r="S621" t="inlineStr">
        <is>
          <t>Investment Grade</t>
        </is>
      </c>
      <c r="T621" t="inlineStr">
        <is>
          <t>A-</t>
        </is>
      </c>
      <c r="U621" t="inlineStr">
        <is>
          <t>A-</t>
        </is>
      </c>
    </row>
    <row r="622">
      <c r="A622" t="inlineStr">
        <is>
          <t>US459200LF63</t>
        </is>
      </c>
      <c r="B622" t="inlineStr">
        <is>
          <t>Top Pick</t>
        </is>
      </c>
      <c r="C622" t="inlineStr">
        <is>
          <t>Ibm Corp</t>
        </is>
      </c>
      <c r="D622" t="n">
        <v>4.65</v>
      </c>
      <c r="E622" t="inlineStr">
        <is>
          <t>Sr Unsecured</t>
        </is>
      </c>
      <c r="F622" t="inlineStr">
        <is>
          <t>10.02.2028</t>
        </is>
      </c>
      <c r="G622" t="inlineStr">
        <is>
          <t>United states</t>
        </is>
      </c>
      <c r="H622" t="inlineStr">
        <is>
          <t>Technology</t>
        </is>
      </c>
      <c r="I622" t="n">
        <v>100</v>
      </c>
      <c r="J622" t="n">
        <v>100.913</v>
      </c>
      <c r="K622" t="n">
        <v>4.261511</v>
      </c>
      <c r="L622" t="n">
        <v>0.04936</v>
      </c>
      <c r="M622" t="n">
        <v>-0.100447</v>
      </c>
      <c r="N622" t="n">
        <v>40.21211004</v>
      </c>
      <c r="O622" t="n">
        <v>2.740331788</v>
      </c>
      <c r="P622" t="n">
        <v>0</v>
      </c>
      <c r="Q622" t="inlineStr">
        <is>
          <t>Computer solutions provider</t>
        </is>
      </c>
      <c r="R622" t="inlineStr">
        <is>
          <t>USD</t>
        </is>
      </c>
      <c r="S622" t="inlineStr">
        <is>
          <t>Investment Grade</t>
        </is>
      </c>
      <c r="T622" t="inlineStr">
        <is>
          <t>A-</t>
        </is>
      </c>
      <c r="U622" t="inlineStr">
        <is>
          <t>A-</t>
        </is>
      </c>
    </row>
    <row r="623">
      <c r="A623" t="inlineStr">
        <is>
          <t>XS1956037664</t>
        </is>
      </c>
      <c r="B623" t="inlineStr">
        <is>
          <t>Hold</t>
        </is>
      </c>
      <c r="C623" t="inlineStr">
        <is>
          <t>Fortum Oyj</t>
        </is>
      </c>
      <c r="D623" t="n">
        <v>1.625</v>
      </c>
      <c r="E623" t="inlineStr">
        <is>
          <t>Sr Unsecured</t>
        </is>
      </c>
      <c r="F623" t="inlineStr">
        <is>
          <t>27.02.2026</t>
        </is>
      </c>
      <c r="G623" t="inlineStr">
        <is>
          <t>Finland</t>
        </is>
      </c>
      <c r="H623" t="inlineStr">
        <is>
          <t>Utilities</t>
        </is>
      </c>
      <c r="I623" t="n">
        <v>100</v>
      </c>
      <c r="J623" t="n">
        <v>99.607</v>
      </c>
      <c r="K623" t="n">
        <v>2.244515</v>
      </c>
      <c r="L623" t="n">
        <v>-0.081278</v>
      </c>
      <c r="M623" t="n">
        <v>-0.111601</v>
      </c>
      <c r="N623" t="n">
        <v>40.12833519</v>
      </c>
      <c r="O623" t="n">
        <v>0.968058555</v>
      </c>
      <c r="P623" t="n">
        <v>80</v>
      </c>
      <c r="Q623" t="inlineStr">
        <is>
          <t>Finnish provider of energy related products and services</t>
        </is>
      </c>
      <c r="R623" t="inlineStr">
        <is>
          <t>EUR</t>
        </is>
      </c>
      <c r="S623" t="inlineStr">
        <is>
          <t>Investment Grade</t>
        </is>
      </c>
      <c r="T623" t="inlineStr">
        <is>
          <t>BBB+</t>
        </is>
      </c>
      <c r="U623" t="inlineStr">
        <is>
          <t>BBB</t>
        </is>
      </c>
    </row>
    <row r="624">
      <c r="A624" t="inlineStr">
        <is>
          <t>BE6312821612</t>
        </is>
      </c>
      <c r="B624" t="inlineStr">
        <is>
          <t>Hold</t>
        </is>
      </c>
      <c r="C624" t="inlineStr">
        <is>
          <t>Anheuser-Busch Inbev Sa/</t>
        </is>
      </c>
      <c r="D624" t="n">
        <v>1.125</v>
      </c>
      <c r="E624" t="inlineStr">
        <is>
          <t>Sr Unsecured</t>
        </is>
      </c>
      <c r="F624" t="inlineStr">
        <is>
          <t>01.07.2027</t>
        </is>
      </c>
      <c r="G624" t="inlineStr">
        <is>
          <t>Belgium</t>
        </is>
      </c>
      <c r="H624" t="inlineStr">
        <is>
          <t>Consumer, Non-cyclical</t>
        </is>
      </c>
      <c r="I624" t="n">
        <v>100</v>
      </c>
      <c r="J624" t="n">
        <v>97.81999999999999</v>
      </c>
      <c r="K624" t="n">
        <v>2.26237</v>
      </c>
      <c r="L624" t="n">
        <v>-0.074225</v>
      </c>
      <c r="M624" t="n">
        <v>-0.09579699999999999</v>
      </c>
      <c r="N624" t="n">
        <v>39.97332159</v>
      </c>
      <c r="O624" t="n">
        <v>2.254811779</v>
      </c>
      <c r="P624" t="n">
        <v>75</v>
      </c>
      <c r="Q624" t="inlineStr">
        <is>
          <t>World's largest brewing company</t>
        </is>
      </c>
      <c r="R624" t="inlineStr">
        <is>
          <t>EUR</t>
        </is>
      </c>
      <c r="S624" t="inlineStr">
        <is>
          <t>Investment Grade</t>
        </is>
      </c>
      <c r="T624" t="inlineStr">
        <is>
          <t>A-</t>
        </is>
      </c>
      <c r="U624" t="inlineStr">
        <is>
          <t>A-</t>
        </is>
      </c>
    </row>
    <row r="625">
      <c r="A625" t="inlineStr">
        <is>
          <t>FR001400FKA7</t>
        </is>
      </c>
      <c r="B625" t="inlineStr">
        <is>
          <t>Not accumulate</t>
        </is>
      </c>
      <c r="C625" t="inlineStr">
        <is>
          <t>Bpifrance Saca</t>
        </is>
      </c>
      <c r="D625" t="n">
        <v>2.875</v>
      </c>
      <c r="E625" t="inlineStr">
        <is>
          <t>Sr Unsecured</t>
        </is>
      </c>
      <c r="F625" t="inlineStr">
        <is>
          <t>25.11.2029</t>
        </is>
      </c>
      <c r="G625" t="inlineStr">
        <is>
          <t>France</t>
        </is>
      </c>
      <c r="H625" t="inlineStr">
        <is>
          <t>Government</t>
        </is>
      </c>
      <c r="I625" t="n">
        <v>100</v>
      </c>
      <c r="J625" t="n">
        <v>101.1</v>
      </c>
      <c r="K625" t="n">
        <v>2.603928</v>
      </c>
      <c r="L625" t="n">
        <v>0.028284</v>
      </c>
      <c r="M625" t="n">
        <v>0.047921</v>
      </c>
      <c r="N625" t="n">
        <v>39.96723574</v>
      </c>
      <c r="O625" t="n">
        <v>4.355840489</v>
      </c>
      <c r="P625" t="n">
        <v>85</v>
      </c>
      <c r="Q625" t="inlineStr">
        <is>
          <t>Operates as an administrative state agency</t>
        </is>
      </c>
      <c r="R625" t="inlineStr">
        <is>
          <t>EUR</t>
        </is>
      </c>
      <c r="S625" t="inlineStr">
        <is>
          <t>Investment Grade</t>
        </is>
      </c>
      <c r="T625" t="inlineStr">
        <is>
          <t>AA-</t>
        </is>
      </c>
      <c r="U625" t="inlineStr">
        <is>
          <t>AA-</t>
        </is>
      </c>
    </row>
    <row r="626">
      <c r="A626" t="inlineStr">
        <is>
          <t>US30303M8N52</t>
        </is>
      </c>
      <c r="B626" t="inlineStr">
        <is>
          <t>Top Pick</t>
        </is>
      </c>
      <c r="C626" t="inlineStr">
        <is>
          <t>Meta Platforms Inc</t>
        </is>
      </c>
      <c r="D626" t="n">
        <v>4.95</v>
      </c>
      <c r="E626" t="inlineStr">
        <is>
          <t>Sr Unsecured</t>
        </is>
      </c>
      <c r="F626" t="inlineStr">
        <is>
          <t>15.05.2033</t>
        </is>
      </c>
      <c r="G626" t="inlineStr">
        <is>
          <t>United states</t>
        </is>
      </c>
      <c r="H626" t="inlineStr">
        <is>
          <t>Communications</t>
        </is>
      </c>
      <c r="I626" t="n">
        <v>2</v>
      </c>
      <c r="J626" t="n">
        <v>102.136</v>
      </c>
      <c r="K626" t="n">
        <v>4.613571</v>
      </c>
      <c r="L626" t="n">
        <v>0.000762</v>
      </c>
      <c r="M626" t="n">
        <v>-0.13117</v>
      </c>
      <c r="N626" t="n">
        <v>39.94520849</v>
      </c>
      <c r="O626" t="n">
        <v>6.611577554</v>
      </c>
      <c r="P626" t="n">
        <v>80</v>
      </c>
      <c r="Q626" t="inlineStr">
        <is>
          <t>A social technology company</t>
        </is>
      </c>
      <c r="R626" t="inlineStr">
        <is>
          <t>USD</t>
        </is>
      </c>
      <c r="S626" t="inlineStr">
        <is>
          <t>Investment Grade</t>
        </is>
      </c>
      <c r="T626" t="inlineStr">
        <is>
          <t>AA-</t>
        </is>
      </c>
      <c r="U626" t="inlineStr">
        <is>
          <t>AA-</t>
        </is>
      </c>
    </row>
    <row r="627">
      <c r="A627" t="inlineStr">
        <is>
          <t>XS2572989650</t>
        </is>
      </c>
      <c r="B627" t="inlineStr">
        <is>
          <t>Hold</t>
        </is>
      </c>
      <c r="C627" t="inlineStr">
        <is>
          <t>Toyota Motor Finance Bv</t>
        </is>
      </c>
      <c r="D627" t="n">
        <v>3.375</v>
      </c>
      <c r="E627" t="inlineStr">
        <is>
          <t>Sr Unsecured</t>
        </is>
      </c>
      <c r="F627" t="inlineStr">
        <is>
          <t>13.01.2026</t>
        </is>
      </c>
      <c r="G627" t="inlineStr">
        <is>
          <t>Japan</t>
        </is>
      </c>
      <c r="H627" t="inlineStr">
        <is>
          <t>Consumer, Cyclical</t>
        </is>
      </c>
      <c r="I627" t="n">
        <v>100</v>
      </c>
      <c r="J627" t="n">
        <v>100.567</v>
      </c>
      <c r="K627" t="n">
        <v>2.226102</v>
      </c>
      <c r="L627" t="n">
        <v>-0.051936</v>
      </c>
      <c r="M627" t="n">
        <v>-0.053696</v>
      </c>
      <c r="N627" t="n">
        <v>39.15674255</v>
      </c>
      <c r="O627" t="n">
        <v>0.865168595</v>
      </c>
      <c r="P627" t="n">
        <v>80</v>
      </c>
      <c r="Q627" t="inlineStr">
        <is>
          <t>One of the largest car maker in the world</t>
        </is>
      </c>
      <c r="R627" t="inlineStr">
        <is>
          <t>EUR</t>
        </is>
      </c>
      <c r="S627" t="inlineStr">
        <is>
          <t>Investment Grade</t>
        </is>
      </c>
      <c r="T627" t="inlineStr">
        <is>
          <t>A+</t>
        </is>
      </c>
      <c r="U627" t="inlineStr">
        <is>
          <t>A+</t>
        </is>
      </c>
    </row>
    <row r="628">
      <c r="A628" t="inlineStr">
        <is>
          <t xml:space="preserve">  US718172DM83</t>
        </is>
      </c>
      <c r="B628" t="inlineStr">
        <is>
          <t>Top Pick</t>
        </is>
      </c>
      <c r="C628" t="inlineStr">
        <is>
          <t>Philip Morris Intl Inc</t>
        </is>
      </c>
      <c r="D628" t="n">
        <v>4.375</v>
      </c>
      <c r="E628" t="inlineStr">
        <is>
          <t>Sr Unsecured</t>
        </is>
      </c>
      <c r="F628" t="inlineStr">
        <is>
          <t>01.11.2027</t>
        </is>
      </c>
      <c r="G628" t="inlineStr">
        <is>
          <t>United states</t>
        </is>
      </c>
      <c r="H628" t="inlineStr">
        <is>
          <t>Consumer, Non-cyclical</t>
        </is>
      </c>
      <c r="I628" t="n">
        <v>2</v>
      </c>
      <c r="J628" t="n">
        <v>100.287</v>
      </c>
      <c r="K628" t="n">
        <v>4.241245</v>
      </c>
      <c r="L628" t="n">
        <v>0.054927</v>
      </c>
      <c r="M628" t="n">
        <v>-0.092208</v>
      </c>
      <c r="N628" t="n">
        <v>38.95459413</v>
      </c>
      <c r="O628" t="n">
        <v>2.480047465</v>
      </c>
      <c r="P628" t="n">
        <v>0</v>
      </c>
      <c r="Q628" t="inlineStr">
        <is>
          <t>World's leading international tobacco company</t>
        </is>
      </c>
      <c r="R628" t="inlineStr">
        <is>
          <t>USD</t>
        </is>
      </c>
      <c r="S628" t="inlineStr">
        <is>
          <t>Investment Grade</t>
        </is>
      </c>
      <c r="T628" t="inlineStr">
        <is>
          <t>A-</t>
        </is>
      </c>
      <c r="U628" t="inlineStr">
        <is>
          <t>A-</t>
        </is>
      </c>
    </row>
    <row r="629">
      <c r="A629" t="inlineStr">
        <is>
          <t>FR001400KJP7</t>
        </is>
      </c>
      <c r="B629" t="inlineStr">
        <is>
          <t>Hold</t>
        </is>
      </c>
      <c r="C629" t="inlineStr">
        <is>
          <t>Lvmh Moet Hennessy Vuitt</t>
        </is>
      </c>
      <c r="D629" t="n">
        <v>3.25</v>
      </c>
      <c r="E629" t="inlineStr">
        <is>
          <t>Sr Unsecured</t>
        </is>
      </c>
      <c r="F629" t="inlineStr">
        <is>
          <t>07.09.2029</t>
        </is>
      </c>
      <c r="G629" t="inlineStr">
        <is>
          <t>France</t>
        </is>
      </c>
      <c r="H629" t="inlineStr">
        <is>
          <t>Consumer, Cyclical</t>
        </is>
      </c>
      <c r="I629" t="n">
        <v>100</v>
      </c>
      <c r="J629" t="n">
        <v>102.558</v>
      </c>
      <c r="K629" t="n">
        <v>2.555142</v>
      </c>
      <c r="L629" t="n">
        <v>-0.113057</v>
      </c>
      <c r="M629" t="n">
        <v>-0.069435</v>
      </c>
      <c r="N629" t="n">
        <v>38.74087079</v>
      </c>
      <c r="O629" t="n">
        <v>3.904376048</v>
      </c>
      <c r="P629" t="n">
        <v>85</v>
      </c>
      <c r="Q629" t="inlineStr">
        <is>
          <t>French luxury group</t>
        </is>
      </c>
      <c r="R629" t="inlineStr">
        <is>
          <t>EUR</t>
        </is>
      </c>
      <c r="S629" t="inlineStr">
        <is>
          <t>Investment Grade</t>
        </is>
      </c>
      <c r="T629" t="inlineStr">
        <is>
          <t>AA-</t>
        </is>
      </c>
      <c r="U629" t="inlineStr">
        <is>
          <t>AA-</t>
        </is>
      </c>
    </row>
    <row r="630">
      <c r="A630" t="inlineStr">
        <is>
          <t>XS2895631567</t>
        </is>
      </c>
      <c r="B630" t="inlineStr">
        <is>
          <t xml:space="preserve">Hold </t>
        </is>
      </c>
      <c r="C630" t="inlineStr">
        <is>
          <t>E.On Se</t>
        </is>
      </c>
      <c r="D630" t="n">
        <v>3.125</v>
      </c>
      <c r="E630" t="inlineStr">
        <is>
          <t>Sr Unsecured</t>
        </is>
      </c>
      <c r="F630" t="inlineStr">
        <is>
          <t>05.03.2030</t>
        </is>
      </c>
      <c r="G630" t="inlineStr">
        <is>
          <t>Germany</t>
        </is>
      </c>
      <c r="H630" t="inlineStr">
        <is>
          <t>Utilities</t>
        </is>
      </c>
      <c r="I630" t="n">
        <v>1</v>
      </c>
      <c r="J630" t="n">
        <v>102.008</v>
      </c>
      <c r="K630" t="n">
        <v>2.636068</v>
      </c>
      <c r="L630" t="n">
        <v>-0.092053</v>
      </c>
      <c r="M630" t="n">
        <v>-0.09489300000000001</v>
      </c>
      <c r="N630" t="n">
        <v>38.72119068</v>
      </c>
      <c r="O630" t="n">
        <v>4.32136371</v>
      </c>
      <c r="P630" t="n">
        <v>0</v>
      </c>
      <c r="Q630" t="inlineStr">
        <is>
          <t xml:space="preserve">German utility company </t>
        </is>
      </c>
      <c r="R630" t="inlineStr">
        <is>
          <t>EUR</t>
        </is>
      </c>
      <c r="S630" t="inlineStr">
        <is>
          <t>Investment Grade</t>
        </is>
      </c>
      <c r="T630" t="inlineStr">
        <is>
          <t>BBB+</t>
        </is>
      </c>
      <c r="U630" t="inlineStr">
        <is>
          <t>BBB+</t>
        </is>
      </c>
    </row>
    <row r="631">
      <c r="A631" t="inlineStr">
        <is>
          <t>XS1854532949</t>
        </is>
      </c>
      <c r="B631" t="inlineStr">
        <is>
          <t>Hold</t>
        </is>
      </c>
      <c r="C631" t="inlineStr">
        <is>
          <t>Fresenius Medical Care A</t>
        </is>
      </c>
      <c r="D631" t="n">
        <v>1.5</v>
      </c>
      <c r="E631" t="inlineStr">
        <is>
          <t>Sr Unsecured</t>
        </is>
      </c>
      <c r="F631" t="inlineStr">
        <is>
          <t>11.07.2025</t>
        </is>
      </c>
      <c r="G631" t="inlineStr">
        <is>
          <t>Germany</t>
        </is>
      </c>
      <c r="H631" t="inlineStr">
        <is>
          <t>Consumer, Non-cyclical</t>
        </is>
      </c>
      <c r="I631" t="n">
        <v>1</v>
      </c>
      <c r="J631" t="n">
        <v>99.996</v>
      </c>
      <c r="K631" t="n">
        <v>2.197309</v>
      </c>
      <c r="L631" t="n">
        <v>-0.459541</v>
      </c>
      <c r="M631" t="n">
        <v>-0.232422</v>
      </c>
      <c r="N631" t="n">
        <v>38.65665758</v>
      </c>
      <c r="O631" t="n">
        <v>0.372003162</v>
      </c>
      <c r="P631" t="n">
        <v>80</v>
      </c>
      <c r="Q631" t="inlineStr">
        <is>
          <t>Leading Healthcare company in dialysis</t>
        </is>
      </c>
      <c r="R631" t="inlineStr">
        <is>
          <t>EUR</t>
        </is>
      </c>
      <c r="S631" t="inlineStr">
        <is>
          <t>Investment Grade</t>
        </is>
      </c>
      <c r="T631" t="inlineStr">
        <is>
          <t>BBB-</t>
        </is>
      </c>
      <c r="U631" t="inlineStr">
        <is>
          <t>BBB-</t>
        </is>
      </c>
    </row>
    <row r="632">
      <c r="A632" t="inlineStr">
        <is>
          <t>US532457CF35</t>
        </is>
      </c>
      <c r="B632" t="inlineStr">
        <is>
          <t>Hold</t>
        </is>
      </c>
      <c r="C632" t="inlineStr">
        <is>
          <t>Eli Lilly &amp; Co</t>
        </is>
      </c>
      <c r="D632" t="n">
        <v>4.7</v>
      </c>
      <c r="E632" t="inlineStr">
        <is>
          <t>Sr Unsecured</t>
        </is>
      </c>
      <c r="F632" t="inlineStr">
        <is>
          <t>27.02.2033</t>
        </is>
      </c>
      <c r="G632" t="inlineStr">
        <is>
          <t>United states</t>
        </is>
      </c>
      <c r="H632" t="inlineStr">
        <is>
          <t>Consumer, Non-cyclical</t>
        </is>
      </c>
      <c r="I632" t="n">
        <v>2</v>
      </c>
      <c r="J632" t="n">
        <v>100.702</v>
      </c>
      <c r="K632" t="n">
        <v>4.58671</v>
      </c>
      <c r="L632" t="n">
        <v>-0.023066</v>
      </c>
      <c r="M632" t="n">
        <v>-0.168903</v>
      </c>
      <c r="N632" t="n">
        <v>38.52011509</v>
      </c>
      <c r="O632" t="n">
        <v>6.449711151</v>
      </c>
      <c r="P632" t="n">
        <v>80</v>
      </c>
      <c r="Q632" t="inlineStr">
        <is>
          <t>Develops and sells pharmaceutical products for humans and animals</t>
        </is>
      </c>
      <c r="R632" t="inlineStr">
        <is>
          <t>USD</t>
        </is>
      </c>
      <c r="S632" t="inlineStr">
        <is>
          <t>Investment Grade</t>
        </is>
      </c>
      <c r="T632" t="inlineStr">
        <is>
          <t>A+</t>
        </is>
      </c>
      <c r="U632" t="inlineStr">
        <is>
          <t>A+</t>
        </is>
      </c>
    </row>
    <row r="633">
      <c r="A633" t="inlineStr">
        <is>
          <t>FR001400CVE3</t>
        </is>
      </c>
      <c r="B633" t="inlineStr">
        <is>
          <t>Not accumulate</t>
        </is>
      </c>
      <c r="C633" t="inlineStr">
        <is>
          <t>Caisse D'Amort Dette Soc</t>
        </is>
      </c>
      <c r="D633" t="n">
        <v>2.75</v>
      </c>
      <c r="E633" t="inlineStr">
        <is>
          <t>Sr Unsecured</t>
        </is>
      </c>
      <c r="F633" t="inlineStr">
        <is>
          <t>25.11.2032</t>
        </is>
      </c>
      <c r="G633" t="inlineStr">
        <is>
          <t>France</t>
        </is>
      </c>
      <c r="H633" t="inlineStr">
        <is>
          <t>Government</t>
        </is>
      </c>
      <c r="I633" t="n">
        <v>100</v>
      </c>
      <c r="J633" t="n">
        <v>98.45999999999999</v>
      </c>
      <c r="K633" t="n">
        <v>2.984172</v>
      </c>
      <c r="L633" t="n">
        <v>0.046269</v>
      </c>
      <c r="M633" t="n">
        <v>0.07843700000000001</v>
      </c>
      <c r="N633" t="n">
        <v>38.36266994</v>
      </c>
      <c r="O633" t="n">
        <v>6.82117669</v>
      </c>
      <c r="P633" t="n">
        <v>85</v>
      </c>
      <c r="Q633" t="inlineStr">
        <is>
          <t>Operates as an administrative state agency</t>
        </is>
      </c>
      <c r="R633" t="inlineStr">
        <is>
          <t>EUR</t>
        </is>
      </c>
      <c r="S633" t="inlineStr">
        <is>
          <t>Investment Grade</t>
        </is>
      </c>
      <c r="T633" t="inlineStr">
        <is>
          <t>AA-</t>
        </is>
      </c>
      <c r="U633" t="inlineStr">
        <is>
          <t>AA-</t>
        </is>
      </c>
    </row>
    <row r="634">
      <c r="A634" t="inlineStr">
        <is>
          <t>US532457CW67</t>
        </is>
      </c>
      <c r="B634" t="inlineStr">
        <is>
          <t>Top Pick</t>
        </is>
      </c>
      <c r="C634" t="inlineStr">
        <is>
          <t>Eli Lilly &amp; Co</t>
        </is>
      </c>
      <c r="D634" t="n">
        <v>4.9</v>
      </c>
      <c r="E634" t="inlineStr">
        <is>
          <t>Sr Unsecured</t>
        </is>
      </c>
      <c r="F634" t="inlineStr">
        <is>
          <t>12.02.2032</t>
        </is>
      </c>
      <c r="G634" t="inlineStr">
        <is>
          <t>United states</t>
        </is>
      </c>
      <c r="H634" t="inlineStr">
        <is>
          <t>Consumer, Non-cyclical</t>
        </is>
      </c>
      <c r="I634" t="n">
        <v>2</v>
      </c>
      <c r="J634" t="n">
        <v>102.334</v>
      </c>
      <c r="K634" t="n">
        <v>4.478259</v>
      </c>
      <c r="L634" t="n">
        <v>0.033143</v>
      </c>
      <c r="M634" t="n">
        <v>-0.105959</v>
      </c>
      <c r="N634" t="n">
        <v>37.95488687</v>
      </c>
      <c r="O634" t="n">
        <v>5.729541721</v>
      </c>
      <c r="P634" t="n">
        <v>0</v>
      </c>
      <c r="Q634" t="inlineStr">
        <is>
          <t>Develops and sells pharmaceutical products for humans and animals</t>
        </is>
      </c>
      <c r="R634" t="inlineStr">
        <is>
          <t>USD</t>
        </is>
      </c>
      <c r="S634" t="inlineStr">
        <is>
          <t>Investment Grade</t>
        </is>
      </c>
      <c r="T634" t="inlineStr">
        <is>
          <t>A+</t>
        </is>
      </c>
      <c r="U634" t="inlineStr">
        <is>
          <t>NR</t>
        </is>
      </c>
    </row>
    <row r="635">
      <c r="A635" t="inlineStr">
        <is>
          <t>US61746BCY02</t>
        </is>
      </c>
      <c r="B635" t="inlineStr">
        <is>
          <t>Top Pick</t>
        </is>
      </c>
      <c r="C635" t="inlineStr">
        <is>
          <t>Morgan Stanley</t>
        </is>
      </c>
      <c r="D635" t="n">
        <v>6.25</v>
      </c>
      <c r="E635" t="inlineStr">
        <is>
          <t>Sr Unsecured</t>
        </is>
      </c>
      <c r="F635" t="inlineStr">
        <is>
          <t>09.08.2026</t>
        </is>
      </c>
      <c r="G635" t="inlineStr">
        <is>
          <t>United states</t>
        </is>
      </c>
      <c r="H635" t="inlineStr">
        <is>
          <t>Financial</t>
        </is>
      </c>
      <c r="I635" t="n">
        <v>100</v>
      </c>
      <c r="J635" t="n">
        <v>101.959</v>
      </c>
      <c r="K635" t="n">
        <v>4.378809</v>
      </c>
      <c r="L635" t="n">
        <v>-0.015271</v>
      </c>
      <c r="M635" t="n">
        <v>-0.028599</v>
      </c>
      <c r="N635" t="n">
        <v>37.85221567</v>
      </c>
      <c r="O635" t="n">
        <v>1.392051091</v>
      </c>
      <c r="P635" t="n">
        <v>80</v>
      </c>
      <c r="Q635" t="inlineStr">
        <is>
          <t>One of the largest US investment banks</t>
        </is>
      </c>
      <c r="R635" t="inlineStr">
        <is>
          <t>USD</t>
        </is>
      </c>
      <c r="S635" t="inlineStr">
        <is>
          <t>Investment Grade</t>
        </is>
      </c>
      <c r="T635" t="inlineStr">
        <is>
          <t>A</t>
        </is>
      </c>
      <c r="U635" t="inlineStr">
        <is>
          <t>A</t>
        </is>
      </c>
    </row>
    <row r="636">
      <c r="A636" t="inlineStr">
        <is>
          <t>FR001400H7V7</t>
        </is>
      </c>
      <c r="B636" t="inlineStr">
        <is>
          <t>Not accumulate</t>
        </is>
      </c>
      <c r="C636" t="inlineStr">
        <is>
          <t>France (Govt Of)</t>
        </is>
      </c>
      <c r="D636" t="n">
        <v>3</v>
      </c>
      <c r="E636" t="inlineStr">
        <is>
          <t>Unsecured</t>
        </is>
      </c>
      <c r="F636" t="inlineStr">
        <is>
          <t>25.05.2033</t>
        </is>
      </c>
      <c r="G636" t="inlineStr">
        <is>
          <t>France</t>
        </is>
      </c>
      <c r="H636" t="inlineStr">
        <is>
          <t>Government</t>
        </is>
      </c>
      <c r="I636" t="n">
        <v>0.001</v>
      </c>
      <c r="J636" t="n">
        <v>99.78100000000001</v>
      </c>
      <c r="K636" t="n">
        <v>3.030974</v>
      </c>
      <c r="L636" t="n">
        <v>0.04104</v>
      </c>
      <c r="M636" t="n">
        <v>0.081993</v>
      </c>
      <c r="N636" t="n">
        <v>37.81730348</v>
      </c>
      <c r="O636" t="n">
        <v>7.043104436</v>
      </c>
      <c r="P636" t="n">
        <v>85</v>
      </c>
      <c r="Q636" t="inlineStr">
        <is>
          <t>France governemnt bond</t>
        </is>
      </c>
      <c r="R636" t="inlineStr">
        <is>
          <t>EUR</t>
        </is>
      </c>
      <c r="S636" t="inlineStr">
        <is>
          <t>Investment Grade</t>
        </is>
      </c>
      <c r="T636" t="inlineStr">
        <is>
          <t>NR</t>
        </is>
      </c>
      <c r="U636" t="inlineStr">
        <is>
          <t>NR</t>
        </is>
      </c>
    </row>
    <row r="637">
      <c r="A637" t="inlineStr">
        <is>
          <t>XS2451376219</t>
        </is>
      </c>
      <c r="B637" t="inlineStr">
        <is>
          <t>Hold</t>
        </is>
      </c>
      <c r="C637" t="inlineStr">
        <is>
          <t>Deutsche Bahn Fin Gmbh</t>
        </is>
      </c>
      <c r="D637" t="n">
        <v>1.375</v>
      </c>
      <c r="E637" t="inlineStr">
        <is>
          <t>Sr Unsecured</t>
        </is>
      </c>
      <c r="F637" t="inlineStr">
        <is>
          <t>03.03.2034</t>
        </is>
      </c>
      <c r="G637" t="inlineStr">
        <is>
          <t>Germany</t>
        </is>
      </c>
      <c r="H637" t="inlineStr">
        <is>
          <t>Industrial</t>
        </is>
      </c>
      <c r="I637" t="n">
        <v>1</v>
      </c>
      <c r="J637" t="n">
        <v>86.807</v>
      </c>
      <c r="K637" t="n">
        <v>3.139911</v>
      </c>
      <c r="L637" t="n">
        <v>-0.005205</v>
      </c>
      <c r="M637" t="n">
        <v>0.108753</v>
      </c>
      <c r="N637" t="n">
        <v>37.65722839</v>
      </c>
      <c r="O637" t="n">
        <v>8.122145786999999</v>
      </c>
      <c r="P637" t="n">
        <v>85</v>
      </c>
      <c r="Q637" t="inlineStr">
        <is>
          <t>Germany's state-owned rail and logistics group</t>
        </is>
      </c>
      <c r="R637" t="inlineStr">
        <is>
          <t>EUR</t>
        </is>
      </c>
      <c r="S637" t="inlineStr">
        <is>
          <t>Investment Grade</t>
        </is>
      </c>
      <c r="T637" t="inlineStr">
        <is>
          <t>AA</t>
        </is>
      </c>
      <c r="U637" t="inlineStr">
        <is>
          <t>AA</t>
        </is>
      </c>
    </row>
    <row r="638">
      <c r="A638" t="inlineStr">
        <is>
          <t>XS2593105476</t>
        </is>
      </c>
      <c r="B638" t="inlineStr">
        <is>
          <t>Hold</t>
        </is>
      </c>
      <c r="C638" t="inlineStr">
        <is>
          <t>Astrazeneca Plc</t>
        </is>
      </c>
      <c r="D638" t="n">
        <v>3.75</v>
      </c>
      <c r="E638" t="inlineStr">
        <is>
          <t>Sr Unsecured</t>
        </is>
      </c>
      <c r="F638" t="inlineStr">
        <is>
          <t>03.03.2032</t>
        </is>
      </c>
      <c r="G638" t="inlineStr">
        <is>
          <t>United Kingdom</t>
        </is>
      </c>
      <c r="H638" t="inlineStr">
        <is>
          <t>Consumer, Non-cyclical</t>
        </is>
      </c>
      <c r="I638" t="n">
        <v>100</v>
      </c>
      <c r="J638" t="n">
        <v>104.979</v>
      </c>
      <c r="K638" t="n">
        <v>2.886754</v>
      </c>
      <c r="L638" t="n">
        <v>-0.13487</v>
      </c>
      <c r="M638" t="n">
        <v>-0.113715</v>
      </c>
      <c r="N638" t="n">
        <v>37.57841001</v>
      </c>
      <c r="O638" t="n">
        <v>5.737947526</v>
      </c>
      <c r="P638" t="n">
        <v>80</v>
      </c>
      <c r="Q638" t="inlineStr">
        <is>
          <t>Anglo-Swedish multinational pharmaceutical company</t>
        </is>
      </c>
      <c r="R638" t="inlineStr">
        <is>
          <t>EUR</t>
        </is>
      </c>
      <c r="S638" t="inlineStr">
        <is>
          <t>Investment Grade</t>
        </is>
      </c>
      <c r="T638" t="inlineStr">
        <is>
          <t>A+</t>
        </is>
      </c>
      <c r="U638" t="inlineStr">
        <is>
          <t>A</t>
        </is>
      </c>
    </row>
    <row r="639">
      <c r="A639" t="inlineStr">
        <is>
          <t>XS1982100643</t>
        </is>
      </c>
      <c r="B639" t="inlineStr">
        <is>
          <t>Hold</t>
        </is>
      </c>
      <c r="C639" t="inlineStr">
        <is>
          <t>Diageo Finance Plc</t>
        </is>
      </c>
      <c r="D639" t="n">
        <v>1.75</v>
      </c>
      <c r="E639" t="inlineStr">
        <is>
          <t>Sr Unsecured</t>
        </is>
      </c>
      <c r="F639" t="inlineStr">
        <is>
          <t>12.10.2026</t>
        </is>
      </c>
      <c r="G639" t="inlineStr">
        <is>
          <t>United Kingdom</t>
        </is>
      </c>
      <c r="H639" t="inlineStr">
        <is>
          <t>Consumer, Non-cyclical</t>
        </is>
      </c>
      <c r="I639" t="n">
        <v>100</v>
      </c>
      <c r="J639" t="n">
        <v>97.05800000000001</v>
      </c>
      <c r="K639" t="n">
        <v>4.146388</v>
      </c>
      <c r="L639" t="n">
        <v>-0.062887</v>
      </c>
      <c r="M639" t="n">
        <v>-0.208014</v>
      </c>
      <c r="N639" t="n">
        <v>37.32359191</v>
      </c>
      <c r="O639" t="n">
        <v>1.545513991</v>
      </c>
      <c r="P639" t="n">
        <v>80</v>
      </c>
      <c r="Q639" t="inlineStr">
        <is>
          <t>World's largest manufacturer and distributor of premium spirits, wine and beer</t>
        </is>
      </c>
      <c r="R639" t="inlineStr">
        <is>
          <t>GBP</t>
        </is>
      </c>
      <c r="S639" t="inlineStr">
        <is>
          <t>Investment Grade</t>
        </is>
      </c>
      <c r="T639" t="inlineStr">
        <is>
          <t>A-</t>
        </is>
      </c>
      <c r="U639" t="inlineStr">
        <is>
          <t>A-</t>
        </is>
      </c>
    </row>
    <row r="640">
      <c r="A640" t="inlineStr">
        <is>
          <t>XS2575555938</t>
        </is>
      </c>
      <c r="B640" t="inlineStr">
        <is>
          <t>Hold</t>
        </is>
      </c>
      <c r="C640" t="inlineStr">
        <is>
          <t>Abb Finance Bv</t>
        </is>
      </c>
      <c r="D640" t="n">
        <v>3.25</v>
      </c>
      <c r="E640" t="inlineStr">
        <is>
          <t>Sr Unsecured</t>
        </is>
      </c>
      <c r="F640" t="inlineStr">
        <is>
          <t>16.01.2027</t>
        </is>
      </c>
      <c r="G640" t="inlineStr">
        <is>
          <t>Switzerland</t>
        </is>
      </c>
      <c r="H640" t="inlineStr">
        <is>
          <t>Industrial</t>
        </is>
      </c>
      <c r="I640" t="n">
        <v>100</v>
      </c>
      <c r="J640" t="n">
        <v>101.421</v>
      </c>
      <c r="K640" t="n">
        <v>2.229295</v>
      </c>
      <c r="L640" t="n">
        <v>-0.104119</v>
      </c>
      <c r="M640" t="n">
        <v>-0.157787</v>
      </c>
      <c r="N640" t="n">
        <v>37.30203557</v>
      </c>
      <c r="O640" t="n">
        <v>1.736214792</v>
      </c>
      <c r="P640" t="n">
        <v>80</v>
      </c>
      <c r="Q640" t="inlineStr">
        <is>
          <t xml:space="preserve">Provides power and automation technologies </t>
        </is>
      </c>
      <c r="R640" t="inlineStr">
        <is>
          <t>EUR</t>
        </is>
      </c>
      <c r="S640" t="inlineStr">
        <is>
          <t>Investment Grade</t>
        </is>
      </c>
      <c r="T640" t="inlineStr">
        <is>
          <t>A</t>
        </is>
      </c>
      <c r="U640" t="inlineStr">
        <is>
          <t>A</t>
        </is>
      </c>
    </row>
    <row r="641">
      <c r="A641" t="inlineStr">
        <is>
          <t>US78016FZW75</t>
        </is>
      </c>
      <c r="B641" t="inlineStr">
        <is>
          <t>Hold</t>
        </is>
      </c>
      <c r="C641" t="inlineStr">
        <is>
          <t>Royal Bank Of Canada</t>
        </is>
      </c>
      <c r="D641" t="n">
        <v>4.9</v>
      </c>
      <c r="E641" t="inlineStr">
        <is>
          <t>Sr Unsecured</t>
        </is>
      </c>
      <c r="F641" t="inlineStr">
        <is>
          <t>12.01.2028</t>
        </is>
      </c>
      <c r="G641" t="inlineStr">
        <is>
          <t>Canada</t>
        </is>
      </c>
      <c r="H641" t="inlineStr">
        <is>
          <t>Financial</t>
        </is>
      </c>
      <c r="I641" t="n">
        <v>2</v>
      </c>
      <c r="J641" t="n">
        <v>101.617</v>
      </c>
      <c r="K641" t="n">
        <v>4.214187</v>
      </c>
      <c r="L641" t="n">
        <v>0.035706</v>
      </c>
      <c r="M641" t="n">
        <v>-0.124277</v>
      </c>
      <c r="N641" t="n">
        <v>37.1644879</v>
      </c>
      <c r="O641" t="n">
        <v>2.656963679</v>
      </c>
      <c r="P641" t="n">
        <v>80</v>
      </c>
      <c r="Q641" t="inlineStr">
        <is>
          <t xml:space="preserve">Largest bank in Canada </t>
        </is>
      </c>
      <c r="R641" t="inlineStr">
        <is>
          <t>USD</t>
        </is>
      </c>
      <c r="S641" t="inlineStr">
        <is>
          <t>Investment Grade</t>
        </is>
      </c>
      <c r="T641" t="inlineStr">
        <is>
          <t>A+</t>
        </is>
      </c>
      <c r="U641" t="inlineStr">
        <is>
          <t>A+</t>
        </is>
      </c>
    </row>
    <row r="642">
      <c r="A642" t="inlineStr">
        <is>
          <t>US30217G2C30</t>
        </is>
      </c>
      <c r="B642" t="inlineStr">
        <is>
          <t>Hold</t>
        </is>
      </c>
      <c r="C642" t="inlineStr">
        <is>
          <t>Export-Import Bank Korea</t>
        </is>
      </c>
      <c r="D642" t="n">
        <v>1.75</v>
      </c>
      <c r="E642" t="inlineStr">
        <is>
          <t>Sr Unsecured</t>
        </is>
      </c>
      <c r="F642" t="inlineStr">
        <is>
          <t>19.10.2028</t>
        </is>
      </c>
      <c r="G642" t="inlineStr">
        <is>
          <t>South Korea</t>
        </is>
      </c>
      <c r="H642" t="inlineStr">
        <is>
          <t>Government</t>
        </is>
      </c>
      <c r="I642" t="n">
        <v>200</v>
      </c>
      <c r="J642" t="n">
        <v>92.502</v>
      </c>
      <c r="K642" t="n">
        <v>4.220728</v>
      </c>
      <c r="L642" t="n">
        <v>0.129759</v>
      </c>
      <c r="M642" t="n">
        <v>-0.115876</v>
      </c>
      <c r="N642" t="n">
        <v>37.05285025</v>
      </c>
      <c r="O642" t="n">
        <v>3.454041257</v>
      </c>
      <c r="P642" t="n">
        <v>85</v>
      </c>
      <c r="Q642" t="inlineStr">
        <is>
          <t>Korean export credit agency</t>
        </is>
      </c>
      <c r="R642" t="inlineStr">
        <is>
          <t>USD</t>
        </is>
      </c>
      <c r="S642" t="inlineStr">
        <is>
          <t>Investment Grade</t>
        </is>
      </c>
      <c r="T642" t="inlineStr">
        <is>
          <t>AA-</t>
        </is>
      </c>
      <c r="U642" t="inlineStr">
        <is>
          <t>AA-</t>
        </is>
      </c>
    </row>
    <row r="643">
      <c r="A643" t="inlineStr">
        <is>
          <t>XS1964617879</t>
        </is>
      </c>
      <c r="B643" t="inlineStr">
        <is>
          <t>Hold</t>
        </is>
      </c>
      <c r="C643" t="inlineStr">
        <is>
          <t>Cemex Sab De Cv</t>
        </is>
      </c>
      <c r="D643" t="n">
        <v>3.125</v>
      </c>
      <c r="E643" t="inlineStr">
        <is>
          <t>Sr Unsecured</t>
        </is>
      </c>
      <c r="F643" t="inlineStr">
        <is>
          <t>19.03.2026</t>
        </is>
      </c>
      <c r="G643" t="inlineStr">
        <is>
          <t>Mexico</t>
        </is>
      </c>
      <c r="H643" t="inlineStr">
        <is>
          <t>Industrial</t>
        </is>
      </c>
      <c r="I643" t="n">
        <v>100</v>
      </c>
      <c r="J643" t="n">
        <v>100.066</v>
      </c>
      <c r="K643" t="n">
        <v>2.228924</v>
      </c>
      <c r="L643" t="n">
        <v>-0.949254</v>
      </c>
      <c r="M643" t="n">
        <v>-0.344291</v>
      </c>
      <c r="N643" t="n">
        <v>36.65207641</v>
      </c>
      <c r="O643" t="n">
        <v>0.076631253</v>
      </c>
      <c r="P643" t="n">
        <v>25</v>
      </c>
      <c r="Q643" t="inlineStr">
        <is>
          <t>Leading vertically  integrated  heavy  building materials  company</t>
        </is>
      </c>
      <c r="R643" t="inlineStr">
        <is>
          <t>EUR</t>
        </is>
      </c>
      <c r="S643" t="inlineStr">
        <is>
          <t>Latin America</t>
        </is>
      </c>
      <c r="T643" t="inlineStr">
        <is>
          <t>BBB-</t>
        </is>
      </c>
      <c r="U643" t="inlineStr">
        <is>
          <t>BBB-</t>
        </is>
      </c>
    </row>
    <row r="644">
      <c r="A644" t="inlineStr">
        <is>
          <t>XS2591848275</t>
        </is>
      </c>
      <c r="B644" t="inlineStr">
        <is>
          <t>Hold</t>
        </is>
      </c>
      <c r="C644" t="inlineStr">
        <is>
          <t>Unilever Finance</t>
        </is>
      </c>
      <c r="D644" t="n">
        <v>3.25</v>
      </c>
      <c r="E644" t="inlineStr">
        <is>
          <t>Sr Unsecured</t>
        </is>
      </c>
      <c r="F644" t="inlineStr">
        <is>
          <t>23.02.2031</t>
        </is>
      </c>
      <c r="G644" t="inlineStr">
        <is>
          <t>United Kingdom</t>
        </is>
      </c>
      <c r="H644" t="inlineStr">
        <is>
          <t>Consumer, Non-cyclical</t>
        </is>
      </c>
      <c r="I644" t="n">
        <v>100</v>
      </c>
      <c r="J644" t="n">
        <v>102.433</v>
      </c>
      <c r="K644" t="n">
        <v>2.756194</v>
      </c>
      <c r="L644" t="n">
        <v>-0.09983300000000001</v>
      </c>
      <c r="M644" t="n">
        <v>-0.049862</v>
      </c>
      <c r="N644" t="n">
        <v>36.31129607</v>
      </c>
      <c r="O644" t="n">
        <v>5.183669603</v>
      </c>
      <c r="P644" t="n">
        <v>80</v>
      </c>
      <c r="Q644" t="inlineStr">
        <is>
          <t xml:space="preserve">Offers a part-food and part-consumer products </t>
        </is>
      </c>
      <c r="R644" t="inlineStr">
        <is>
          <t>EUR</t>
        </is>
      </c>
      <c r="S644" t="inlineStr">
        <is>
          <t>Investment Grade</t>
        </is>
      </c>
      <c r="T644" t="inlineStr">
        <is>
          <t>A+</t>
        </is>
      </c>
      <c r="U644" t="inlineStr">
        <is>
          <t>A+</t>
        </is>
      </c>
    </row>
    <row r="645">
      <c r="A645" t="inlineStr">
        <is>
          <t>US459200KX88</t>
        </is>
      </c>
      <c r="B645" t="inlineStr">
        <is>
          <t>Hold</t>
        </is>
      </c>
      <c r="C645" t="inlineStr">
        <is>
          <t>Ibm Corp</t>
        </is>
      </c>
      <c r="D645" t="n">
        <v>4.5</v>
      </c>
      <c r="E645" t="inlineStr">
        <is>
          <t>Sr Unsecured</t>
        </is>
      </c>
      <c r="F645" t="inlineStr">
        <is>
          <t>06.02.2028</t>
        </is>
      </c>
      <c r="G645" t="inlineStr">
        <is>
          <t>United states</t>
        </is>
      </c>
      <c r="H645" t="inlineStr">
        <is>
          <t>Technology</t>
        </is>
      </c>
      <c r="I645" t="n">
        <v>100</v>
      </c>
      <c r="J645" t="n">
        <v>100.661</v>
      </c>
      <c r="K645" t="n">
        <v>4.218194</v>
      </c>
      <c r="L645" t="n">
        <v>0.080522</v>
      </c>
      <c r="M645" t="n">
        <v>-0.061371</v>
      </c>
      <c r="N645" t="n">
        <v>35.72039117</v>
      </c>
      <c r="O645" t="n">
        <v>2.734679447</v>
      </c>
      <c r="P645" t="n">
        <v>80</v>
      </c>
      <c r="Q645" t="inlineStr">
        <is>
          <t>International Business Machines Corporation (IBM) provides computer solutions</t>
        </is>
      </c>
      <c r="R645" t="inlineStr">
        <is>
          <t>USD</t>
        </is>
      </c>
      <c r="S645" t="inlineStr">
        <is>
          <t>Investment Grade</t>
        </is>
      </c>
      <c r="T645" t="inlineStr">
        <is>
          <t>A-</t>
        </is>
      </c>
      <c r="U645" t="inlineStr">
        <is>
          <t>A-</t>
        </is>
      </c>
    </row>
    <row r="646">
      <c r="A646" t="inlineStr">
        <is>
          <t>USH42097DS35</t>
        </is>
      </c>
      <c r="B646" t="inlineStr">
        <is>
          <t>Hold</t>
        </is>
      </c>
      <c r="C646" t="inlineStr">
        <is>
          <t>Ubs Group Ag</t>
        </is>
      </c>
      <c r="D646" t="n">
        <v>5.711</v>
      </c>
      <c r="E646" t="inlineStr">
        <is>
          <t>Sr Unsecured</t>
        </is>
      </c>
      <c r="F646" t="inlineStr">
        <is>
          <t>12.01.2027</t>
        </is>
      </c>
      <c r="G646" t="inlineStr">
        <is>
          <t>Switzerland</t>
        </is>
      </c>
      <c r="H646" t="inlineStr">
        <is>
          <t>Financial</t>
        </is>
      </c>
      <c r="I646" t="n">
        <v>200</v>
      </c>
      <c r="J646" t="n">
        <v>100.529</v>
      </c>
      <c r="K646" t="n">
        <v>4.650232</v>
      </c>
      <c r="L646" t="n">
        <v>0.031067</v>
      </c>
      <c r="M646" t="n">
        <v>-0.163908</v>
      </c>
      <c r="N646" t="n">
        <v>35.50783198</v>
      </c>
      <c r="O646" t="n">
        <v>0.861802595</v>
      </c>
      <c r="P646" t="n">
        <v>25</v>
      </c>
      <c r="Q646" t="inlineStr">
        <is>
          <t>Largest bank of Switzerland</t>
        </is>
      </c>
      <c r="R646" t="inlineStr">
        <is>
          <t>USD</t>
        </is>
      </c>
      <c r="S646" t="inlineStr">
        <is>
          <t>Investment Grade</t>
        </is>
      </c>
      <c r="T646" t="inlineStr">
        <is>
          <t>A-</t>
        </is>
      </c>
      <c r="U646" t="inlineStr">
        <is>
          <t>A-</t>
        </is>
      </c>
    </row>
    <row r="647">
      <c r="A647" t="inlineStr">
        <is>
          <t>XS2573807778</t>
        </is>
      </c>
      <c r="B647" t="inlineStr">
        <is>
          <t>Hold</t>
        </is>
      </c>
      <c r="C647" t="inlineStr">
        <is>
          <t>Axa Sa</t>
        </is>
      </c>
      <c r="D647" t="n">
        <v>3.625</v>
      </c>
      <c r="E647" t="inlineStr">
        <is>
          <t>Sr Unsecured</t>
        </is>
      </c>
      <c r="F647" t="inlineStr">
        <is>
          <t>10.01.2033</t>
        </is>
      </c>
      <c r="G647" t="inlineStr">
        <is>
          <t>France</t>
        </is>
      </c>
      <c r="H647" t="inlineStr">
        <is>
          <t>Financial</t>
        </is>
      </c>
      <c r="I647" t="n">
        <v>100</v>
      </c>
      <c r="J647" t="n">
        <v>104.272</v>
      </c>
      <c r="K647" t="n">
        <v>2.961247</v>
      </c>
      <c r="L647" t="n">
        <v>-0.036248</v>
      </c>
      <c r="M647" t="n">
        <v>-0.03367</v>
      </c>
      <c r="N647" t="n">
        <v>35.18123509</v>
      </c>
      <c r="O647" t="n">
        <v>6.589922253</v>
      </c>
      <c r="P647" t="n">
        <v>80</v>
      </c>
      <c r="Q647" t="inlineStr">
        <is>
          <t>Global Insurance group</t>
        </is>
      </c>
      <c r="R647" t="inlineStr">
        <is>
          <t>EUR</t>
        </is>
      </c>
      <c r="S647" t="inlineStr">
        <is>
          <t>Investment Grade</t>
        </is>
      </c>
      <c r="T647" t="inlineStr">
        <is>
          <t>A+</t>
        </is>
      </c>
      <c r="U647" t="inlineStr">
        <is>
          <t>A+</t>
        </is>
      </c>
    </row>
    <row r="648">
      <c r="A648" t="inlineStr">
        <is>
          <t>FR001400F703</t>
        </is>
      </c>
      <c r="B648" t="inlineStr">
        <is>
          <t>Hold</t>
        </is>
      </c>
      <c r="C648" t="inlineStr">
        <is>
          <t>Schneider Electric Se</t>
        </is>
      </c>
      <c r="D648" t="n">
        <v>3.125</v>
      </c>
      <c r="E648" t="inlineStr">
        <is>
          <t>Sr Unsecured</t>
        </is>
      </c>
      <c r="F648" t="inlineStr">
        <is>
          <t>13.10.2029</t>
        </is>
      </c>
      <c r="G648" t="inlineStr">
        <is>
          <t>United states</t>
        </is>
      </c>
      <c r="H648" t="inlineStr">
        <is>
          <t>Industrial</t>
        </is>
      </c>
      <c r="I648" t="n">
        <v>100</v>
      </c>
      <c r="J648" t="n">
        <v>102.22</v>
      </c>
      <c r="K648" t="n">
        <v>2.535669</v>
      </c>
      <c r="L648" t="n">
        <v>-0.129264</v>
      </c>
      <c r="M648" t="n">
        <v>-0.10344</v>
      </c>
      <c r="N648" t="n">
        <v>35.02168608</v>
      </c>
      <c r="O648" t="n">
        <v>4.009406495</v>
      </c>
      <c r="P648" t="n">
        <v>85</v>
      </c>
      <c r="Q648" t="inlineStr">
        <is>
          <t>manufactures electrical power products</t>
        </is>
      </c>
      <c r="R648" t="inlineStr">
        <is>
          <t>EUR</t>
        </is>
      </c>
      <c r="S648" t="inlineStr">
        <is>
          <t>Investment Grade</t>
        </is>
      </c>
      <c r="T648" t="inlineStr">
        <is>
          <t>NR</t>
        </is>
      </c>
      <c r="U648" t="inlineStr">
        <is>
          <t>NR</t>
        </is>
      </c>
    </row>
    <row r="649">
      <c r="A649" t="inlineStr">
        <is>
          <t>US24703TAD81</t>
        </is>
      </c>
      <c r="B649" t="inlineStr">
        <is>
          <t>Top Pick</t>
        </is>
      </c>
      <c r="C649" t="inlineStr">
        <is>
          <t>Dell Int Llc / Emc Corp</t>
        </is>
      </c>
      <c r="D649" t="n">
        <v>6.02</v>
      </c>
      <c r="E649" t="inlineStr">
        <is>
          <t>Sr Unsecured</t>
        </is>
      </c>
      <c r="F649" t="inlineStr">
        <is>
          <t>15.06.2026</t>
        </is>
      </c>
      <c r="G649" t="inlineStr">
        <is>
          <t>United states</t>
        </is>
      </c>
      <c r="H649" t="inlineStr">
        <is>
          <t>Technology</t>
        </is>
      </c>
      <c r="I649" t="n">
        <v>2</v>
      </c>
      <c r="J649" t="n">
        <v>101.03</v>
      </c>
      <c r="K649" t="n">
        <v>4.485358</v>
      </c>
      <c r="L649" t="n">
        <v>-0.089092</v>
      </c>
      <c r="M649" t="n">
        <v>-0.289327</v>
      </c>
      <c r="N649" t="n">
        <v>34.94163758</v>
      </c>
      <c r="O649" t="n">
        <v>1.013906926</v>
      </c>
      <c r="P649" t="n">
        <v>75</v>
      </c>
      <c r="Q649" t="inlineStr">
        <is>
          <t>Global leading providers of personal computers, servers, and related devices</t>
        </is>
      </c>
      <c r="R649" t="inlineStr">
        <is>
          <t>USD</t>
        </is>
      </c>
      <c r="S649" t="inlineStr">
        <is>
          <t>Investment Grade</t>
        </is>
      </c>
      <c r="T649" t="inlineStr">
        <is>
          <t>BBB</t>
        </is>
      </c>
      <c r="U649" t="inlineStr">
        <is>
          <t>BBB</t>
        </is>
      </c>
    </row>
    <row r="650">
      <c r="A650" t="inlineStr">
        <is>
          <t>US89114TZJ41</t>
        </is>
      </c>
      <c r="B650" t="inlineStr">
        <is>
          <t>Hold</t>
        </is>
      </c>
      <c r="C650" t="inlineStr">
        <is>
          <t>Toronto-Dominion Bank</t>
        </is>
      </c>
      <c r="D650" t="n">
        <v>2</v>
      </c>
      <c r="E650" t="inlineStr">
        <is>
          <t>Sr Unsecured</t>
        </is>
      </c>
      <c r="F650" t="inlineStr">
        <is>
          <t>10.09.2031</t>
        </is>
      </c>
      <c r="G650" t="inlineStr">
        <is>
          <t>Canada</t>
        </is>
      </c>
      <c r="H650" t="inlineStr">
        <is>
          <t>Financial</t>
        </is>
      </c>
      <c r="I650" t="n">
        <v>2</v>
      </c>
      <c r="J650" t="n">
        <v>87.09099999999999</v>
      </c>
      <c r="K650" t="n">
        <v>4.411394</v>
      </c>
      <c r="L650" t="n">
        <v>0.013319</v>
      </c>
      <c r="M650" t="n">
        <v>-0.189288</v>
      </c>
      <c r="N650" t="n">
        <v>34.84227564</v>
      </c>
      <c r="O650" t="n">
        <v>5.918066473</v>
      </c>
      <c r="P650" t="n">
        <v>75</v>
      </c>
      <c r="Q650" t="inlineStr">
        <is>
          <t>Second largest bank in Canada</t>
        </is>
      </c>
      <c r="R650" t="inlineStr">
        <is>
          <t>USD</t>
        </is>
      </c>
      <c r="S650" t="inlineStr">
        <is>
          <t>Investment Grade</t>
        </is>
      </c>
      <c r="T650" t="inlineStr">
        <is>
          <t>A</t>
        </is>
      </c>
      <c r="U650" t="inlineStr">
        <is>
          <t>A</t>
        </is>
      </c>
    </row>
    <row r="651">
      <c r="A651" t="inlineStr">
        <is>
          <t>US149123CK50</t>
        </is>
      </c>
      <c r="B651" t="inlineStr">
        <is>
          <t>Hold</t>
        </is>
      </c>
      <c r="C651" t="inlineStr">
        <is>
          <t>Caterpillar Inc</t>
        </is>
      </c>
      <c r="D651" t="n">
        <v>1.9</v>
      </c>
      <c r="E651" t="inlineStr">
        <is>
          <t>Sr Unsecured</t>
        </is>
      </c>
      <c r="F651" t="inlineStr">
        <is>
          <t>12.03.2031</t>
        </is>
      </c>
      <c r="G651" t="inlineStr">
        <is>
          <t>United states</t>
        </is>
      </c>
      <c r="H651" t="inlineStr">
        <is>
          <t>Industrial</t>
        </is>
      </c>
      <c r="I651" t="n">
        <v>2</v>
      </c>
      <c r="J651" t="n">
        <v>87.76600000000001</v>
      </c>
      <c r="K651" t="n">
        <v>4.354747</v>
      </c>
      <c r="L651" t="n">
        <v>0.050383</v>
      </c>
      <c r="M651" t="n">
        <v>-0.111723</v>
      </c>
      <c r="N651" t="n">
        <v>34.3346706</v>
      </c>
      <c r="O651" t="n">
        <v>5.537031423</v>
      </c>
      <c r="P651" t="n">
        <v>80</v>
      </c>
      <c r="Q651" t="inlineStr">
        <is>
          <t xml:space="preserve">Leading manufacturer of construction and mining equipment </t>
        </is>
      </c>
      <c r="R651" t="inlineStr">
        <is>
          <t>USD</t>
        </is>
      </c>
      <c r="S651" t="inlineStr">
        <is>
          <t>Investment Grade</t>
        </is>
      </c>
      <c r="T651" t="inlineStr">
        <is>
          <t>A</t>
        </is>
      </c>
      <c r="U651" t="inlineStr">
        <is>
          <t>A</t>
        </is>
      </c>
    </row>
    <row r="652">
      <c r="A652" t="inlineStr">
        <is>
          <t>XS2689046626</t>
        </is>
      </c>
      <c r="B652" t="inlineStr">
        <is>
          <t>Top Pick</t>
        </is>
      </c>
      <c r="C652" t="inlineStr">
        <is>
          <t>Nestle Holdings Inc</t>
        </is>
      </c>
      <c r="D652" t="n">
        <v>5.125</v>
      </c>
      <c r="E652" t="inlineStr">
        <is>
          <t>Sr Unsecured</t>
        </is>
      </c>
      <c r="F652" t="inlineStr">
        <is>
          <t>21.09.2032</t>
        </is>
      </c>
      <c r="G652" t="inlineStr">
        <is>
          <t>United states</t>
        </is>
      </c>
      <c r="H652" t="inlineStr">
        <is>
          <t>Consumer, Non-cyclical</t>
        </is>
      </c>
      <c r="I652" t="n">
        <v>100</v>
      </c>
      <c r="J652" t="n">
        <v>103.055</v>
      </c>
      <c r="K652" t="n">
        <v>4.549327</v>
      </c>
      <c r="L652" t="n">
        <v>0.027075</v>
      </c>
      <c r="M652" t="n">
        <v>-0.181186</v>
      </c>
      <c r="N652" t="n">
        <v>34.05061905</v>
      </c>
      <c r="O652" t="n">
        <v>5.87765568</v>
      </c>
      <c r="P652" t="n">
        <v>85</v>
      </c>
      <c r="Q652" t="inlineStr">
        <is>
          <t>Swiss multinational packaged food company</t>
        </is>
      </c>
      <c r="R652" t="inlineStr">
        <is>
          <t>GBP</t>
        </is>
      </c>
      <c r="S652" t="inlineStr">
        <is>
          <t>Investment Grade</t>
        </is>
      </c>
      <c r="T652" t="inlineStr">
        <is>
          <t>AA-</t>
        </is>
      </c>
      <c r="U652" t="inlineStr">
        <is>
          <t>AA-</t>
        </is>
      </c>
    </row>
    <row r="653">
      <c r="A653" t="inlineStr">
        <is>
          <t>US872898AE19</t>
        </is>
      </c>
      <c r="B653" t="inlineStr">
        <is>
          <t>Hold</t>
        </is>
      </c>
      <c r="C653" t="inlineStr">
        <is>
          <t>Tsmc Arizona Corp</t>
        </is>
      </c>
      <c r="D653" t="n">
        <v>3.25</v>
      </c>
      <c r="E653" t="inlineStr">
        <is>
          <t>Sr Unsecured</t>
        </is>
      </c>
      <c r="F653" t="inlineStr">
        <is>
          <t>25.10.2051</t>
        </is>
      </c>
      <c r="G653" t="inlineStr">
        <is>
          <t>Taiwan</t>
        </is>
      </c>
      <c r="H653" t="inlineStr">
        <is>
          <t>Technology</t>
        </is>
      </c>
      <c r="I653" t="n">
        <v>200</v>
      </c>
      <c r="J653" t="n">
        <v>71.697</v>
      </c>
      <c r="K653" t="n">
        <v>5.245829</v>
      </c>
      <c r="L653" t="n">
        <v>0.023767</v>
      </c>
      <c r="M653" t="n">
        <v>-0.058289</v>
      </c>
      <c r="N653" t="n">
        <v>33.82430849</v>
      </c>
      <c r="O653" t="n">
        <v>15.71725223</v>
      </c>
      <c r="P653" t="n">
        <v>70</v>
      </c>
      <c r="Q653" t="inlineStr">
        <is>
          <t>Manufactures semiconductor devices</t>
        </is>
      </c>
      <c r="R653" t="inlineStr">
        <is>
          <t>USD</t>
        </is>
      </c>
      <c r="S653" t="inlineStr">
        <is>
          <t>Investment Grade</t>
        </is>
      </c>
      <c r="T653" t="inlineStr">
        <is>
          <t>AA-</t>
        </is>
      </c>
      <c r="U653" t="inlineStr">
        <is>
          <t>AA-</t>
        </is>
      </c>
    </row>
    <row r="654">
      <c r="A654" t="inlineStr">
        <is>
          <t>US00440KAB98</t>
        </is>
      </c>
      <c r="B654" t="inlineStr">
        <is>
          <t>Top Pick</t>
        </is>
      </c>
      <c r="C654" t="inlineStr">
        <is>
          <t>Accenture Capital Inc</t>
        </is>
      </c>
      <c r="D654" t="n">
        <v>4.05</v>
      </c>
      <c r="E654" t="inlineStr">
        <is>
          <t>Sr Unsecured</t>
        </is>
      </c>
      <c r="F654" t="inlineStr">
        <is>
          <t>04.10.2029</t>
        </is>
      </c>
      <c r="G654" t="inlineStr">
        <is>
          <t>United states</t>
        </is>
      </c>
      <c r="H654" t="inlineStr">
        <is>
          <t>Technology</t>
        </is>
      </c>
      <c r="I654" t="n">
        <v>2</v>
      </c>
      <c r="J654" t="n">
        <v>99.23999999999999</v>
      </c>
      <c r="K654" t="n">
        <v>4.246292</v>
      </c>
      <c r="L654" t="n">
        <v>0.00692</v>
      </c>
      <c r="M654" t="n">
        <v>-0.13225</v>
      </c>
      <c r="N654" t="n">
        <v>33.4233439</v>
      </c>
      <c r="O654" t="n">
        <v>4.092594578</v>
      </c>
      <c r="P654" t="n">
        <v>0</v>
      </c>
      <c r="Q654" t="inlineStr">
        <is>
          <t xml:space="preserve">Largest global consultancy firm </t>
        </is>
      </c>
      <c r="R654" t="inlineStr">
        <is>
          <t>USD</t>
        </is>
      </c>
      <c r="S654" t="inlineStr">
        <is>
          <t>Investment Grade</t>
        </is>
      </c>
      <c r="T654" t="inlineStr">
        <is>
          <t>A+</t>
        </is>
      </c>
      <c r="U654" t="inlineStr">
        <is>
          <t>A+</t>
        </is>
      </c>
    </row>
    <row r="655">
      <c r="A655" t="inlineStr">
        <is>
          <t>US04636NAB91</t>
        </is>
      </c>
      <c r="B655" t="inlineStr">
        <is>
          <t>Hold</t>
        </is>
      </c>
      <c r="C655" t="inlineStr">
        <is>
          <t>Astrazeneca Finance Llc</t>
        </is>
      </c>
      <c r="D655" t="n">
        <v>2.25</v>
      </c>
      <c r="E655" t="inlineStr">
        <is>
          <t>Sr Unsecured</t>
        </is>
      </c>
      <c r="F655" t="inlineStr">
        <is>
          <t>28.05.2031</t>
        </is>
      </c>
      <c r="G655" t="inlineStr">
        <is>
          <t>United Kingdom</t>
        </is>
      </c>
      <c r="H655" t="inlineStr">
        <is>
          <t>Consumer, Non-cyclical</t>
        </is>
      </c>
      <c r="I655" t="n">
        <v>2</v>
      </c>
      <c r="J655" t="n">
        <v>89.111</v>
      </c>
      <c r="K655" t="n">
        <v>4.366588</v>
      </c>
      <c r="L655" t="n">
        <v>0.038885</v>
      </c>
      <c r="M655" t="n">
        <v>-0.159589</v>
      </c>
      <c r="N655" t="n">
        <v>33.34616301</v>
      </c>
      <c r="O655" t="n">
        <v>5.6716044</v>
      </c>
      <c r="P655" t="n">
        <v>85</v>
      </c>
      <c r="Q655" t="inlineStr">
        <is>
          <t>Anglo-Swedish multinational pharmaceutical company</t>
        </is>
      </c>
      <c r="R655" t="inlineStr">
        <is>
          <t>USD</t>
        </is>
      </c>
      <c r="S655" t="inlineStr">
        <is>
          <t>Investment Grade</t>
        </is>
      </c>
      <c r="T655" t="inlineStr">
        <is>
          <t>A+</t>
        </is>
      </c>
      <c r="U655" t="inlineStr">
        <is>
          <t>A</t>
        </is>
      </c>
    </row>
    <row r="656">
      <c r="A656" t="inlineStr">
        <is>
          <t>FR001400KPB4</t>
        </is>
      </c>
      <c r="B656" t="inlineStr">
        <is>
          <t>Hold</t>
        </is>
      </c>
      <c r="C656" t="inlineStr">
        <is>
          <t>Pernod Ricard Sa</t>
        </is>
      </c>
      <c r="D656" t="n">
        <v>3.75</v>
      </c>
      <c r="E656" t="inlineStr">
        <is>
          <t>Sr Unsecured</t>
        </is>
      </c>
      <c r="F656" t="inlineStr">
        <is>
          <t>15.09.2027</t>
        </is>
      </c>
      <c r="G656" t="inlineStr">
        <is>
          <t>France</t>
        </is>
      </c>
      <c r="H656" t="inlineStr">
        <is>
          <t>Consumer, Non-cyclical</t>
        </is>
      </c>
      <c r="I656" t="n">
        <v>100</v>
      </c>
      <c r="J656" t="n">
        <v>102.895</v>
      </c>
      <c r="K656" t="n">
        <v>2.205077</v>
      </c>
      <c r="L656" t="n">
        <v>-0.056779</v>
      </c>
      <c r="M656" t="n">
        <v>-0.119554</v>
      </c>
      <c r="N656" t="n">
        <v>33.02233228</v>
      </c>
      <c r="O656" t="n">
        <v>2.157261475</v>
      </c>
      <c r="P656" t="n">
        <v>60</v>
      </c>
      <c r="Q656" t="inlineStr">
        <is>
          <t>Pernod Ricard produces and markets alcoholic beverages.</t>
        </is>
      </c>
      <c r="R656" t="inlineStr">
        <is>
          <t>EUR</t>
        </is>
      </c>
      <c r="S656" t="inlineStr">
        <is>
          <t>Investment Grade</t>
        </is>
      </c>
      <c r="T656" t="inlineStr">
        <is>
          <t>BBB+</t>
        </is>
      </c>
      <c r="U656" t="inlineStr">
        <is>
          <t>BBB+</t>
        </is>
      </c>
    </row>
    <row r="657">
      <c r="A657" t="inlineStr">
        <is>
          <t>US639057AG33</t>
        </is>
      </c>
      <c r="B657" t="inlineStr">
        <is>
          <t>Hold</t>
        </is>
      </c>
      <c r="C657" t="inlineStr">
        <is>
          <t>Natwest Group Plc</t>
        </is>
      </c>
      <c r="D657" t="n">
        <v>7.472</v>
      </c>
      <c r="E657" t="inlineStr">
        <is>
          <t>Sr Unsecured</t>
        </is>
      </c>
      <c r="F657" t="inlineStr">
        <is>
          <t>10.11.2026</t>
        </is>
      </c>
      <c r="G657" t="inlineStr">
        <is>
          <t>United Kingdom</t>
        </is>
      </c>
      <c r="H657" t="inlineStr">
        <is>
          <t>Financial</t>
        </is>
      </c>
      <c r="I657" t="n">
        <v>200</v>
      </c>
      <c r="J657" t="n">
        <v>100.896</v>
      </c>
      <c r="K657" t="n">
        <v>4.727302</v>
      </c>
      <c r="L657" t="n">
        <v>0.09748</v>
      </c>
      <c r="M657" t="n">
        <v>-0.024513</v>
      </c>
      <c r="N657" t="n">
        <v>32.82211125</v>
      </c>
      <c r="O657" t="n">
        <v>0.686568794</v>
      </c>
      <c r="P657" t="n">
        <v>80</v>
      </c>
      <c r="Q657" t="inlineStr">
        <is>
          <t xml:space="preserve">Provide worldwide financial services. </t>
        </is>
      </c>
      <c r="R657" t="inlineStr">
        <is>
          <t>USD</t>
        </is>
      </c>
      <c r="S657" t="inlineStr">
        <is>
          <t>Investment Grade</t>
        </is>
      </c>
      <c r="T657" t="inlineStr">
        <is>
          <t>A-</t>
        </is>
      </c>
      <c r="U657" t="inlineStr">
        <is>
          <t>A-</t>
        </is>
      </c>
    </row>
    <row r="658">
      <c r="A658" t="inlineStr">
        <is>
          <t>CH1189217990</t>
        </is>
      </c>
      <c r="B658" t="inlineStr">
        <is>
          <t>Hold</t>
        </is>
      </c>
      <c r="C658" t="inlineStr">
        <is>
          <t>Sgs Sa</t>
        </is>
      </c>
      <c r="D658" t="n">
        <v>1.25</v>
      </c>
      <c r="E658" t="inlineStr">
        <is>
          <t>Sr Unsecured</t>
        </is>
      </c>
      <c r="F658" t="inlineStr">
        <is>
          <t>05.09.2025</t>
        </is>
      </c>
      <c r="G658" t="inlineStr">
        <is>
          <t>Switzerland</t>
        </is>
      </c>
      <c r="H658" t="inlineStr">
        <is>
          <t>Consumer, Non-cyclical</t>
        </is>
      </c>
      <c r="I658" t="n">
        <v>5</v>
      </c>
      <c r="J658" t="n">
        <v>100.155</v>
      </c>
      <c r="K658" t="n">
        <v>0.250804</v>
      </c>
      <c r="L658" t="n">
        <v>0.027909</v>
      </c>
      <c r="M658" t="n">
        <v>-0.107794</v>
      </c>
      <c r="N658" t="n">
        <v>32.55917336</v>
      </c>
      <c r="O658" t="n">
        <v>0.5278605629999999</v>
      </c>
      <c r="P658" t="n">
        <v>80</v>
      </c>
      <c r="Q658" t="inlineStr">
        <is>
          <t>Provides industrial inspection, analysis, testing and verification services</t>
        </is>
      </c>
      <c r="R658" t="inlineStr">
        <is>
          <t>CHF</t>
        </is>
      </c>
      <c r="S658" t="inlineStr">
        <is>
          <t>Investment Grade</t>
        </is>
      </c>
      <c r="T658" t="inlineStr">
        <is>
          <t>#N/A N/A</t>
        </is>
      </c>
      <c r="U658" t="inlineStr">
        <is>
          <t>#N/A N/A</t>
        </is>
      </c>
    </row>
    <row r="659">
      <c r="A659" t="inlineStr">
        <is>
          <t>CH1228837865</t>
        </is>
      </c>
      <c r="B659" t="inlineStr">
        <is>
          <t>Hold</t>
        </is>
      </c>
      <c r="C659" t="inlineStr">
        <is>
          <t>Ubs Ag London</t>
        </is>
      </c>
      <c r="D659" t="n">
        <v>2.33</v>
      </c>
      <c r="E659" t="inlineStr">
        <is>
          <t>Sr Unsecured</t>
        </is>
      </c>
      <c r="F659" t="inlineStr">
        <is>
          <t>14.11.2025</t>
        </is>
      </c>
      <c r="G659" t="inlineStr">
        <is>
          <t>Switzerland</t>
        </is>
      </c>
      <c r="H659" t="inlineStr">
        <is>
          <t>Financial</t>
        </is>
      </c>
      <c r="I659" t="n">
        <v>50</v>
      </c>
      <c r="J659" t="n">
        <v>100.721</v>
      </c>
      <c r="K659" t="n">
        <v>0.24675</v>
      </c>
      <c r="L659" t="n">
        <v>-0.038077</v>
      </c>
      <c r="M659" t="n">
        <v>-0.036475</v>
      </c>
      <c r="N659" t="n">
        <v>32.32037106</v>
      </c>
      <c r="O659" t="n">
        <v>0.7188746580000001</v>
      </c>
      <c r="P659" t="n">
        <v>80</v>
      </c>
      <c r="Q659" t="inlineStr">
        <is>
          <t>One of the world’s largest wealth managers.</t>
        </is>
      </c>
      <c r="R659" t="inlineStr">
        <is>
          <t>CHF</t>
        </is>
      </c>
      <c r="S659" t="inlineStr">
        <is>
          <t>Investment Grade</t>
        </is>
      </c>
      <c r="T659" t="inlineStr">
        <is>
          <t>A+</t>
        </is>
      </c>
      <c r="U659" t="inlineStr">
        <is>
          <t>A+</t>
        </is>
      </c>
    </row>
    <row r="660">
      <c r="A660" t="inlineStr">
        <is>
          <t>XS2482872251</t>
        </is>
      </c>
      <c r="B660" t="inlineStr">
        <is>
          <t>Hold</t>
        </is>
      </c>
      <c r="C660" t="inlineStr">
        <is>
          <t>Fresenius Se &amp; Co Kgaa</t>
        </is>
      </c>
      <c r="D660" t="n">
        <v>2.875</v>
      </c>
      <c r="E660" t="inlineStr">
        <is>
          <t>Sr Unsecured</t>
        </is>
      </c>
      <c r="F660" t="inlineStr">
        <is>
          <t>24.05.2030</t>
        </is>
      </c>
      <c r="G660" t="inlineStr">
        <is>
          <t>Germany</t>
        </is>
      </c>
      <c r="H660" t="inlineStr">
        <is>
          <t>Consumer, Non-cyclical</t>
        </is>
      </c>
      <c r="I660" t="n">
        <v>1</v>
      </c>
      <c r="J660" t="n">
        <v>101.171</v>
      </c>
      <c r="K660" t="n">
        <v>2.604077</v>
      </c>
      <c r="L660" t="n">
        <v>-0.133921</v>
      </c>
      <c r="M660" t="n">
        <v>-0.122201</v>
      </c>
      <c r="N660" t="n">
        <v>32.10258622</v>
      </c>
      <c r="O660" t="n">
        <v>4.703904189</v>
      </c>
      <c r="P660" t="n">
        <v>60</v>
      </c>
      <c r="Q660" t="inlineStr">
        <is>
          <t>One of the world's leading healthcare companies</t>
        </is>
      </c>
      <c r="R660" t="inlineStr">
        <is>
          <t>EUR</t>
        </is>
      </c>
      <c r="S660" t="inlineStr">
        <is>
          <t>Investment Grade</t>
        </is>
      </c>
      <c r="T660" t="inlineStr">
        <is>
          <t>BBB-</t>
        </is>
      </c>
      <c r="U660" t="inlineStr">
        <is>
          <t>BBB-</t>
        </is>
      </c>
    </row>
    <row r="661">
      <c r="A661" t="inlineStr">
        <is>
          <t>US254687FL52</t>
        </is>
      </c>
      <c r="B661" t="inlineStr">
        <is>
          <t>Hold</t>
        </is>
      </c>
      <c r="C661" t="inlineStr">
        <is>
          <t>Walt Disney Company/The</t>
        </is>
      </c>
      <c r="D661" t="n">
        <v>2</v>
      </c>
      <c r="E661" t="inlineStr">
        <is>
          <t>Sr Unsecured</t>
        </is>
      </c>
      <c r="F661" t="inlineStr">
        <is>
          <t>01.09.2029</t>
        </is>
      </c>
      <c r="G661" t="inlineStr">
        <is>
          <t>United states</t>
        </is>
      </c>
      <c r="H661" t="inlineStr">
        <is>
          <t>Communications</t>
        </is>
      </c>
      <c r="I661" t="n">
        <v>2</v>
      </c>
      <c r="J661" t="n">
        <v>91.649</v>
      </c>
      <c r="K661" t="n">
        <v>4.21515</v>
      </c>
      <c r="L661" t="n">
        <v>0.037713</v>
      </c>
      <c r="M661" t="n">
        <v>-0.088698</v>
      </c>
      <c r="N661" t="n">
        <v>31.51578344</v>
      </c>
      <c r="O661" t="n">
        <v>4.194034138</v>
      </c>
      <c r="P661" t="n">
        <v>80</v>
      </c>
      <c r="Q661" t="inlineStr">
        <is>
          <t>One of the largest entertainment company</t>
        </is>
      </c>
      <c r="R661" t="inlineStr">
        <is>
          <t>USD</t>
        </is>
      </c>
      <c r="S661" t="inlineStr">
        <is>
          <t>Investment Grade</t>
        </is>
      </c>
      <c r="T661" t="inlineStr">
        <is>
          <t>A-</t>
        </is>
      </c>
      <c r="U661" t="inlineStr">
        <is>
          <t>A-</t>
        </is>
      </c>
    </row>
    <row r="662">
      <c r="A662" t="inlineStr">
        <is>
          <t>XS2820455678</t>
        </is>
      </c>
      <c r="B662" t="inlineStr">
        <is>
          <t>Hold</t>
        </is>
      </c>
      <c r="C662" t="inlineStr">
        <is>
          <t>Novo Nordisk A/S</t>
        </is>
      </c>
      <c r="D662" t="n">
        <v>3.25</v>
      </c>
      <c r="E662" t="inlineStr">
        <is>
          <t>Sr Unsecured</t>
        </is>
      </c>
      <c r="F662" t="inlineStr">
        <is>
          <t>21.01.2031</t>
        </is>
      </c>
      <c r="G662" t="inlineStr">
        <is>
          <t>Denmark</t>
        </is>
      </c>
      <c r="H662" t="inlineStr">
        <is>
          <t>Consumer, Non-cyclical</t>
        </is>
      </c>
      <c r="I662" t="n">
        <v>100</v>
      </c>
      <c r="J662" t="n">
        <v>102.714</v>
      </c>
      <c r="K662" t="n">
        <v>2.692065</v>
      </c>
      <c r="L662" t="n">
        <v>-0.102497</v>
      </c>
      <c r="M662" t="n">
        <v>-0.151811</v>
      </c>
      <c r="N662" t="n">
        <v>31.38747461</v>
      </c>
      <c r="O662" t="n">
        <v>5.095987299</v>
      </c>
      <c r="P662" t="n">
        <v>85</v>
      </c>
      <c r="Q662" t="inlineStr">
        <is>
          <t xml:space="preserve">Global leading pharmaceutical company in diabetes and chronic diseases </t>
        </is>
      </c>
      <c r="R662" t="inlineStr">
        <is>
          <t>EUR</t>
        </is>
      </c>
      <c r="S662" t="inlineStr">
        <is>
          <t>Investment Grade</t>
        </is>
      </c>
      <c r="T662" t="inlineStr">
        <is>
          <t>AA-</t>
        </is>
      </c>
      <c r="U662" t="inlineStr">
        <is>
          <t>AA-</t>
        </is>
      </c>
    </row>
    <row r="663">
      <c r="A663" t="inlineStr">
        <is>
          <t>FR001400F6V1</t>
        </is>
      </c>
      <c r="B663" t="inlineStr">
        <is>
          <t xml:space="preserve">Hold </t>
        </is>
      </c>
      <c r="C663" t="inlineStr">
        <is>
          <t>Banque Stellantis France</t>
        </is>
      </c>
      <c r="D663" t="n">
        <v>3.875</v>
      </c>
      <c r="E663" t="inlineStr">
        <is>
          <t>Sr Preferred</t>
        </is>
      </c>
      <c r="F663" t="inlineStr">
        <is>
          <t>19.01.2026</t>
        </is>
      </c>
      <c r="G663" t="inlineStr">
        <is>
          <t>France</t>
        </is>
      </c>
      <c r="H663" t="inlineStr">
        <is>
          <t>Financial</t>
        </is>
      </c>
      <c r="I663" t="n">
        <v>100</v>
      </c>
      <c r="J663" t="n">
        <v>100.748</v>
      </c>
      <c r="K663" t="n">
        <v>2.145044</v>
      </c>
      <c r="L663" t="n">
        <v>-0.104277</v>
      </c>
      <c r="M663" t="n">
        <v>-0.122196</v>
      </c>
      <c r="N663" t="n">
        <v>31.18813643</v>
      </c>
      <c r="O663" t="n">
        <v>0.799133607</v>
      </c>
      <c r="P663" t="n">
        <v>80</v>
      </c>
      <c r="Q663" t="inlineStr">
        <is>
          <t>Provides commercial banking services in France</t>
        </is>
      </c>
      <c r="R663" t="inlineStr">
        <is>
          <t>EUR</t>
        </is>
      </c>
      <c r="S663" t="inlineStr">
        <is>
          <t>Investment Grade</t>
        </is>
      </c>
      <c r="T663" t="inlineStr">
        <is>
          <t>BBB+</t>
        </is>
      </c>
      <c r="U663" t="inlineStr">
        <is>
          <t>BBB+</t>
        </is>
      </c>
    </row>
    <row r="664">
      <c r="A664" t="inlineStr">
        <is>
          <t>US532457CV84</t>
        </is>
      </c>
      <c r="B664" t="inlineStr">
        <is>
          <t>Top Pick</t>
        </is>
      </c>
      <c r="C664" t="inlineStr">
        <is>
          <t>Eli Lilly &amp; Co</t>
        </is>
      </c>
      <c r="D664" t="n">
        <v>4.75</v>
      </c>
      <c r="E664" t="inlineStr">
        <is>
          <t>Sr Unsecured</t>
        </is>
      </c>
      <c r="F664" t="inlineStr">
        <is>
          <t>12.02.2030</t>
        </is>
      </c>
      <c r="G664" t="inlineStr">
        <is>
          <t>United states</t>
        </is>
      </c>
      <c r="H664" t="inlineStr">
        <is>
          <t>Consumer, Non-cyclical</t>
        </is>
      </c>
      <c r="I664" t="n">
        <v>2</v>
      </c>
      <c r="J664" t="n">
        <v>102.092</v>
      </c>
      <c r="K664" t="n">
        <v>4.235431</v>
      </c>
      <c r="L664" t="n">
        <v>0.036637</v>
      </c>
      <c r="M664" t="n">
        <v>-0.144022</v>
      </c>
      <c r="N664" t="n">
        <v>31.03026948</v>
      </c>
      <c r="O664" t="n">
        <v>4.319940049</v>
      </c>
      <c r="P664" t="n">
        <v>0</v>
      </c>
      <c r="Q664" t="inlineStr">
        <is>
          <t>Develops and sells pharmaceutical products for humans and animals</t>
        </is>
      </c>
      <c r="R664" t="inlineStr">
        <is>
          <t>USD</t>
        </is>
      </c>
      <c r="S664" t="inlineStr">
        <is>
          <t>Investment Grade</t>
        </is>
      </c>
      <c r="T664" t="inlineStr">
        <is>
          <t>A+</t>
        </is>
      </c>
      <c r="U664" t="inlineStr">
        <is>
          <t>NR</t>
        </is>
      </c>
    </row>
    <row r="665">
      <c r="A665" t="inlineStr">
        <is>
          <t>US06051GLE79</t>
        </is>
      </c>
      <c r="B665" t="inlineStr">
        <is>
          <t>Hold</t>
        </is>
      </c>
      <c r="C665" t="inlineStr">
        <is>
          <t>Bank Of America Corp</t>
        </is>
      </c>
      <c r="D665" t="n">
        <v>5.08</v>
      </c>
      <c r="E665" t="inlineStr">
        <is>
          <t>Sr Unsecured</t>
        </is>
      </c>
      <c r="F665" t="inlineStr">
        <is>
          <t>20.01.2027</t>
        </is>
      </c>
      <c r="G665" t="inlineStr">
        <is>
          <t>United states</t>
        </is>
      </c>
      <c r="H665" t="inlineStr">
        <is>
          <t>Financial</t>
        </is>
      </c>
      <c r="I665" t="n">
        <v>2</v>
      </c>
      <c r="J665" t="n">
        <v>100.256</v>
      </c>
      <c r="K665" t="n">
        <v>4.586133</v>
      </c>
      <c r="L665" t="n">
        <v>0.021614</v>
      </c>
      <c r="M665" t="n">
        <v>-0.134953</v>
      </c>
      <c r="N665" t="n">
        <v>31.0246953</v>
      </c>
      <c r="O665" t="n">
        <v>0.881308372</v>
      </c>
      <c r="P665" t="n">
        <v>80</v>
      </c>
      <c r="Q665" t="inlineStr">
        <is>
          <t>One of the largest US banks</t>
        </is>
      </c>
      <c r="R665" t="inlineStr">
        <is>
          <t>USD</t>
        </is>
      </c>
      <c r="S665" t="inlineStr">
        <is>
          <t>Investment Grade</t>
        </is>
      </c>
      <c r="T665" t="inlineStr">
        <is>
          <t>A</t>
        </is>
      </c>
      <c r="U665" t="inlineStr">
        <is>
          <t>A</t>
        </is>
      </c>
    </row>
    <row r="666">
      <c r="A666" t="inlineStr">
        <is>
          <t>FR001400G6E6</t>
        </is>
      </c>
      <c r="B666" t="inlineStr">
        <is>
          <t>Not accumulate</t>
        </is>
      </c>
      <c r="C666" t="inlineStr">
        <is>
          <t>Caisse D'Amort Dette Soc</t>
        </is>
      </c>
      <c r="D666" t="n">
        <v>3.125</v>
      </c>
      <c r="E666" t="inlineStr">
        <is>
          <t>Sr Unsecured</t>
        </is>
      </c>
      <c r="F666" t="inlineStr">
        <is>
          <t>01.03.2030</t>
        </is>
      </c>
      <c r="G666" t="inlineStr">
        <is>
          <t>France</t>
        </is>
      </c>
      <c r="H666" t="inlineStr">
        <is>
          <t>Government</t>
        </is>
      </c>
      <c r="I666" t="n">
        <v>100</v>
      </c>
      <c r="J666" t="n">
        <v>102.487</v>
      </c>
      <c r="K666" t="n">
        <v>2.548612</v>
      </c>
      <c r="L666" t="n">
        <v>0.033155</v>
      </c>
      <c r="M666" t="n">
        <v>0.062172</v>
      </c>
      <c r="N666" t="n">
        <v>30.82461592</v>
      </c>
      <c r="O666" t="n">
        <v>4.458510377</v>
      </c>
      <c r="P666" t="n">
        <v>85</v>
      </c>
      <c r="Q666" t="inlineStr">
        <is>
          <t>Operates as an administrative state agency</t>
        </is>
      </c>
      <c r="R666" t="inlineStr">
        <is>
          <t>EUR</t>
        </is>
      </c>
      <c r="S666" t="inlineStr">
        <is>
          <t>Investment Grade</t>
        </is>
      </c>
      <c r="T666" t="inlineStr">
        <is>
          <t>AA-</t>
        </is>
      </c>
      <c r="U666" t="inlineStr">
        <is>
          <t>AA-</t>
        </is>
      </c>
    </row>
    <row r="667">
      <c r="A667" t="inlineStr">
        <is>
          <t>XS1423753463</t>
        </is>
      </c>
      <c r="B667" t="inlineStr">
        <is>
          <t>Hold</t>
        </is>
      </c>
      <c r="C667" t="inlineStr">
        <is>
          <t>Nibc Bank Nv</t>
        </is>
      </c>
      <c r="D667" t="n">
        <v>0.625</v>
      </c>
      <c r="E667" t="inlineStr">
        <is>
          <t>Secured</t>
        </is>
      </c>
      <c r="F667" t="inlineStr">
        <is>
          <t>01.06.2026</t>
        </is>
      </c>
      <c r="G667" t="inlineStr">
        <is>
          <t>Netherlands</t>
        </is>
      </c>
      <c r="H667" t="inlineStr">
        <is>
          <t>Financial</t>
        </is>
      </c>
      <c r="I667" t="n">
        <v>100</v>
      </c>
      <c r="J667" t="n">
        <v>98.666</v>
      </c>
      <c r="K667" t="n">
        <v>2.141192</v>
      </c>
      <c r="L667" t="n">
        <v>-0.009309</v>
      </c>
      <c r="M667" t="n">
        <v>-0.012935</v>
      </c>
      <c r="N667" t="n">
        <v>30.73261803</v>
      </c>
      <c r="O667" t="n">
        <v>1.22903279</v>
      </c>
      <c r="P667" t="n">
        <v>80</v>
      </c>
      <c r="Q667" t="inlineStr">
        <is>
          <t>Dutch bank with activities in corporate and investment banking</t>
        </is>
      </c>
      <c r="R667" t="inlineStr">
        <is>
          <t>EUR</t>
        </is>
      </c>
      <c r="S667" t="inlineStr">
        <is>
          <t>Investment Grade</t>
        </is>
      </c>
      <c r="T667" t="inlineStr">
        <is>
          <t>AAA</t>
        </is>
      </c>
      <c r="U667" t="inlineStr">
        <is>
          <t>AAA</t>
        </is>
      </c>
    </row>
    <row r="668">
      <c r="A668" t="inlineStr">
        <is>
          <t>US47109LAD64</t>
        </is>
      </c>
      <c r="B668" t="inlineStr">
        <is>
          <t>Hold</t>
        </is>
      </c>
      <c r="C668" t="inlineStr">
        <is>
          <t>Japan Int'L Coop Agency</t>
        </is>
      </c>
      <c r="D668" t="n">
        <v>1</v>
      </c>
      <c r="E668" t="inlineStr">
        <is>
          <t>Sr Unsecured</t>
        </is>
      </c>
      <c r="F668" t="inlineStr">
        <is>
          <t>22.07.2030</t>
        </is>
      </c>
      <c r="G668" t="inlineStr">
        <is>
          <t>Japan</t>
        </is>
      </c>
      <c r="H668" t="inlineStr">
        <is>
          <t>Government</t>
        </is>
      </c>
      <c r="I668" t="n">
        <v>200</v>
      </c>
      <c r="J668" t="n">
        <v>85.44199999999999</v>
      </c>
      <c r="K668" t="n">
        <v>4.238972</v>
      </c>
      <c r="L668" t="n">
        <v>0.059731</v>
      </c>
      <c r="M668" t="n">
        <v>-0.094004</v>
      </c>
      <c r="N668" t="n">
        <v>30.49264755</v>
      </c>
      <c r="O668" t="n">
        <v>5.145905842</v>
      </c>
      <c r="P668" t="n">
        <v>85</v>
      </c>
      <c r="Q668" t="inlineStr">
        <is>
          <t>Independant admisnistrative organization</t>
        </is>
      </c>
      <c r="R668" t="inlineStr">
        <is>
          <t>USD</t>
        </is>
      </c>
      <c r="S668" t="inlineStr">
        <is>
          <t>Investment Grade</t>
        </is>
      </c>
      <c r="T668" t="inlineStr">
        <is>
          <t>NR</t>
        </is>
      </c>
      <c r="U668" t="inlineStr">
        <is>
          <t>NR</t>
        </is>
      </c>
    </row>
    <row r="669">
      <c r="A669" t="inlineStr">
        <is>
          <t>XS2082324018</t>
        </is>
      </c>
      <c r="B669" t="inlineStr">
        <is>
          <t xml:space="preserve">Hold </t>
        </is>
      </c>
      <c r="C669" t="inlineStr">
        <is>
          <t>Arcelormittal</t>
        </is>
      </c>
      <c r="D669" t="n">
        <v>1.75</v>
      </c>
      <c r="E669" t="inlineStr">
        <is>
          <t>Sr Unsecured</t>
        </is>
      </c>
      <c r="F669" t="inlineStr">
        <is>
          <t>19.11.2025</t>
        </is>
      </c>
      <c r="G669" t="inlineStr">
        <is>
          <t>Luxembourg</t>
        </is>
      </c>
      <c r="H669" t="inlineStr">
        <is>
          <t>Basic Materials</t>
        </is>
      </c>
      <c r="I669" t="n">
        <v>100</v>
      </c>
      <c r="J669" t="n">
        <v>99.851</v>
      </c>
      <c r="K669" t="n">
        <v>2.15287</v>
      </c>
      <c r="L669" t="n">
        <v>-0.112333</v>
      </c>
      <c r="M669" t="n">
        <v>-0.204487</v>
      </c>
      <c r="N669" t="n">
        <v>30.23704645</v>
      </c>
      <c r="O669" t="n">
        <v>0.721019811</v>
      </c>
      <c r="P669" t="n">
        <v>75</v>
      </c>
      <c r="Q669" t="inlineStr">
        <is>
          <t>World's largest producer of steel</t>
        </is>
      </c>
      <c r="R669" t="inlineStr">
        <is>
          <t>EUR</t>
        </is>
      </c>
      <c r="S669" t="inlineStr">
        <is>
          <t>Investment Grade</t>
        </is>
      </c>
      <c r="T669" t="inlineStr">
        <is>
          <t>BBB-</t>
        </is>
      </c>
      <c r="U669" t="inlineStr">
        <is>
          <t>BBB-</t>
        </is>
      </c>
    </row>
    <row r="670">
      <c r="A670" t="inlineStr">
        <is>
          <t>US037833EW60</t>
        </is>
      </c>
      <c r="B670" t="inlineStr">
        <is>
          <t>Hold</t>
        </is>
      </c>
      <c r="C670" t="inlineStr">
        <is>
          <t>Apple Inc</t>
        </is>
      </c>
      <c r="D670" t="n">
        <v>4.85</v>
      </c>
      <c r="E670" t="inlineStr">
        <is>
          <t>Sr Unsecured</t>
        </is>
      </c>
      <c r="F670" t="inlineStr">
        <is>
          <t>10.05.2053</t>
        </is>
      </c>
      <c r="G670" t="inlineStr">
        <is>
          <t>United states</t>
        </is>
      </c>
      <c r="H670" t="inlineStr">
        <is>
          <t>Technology</t>
        </is>
      </c>
      <c r="I670" t="n">
        <v>2</v>
      </c>
      <c r="J670" t="n">
        <v>95.075</v>
      </c>
      <c r="K670" t="n">
        <v>5.185787</v>
      </c>
      <c r="L670" t="n">
        <v>-0.049062</v>
      </c>
      <c r="M670" t="n">
        <v>-0.107057</v>
      </c>
      <c r="N670" t="n">
        <v>30.12162808</v>
      </c>
      <c r="O670" t="n">
        <v>14.77078498</v>
      </c>
      <c r="P670" t="n">
        <v>85</v>
      </c>
      <c r="Q670" t="inlineStr">
        <is>
          <t>Leading global designer and seller of premium electronic devices</t>
        </is>
      </c>
      <c r="R670" t="inlineStr">
        <is>
          <t>USD</t>
        </is>
      </c>
      <c r="S670" t="inlineStr">
        <is>
          <t>Investment Grade</t>
        </is>
      </c>
      <c r="T670" t="inlineStr">
        <is>
          <t>AA+</t>
        </is>
      </c>
      <c r="U670" t="inlineStr">
        <is>
          <t>AA+</t>
        </is>
      </c>
    </row>
    <row r="671">
      <c r="A671" t="inlineStr">
        <is>
          <t>US57636QAU85</t>
        </is>
      </c>
      <c r="B671" t="inlineStr">
        <is>
          <t>Hold</t>
        </is>
      </c>
      <c r="C671" t="inlineStr">
        <is>
          <t>Mastercard Inc</t>
        </is>
      </c>
      <c r="D671" t="n">
        <v>2</v>
      </c>
      <c r="E671" t="inlineStr">
        <is>
          <t>Sr Unsecured</t>
        </is>
      </c>
      <c r="F671" t="inlineStr">
        <is>
          <t>18.11.2031</t>
        </is>
      </c>
      <c r="G671" t="inlineStr">
        <is>
          <t>United states</t>
        </is>
      </c>
      <c r="H671" t="inlineStr">
        <is>
          <t>Financial</t>
        </is>
      </c>
      <c r="I671" t="n">
        <v>2</v>
      </c>
      <c r="J671" t="n">
        <v>86.91800000000001</v>
      </c>
      <c r="K671" t="n">
        <v>4.378195</v>
      </c>
      <c r="L671" t="n">
        <v>0.02155</v>
      </c>
      <c r="M671" t="n">
        <v>-0.151569</v>
      </c>
      <c r="N671" t="n">
        <v>29.76850203</v>
      </c>
      <c r="O671" t="n">
        <v>6.107648346</v>
      </c>
      <c r="P671" t="n">
        <v>80</v>
      </c>
      <c r="Q671" t="inlineStr">
        <is>
          <t xml:space="preserve">One of the three largest global payment card companies </t>
        </is>
      </c>
      <c r="R671" t="inlineStr">
        <is>
          <t>USD</t>
        </is>
      </c>
      <c r="S671" t="inlineStr">
        <is>
          <t>Investment Grade</t>
        </is>
      </c>
      <c r="T671" t="inlineStr">
        <is>
          <t>A+</t>
        </is>
      </c>
      <c r="U671" t="inlineStr">
        <is>
          <t>A+</t>
        </is>
      </c>
    </row>
    <row r="672">
      <c r="A672" t="inlineStr">
        <is>
          <t>US30231GBK76</t>
        </is>
      </c>
      <c r="B672" t="inlineStr">
        <is>
          <t>Hold</t>
        </is>
      </c>
      <c r="C672" t="inlineStr">
        <is>
          <t>Exxon Mobil Corporation</t>
        </is>
      </c>
      <c r="D672" t="n">
        <v>3.482</v>
      </c>
      <c r="E672" t="inlineStr">
        <is>
          <t>Sr Unsecured</t>
        </is>
      </c>
      <c r="F672" t="inlineStr">
        <is>
          <t>19.03.2030</t>
        </is>
      </c>
      <c r="G672" t="inlineStr">
        <is>
          <t>United states</t>
        </is>
      </c>
      <c r="H672" t="inlineStr">
        <is>
          <t>Energy</t>
        </is>
      </c>
      <c r="I672" t="n">
        <v>2</v>
      </c>
      <c r="J672" t="n">
        <v>96.846</v>
      </c>
      <c r="K672" t="n">
        <v>4.228367</v>
      </c>
      <c r="L672" t="n">
        <v>0.109337</v>
      </c>
      <c r="M672" t="n">
        <v>-0.148596</v>
      </c>
      <c r="N672" t="n">
        <v>29.4746555</v>
      </c>
      <c r="O672" t="n">
        <v>4.507810196</v>
      </c>
      <c r="P672" t="n">
        <v>85</v>
      </c>
      <c r="Q672" t="inlineStr">
        <is>
          <t xml:space="preserve">Global oil major </t>
        </is>
      </c>
      <c r="R672" t="inlineStr">
        <is>
          <t>USD</t>
        </is>
      </c>
      <c r="S672" t="inlineStr">
        <is>
          <t>Investment Grade</t>
        </is>
      </c>
      <c r="T672" t="inlineStr">
        <is>
          <t>AA-</t>
        </is>
      </c>
      <c r="U672" t="inlineStr">
        <is>
          <t>AA-</t>
        </is>
      </c>
    </row>
    <row r="673">
      <c r="A673" t="inlineStr">
        <is>
          <t>XS2574873266</t>
        </is>
      </c>
      <c r="B673" t="inlineStr">
        <is>
          <t>Hold</t>
        </is>
      </c>
      <c r="C673" t="inlineStr">
        <is>
          <t>E.On Se</t>
        </is>
      </c>
      <c r="D673" t="n">
        <v>3.5</v>
      </c>
      <c r="E673" t="inlineStr">
        <is>
          <t>Sr Unsecured</t>
        </is>
      </c>
      <c r="F673" t="inlineStr">
        <is>
          <t>12.01.2028</t>
        </is>
      </c>
      <c r="G673" t="inlineStr">
        <is>
          <t>Germany</t>
        </is>
      </c>
      <c r="H673" t="inlineStr">
        <is>
          <t>Utilities</t>
        </is>
      </c>
      <c r="I673" t="n">
        <v>1</v>
      </c>
      <c r="J673" t="n">
        <v>102.797</v>
      </c>
      <c r="K673" t="n">
        <v>2.216167</v>
      </c>
      <c r="L673" t="n">
        <v>-0.122559</v>
      </c>
      <c r="M673" t="n">
        <v>-0.198602</v>
      </c>
      <c r="N673" t="n">
        <v>29.38345976</v>
      </c>
      <c r="O673" t="n">
        <v>2.482300692</v>
      </c>
      <c r="P673" t="n">
        <v>60</v>
      </c>
      <c r="Q673" t="inlineStr">
        <is>
          <t>One of the Europe's largest operators of energy networks and infrastructure</t>
        </is>
      </c>
      <c r="R673" t="inlineStr">
        <is>
          <t>EUR</t>
        </is>
      </c>
      <c r="S673" t="inlineStr">
        <is>
          <t>Investment Grade</t>
        </is>
      </c>
      <c r="T673" t="inlineStr">
        <is>
          <t>BBB+</t>
        </is>
      </c>
      <c r="U673" t="inlineStr">
        <is>
          <t>BBB+</t>
        </is>
      </c>
    </row>
    <row r="674">
      <c r="A674" t="inlineStr">
        <is>
          <t>BE0000304130</t>
        </is>
      </c>
      <c r="B674" t="inlineStr">
        <is>
          <t>Hold</t>
        </is>
      </c>
      <c r="C674" t="inlineStr">
        <is>
          <t>Belgium Kingdom</t>
        </is>
      </c>
      <c r="D674" t="n">
        <v>5</v>
      </c>
      <c r="E674" t="inlineStr">
        <is>
          <t>Sr Unsecured</t>
        </is>
      </c>
      <c r="F674" t="inlineStr">
        <is>
          <t>28.03.2035</t>
        </is>
      </c>
      <c r="G674" t="inlineStr">
        <is>
          <t>Belgium</t>
        </is>
      </c>
      <c r="H674" t="inlineStr">
        <is>
          <t>Government</t>
        </is>
      </c>
      <c r="I674" t="n">
        <v>1e-05</v>
      </c>
      <c r="J674" t="n">
        <v>115.687</v>
      </c>
      <c r="K674" t="n">
        <v>3.103505</v>
      </c>
      <c r="L674" t="n">
        <v>0.055533</v>
      </c>
      <c r="M674" t="n">
        <v>0.10764</v>
      </c>
      <c r="N674" t="n">
        <v>29.1047967</v>
      </c>
      <c r="O674" t="n">
        <v>7.774292396</v>
      </c>
      <c r="P674" t="n">
        <v>85</v>
      </c>
      <c r="Q674" t="inlineStr">
        <is>
          <t>Belgium government bond</t>
        </is>
      </c>
      <c r="R674" t="inlineStr">
        <is>
          <t>EUR</t>
        </is>
      </c>
      <c r="S674" t="inlineStr">
        <is>
          <t>Investment Grade</t>
        </is>
      </c>
      <c r="T674" t="inlineStr">
        <is>
          <t>NR</t>
        </is>
      </c>
      <c r="U674" t="inlineStr">
        <is>
          <t>AA-</t>
        </is>
      </c>
    </row>
    <row r="675">
      <c r="A675" t="inlineStr">
        <is>
          <t>XS2150006307</t>
        </is>
      </c>
      <c r="B675" t="inlineStr">
        <is>
          <t>Hold</t>
        </is>
      </c>
      <c r="C675" t="inlineStr">
        <is>
          <t>John Deere Cash Manageme</t>
        </is>
      </c>
      <c r="D675" t="n">
        <v>1.85</v>
      </c>
      <c r="E675" t="inlineStr">
        <is>
          <t>Sr Unsecured</t>
        </is>
      </c>
      <c r="F675" t="inlineStr">
        <is>
          <t>02.04.2028</t>
        </is>
      </c>
      <c r="G675" t="inlineStr">
        <is>
          <t>United states</t>
        </is>
      </c>
      <c r="H675" t="inlineStr">
        <is>
          <t>Industrial</t>
        </is>
      </c>
      <c r="I675" t="n">
        <v>100</v>
      </c>
      <c r="J675" t="n">
        <v>98.958</v>
      </c>
      <c r="K675" t="n">
        <v>2.244874</v>
      </c>
      <c r="L675" t="n">
        <v>-0.039314</v>
      </c>
      <c r="M675" t="n">
        <v>-0.060349</v>
      </c>
      <c r="N675" t="n">
        <v>28.59166351</v>
      </c>
      <c r="O675" t="n">
        <v>2.916517881</v>
      </c>
      <c r="P675" t="n">
        <v>80</v>
      </c>
      <c r="Q675" t="inlineStr">
        <is>
          <t>Manufactures agricultural machinery and parts</t>
        </is>
      </c>
      <c r="R675" t="inlineStr">
        <is>
          <t>EUR</t>
        </is>
      </c>
      <c r="S675" t="inlineStr">
        <is>
          <t>Investment Grade</t>
        </is>
      </c>
      <c r="T675" t="inlineStr">
        <is>
          <t>A</t>
        </is>
      </c>
      <c r="U675" t="inlineStr">
        <is>
          <t>A</t>
        </is>
      </c>
    </row>
    <row r="676">
      <c r="A676" t="inlineStr">
        <is>
          <t>XS2976491592</t>
        </is>
      </c>
      <c r="B676" t="inlineStr">
        <is>
          <t xml:space="preserve">Hold </t>
        </is>
      </c>
      <c r="C676" t="inlineStr">
        <is>
          <t>Nordic Investment Bank</t>
        </is>
      </c>
      <c r="D676" t="n">
        <v>4.5</v>
      </c>
      <c r="E676" t="inlineStr">
        <is>
          <t>Sr Unsecured</t>
        </is>
      </c>
      <c r="F676" t="inlineStr">
        <is>
          <t>31.01.2028</t>
        </is>
      </c>
      <c r="G676" t="inlineStr">
        <is>
          <t>Supranational</t>
        </is>
      </c>
      <c r="H676" t="inlineStr">
        <is>
          <t>Government</t>
        </is>
      </c>
      <c r="I676" t="n">
        <v>1</v>
      </c>
      <c r="J676" t="n">
        <v>101.039</v>
      </c>
      <c r="K676" t="n">
        <v>4.014163</v>
      </c>
      <c r="L676" t="n">
        <v>0.016743</v>
      </c>
      <c r="M676" t="n">
        <v>-0.116652</v>
      </c>
      <c r="N676" t="n">
        <v>28.57600922</v>
      </c>
      <c r="O676" t="n">
        <v>2.687274949</v>
      </c>
      <c r="P676" t="n">
        <v>0</v>
      </c>
      <c r="Q676" t="inlineStr">
        <is>
          <t>Provides banking and financial services</t>
        </is>
      </c>
      <c r="R676" t="inlineStr">
        <is>
          <t>GBP</t>
        </is>
      </c>
      <c r="S676" t="inlineStr">
        <is>
          <t>Investment Grade</t>
        </is>
      </c>
      <c r="T676" t="inlineStr">
        <is>
          <t>AAA</t>
        </is>
      </c>
      <c r="U676" t="inlineStr">
        <is>
          <t>AAA</t>
        </is>
      </c>
    </row>
    <row r="677">
      <c r="A677" t="inlineStr">
        <is>
          <t>US713448FS27</t>
        </is>
      </c>
      <c r="B677" t="inlineStr">
        <is>
          <t xml:space="preserve">Top pick </t>
        </is>
      </c>
      <c r="C677" t="inlineStr">
        <is>
          <t>Pepsico Inc</t>
        </is>
      </c>
      <c r="D677" t="n">
        <v>4.45</v>
      </c>
      <c r="E677" t="inlineStr">
        <is>
          <t>Sr Unsecured</t>
        </is>
      </c>
      <c r="F677" t="inlineStr">
        <is>
          <t>15.02.2033</t>
        </is>
      </c>
      <c r="G677" t="inlineStr">
        <is>
          <t>United states</t>
        </is>
      </c>
      <c r="H677" t="inlineStr">
        <is>
          <t>Consumer, Non-cyclical</t>
        </is>
      </c>
      <c r="I677" t="n">
        <v>2</v>
      </c>
      <c r="J677" t="n">
        <v>99.765</v>
      </c>
      <c r="K677" t="n">
        <v>4.486189</v>
      </c>
      <c r="L677" t="n">
        <v>0.005736</v>
      </c>
      <c r="M677" t="n">
        <v>-0.075742</v>
      </c>
      <c r="N677" t="n">
        <v>28.5229716</v>
      </c>
      <c r="O677" t="n">
        <v>6.63958379</v>
      </c>
      <c r="P677" t="n">
        <v>80</v>
      </c>
      <c r="Q677" t="inlineStr">
        <is>
          <t>One of the world leaders in snack foods and beverages</t>
        </is>
      </c>
      <c r="R677" t="inlineStr">
        <is>
          <t>USD</t>
        </is>
      </c>
      <c r="S677" t="inlineStr">
        <is>
          <t>Investment Grade</t>
        </is>
      </c>
      <c r="T677" t="inlineStr">
        <is>
          <t>A+</t>
        </is>
      </c>
      <c r="U677" t="inlineStr">
        <is>
          <t>A+</t>
        </is>
      </c>
    </row>
    <row r="678">
      <c r="A678" t="inlineStr">
        <is>
          <t>XS2980761014</t>
        </is>
      </c>
      <c r="B678" t="inlineStr">
        <is>
          <t xml:space="preserve">Hold </t>
        </is>
      </c>
      <c r="C678" t="inlineStr">
        <is>
          <t>Province Of Quebec</t>
        </is>
      </c>
      <c r="D678" t="n">
        <v>4.75</v>
      </c>
      <c r="E678" t="inlineStr">
        <is>
          <t>Sr Unsecured</t>
        </is>
      </c>
      <c r="F678" t="inlineStr">
        <is>
          <t>22.01.2030</t>
        </is>
      </c>
      <c r="G678" t="inlineStr">
        <is>
          <t>Canada</t>
        </is>
      </c>
      <c r="H678" t="inlineStr">
        <is>
          <t>Government</t>
        </is>
      </c>
      <c r="I678" t="n">
        <v>100</v>
      </c>
      <c r="J678" t="n">
        <v>102.151</v>
      </c>
      <c r="K678" t="n">
        <v>4.170182</v>
      </c>
      <c r="L678" t="n">
        <v>0.026619</v>
      </c>
      <c r="M678" t="n">
        <v>-0.134668</v>
      </c>
      <c r="N678" t="n">
        <v>28.24456821</v>
      </c>
      <c r="O678" t="n">
        <v>4.282661905</v>
      </c>
      <c r="P678" t="n">
        <v>0</v>
      </c>
      <c r="Q678" t="inlineStr">
        <is>
          <t>Province of Quebec (Canada)</t>
        </is>
      </c>
      <c r="R678" t="inlineStr">
        <is>
          <t>GBP</t>
        </is>
      </c>
      <c r="S678" t="inlineStr">
        <is>
          <t>Investment Grade</t>
        </is>
      </c>
      <c r="T678" t="inlineStr">
        <is>
          <t>AA-</t>
        </is>
      </c>
      <c r="U678" t="inlineStr">
        <is>
          <t>AA-</t>
        </is>
      </c>
    </row>
    <row r="679">
      <c r="A679" t="inlineStr">
        <is>
          <t>XS1885608817</t>
        </is>
      </c>
      <c r="B679" t="inlineStr">
        <is>
          <t>Hold</t>
        </is>
      </c>
      <c r="C679" t="inlineStr">
        <is>
          <t>Deutsche Bahn Fin Gmbh</t>
        </is>
      </c>
      <c r="D679" t="n">
        <v>1.375</v>
      </c>
      <c r="E679" t="inlineStr">
        <is>
          <t>Sr Unsecured</t>
        </is>
      </c>
      <c r="F679" t="inlineStr">
        <is>
          <t>28.03.2031</t>
        </is>
      </c>
      <c r="G679" t="inlineStr">
        <is>
          <t>Germany</t>
        </is>
      </c>
      <c r="H679" t="inlineStr">
        <is>
          <t>Industrial</t>
        </is>
      </c>
      <c r="I679" t="n">
        <v>1</v>
      </c>
      <c r="J679" t="n">
        <v>93.09099999999999</v>
      </c>
      <c r="K679" t="n">
        <v>2.69436</v>
      </c>
      <c r="L679" t="n">
        <v>-0.021499</v>
      </c>
      <c r="M679" t="n">
        <v>-0.002049</v>
      </c>
      <c r="N679" t="n">
        <v>28.03933254</v>
      </c>
      <c r="O679" t="n">
        <v>5.635929115</v>
      </c>
      <c r="P679" t="n">
        <v>85</v>
      </c>
      <c r="Q679" t="inlineStr">
        <is>
          <t>Operates as a transportation company</t>
        </is>
      </c>
      <c r="R679" t="inlineStr">
        <is>
          <t>EUR</t>
        </is>
      </c>
      <c r="S679" t="inlineStr">
        <is>
          <t>Investment Grade</t>
        </is>
      </c>
      <c r="T679" t="inlineStr">
        <is>
          <t>AA</t>
        </is>
      </c>
      <c r="U679" t="inlineStr">
        <is>
          <t>AA</t>
        </is>
      </c>
    </row>
    <row r="680" ht="13.5" customHeight="1">
      <c r="A680" t="inlineStr">
        <is>
          <t>US02079KAE73</t>
        </is>
      </c>
      <c r="B680" t="inlineStr">
        <is>
          <t>Hold</t>
        </is>
      </c>
      <c r="C680" t="inlineStr">
        <is>
          <t>Alphabet Inc</t>
        </is>
      </c>
      <c r="D680" t="n">
        <v>1.9</v>
      </c>
      <c r="E680" t="inlineStr">
        <is>
          <t>Sr Unsecured</t>
        </is>
      </c>
      <c r="F680" t="inlineStr">
        <is>
          <t>15.08.2040</t>
        </is>
      </c>
      <c r="G680" t="inlineStr">
        <is>
          <t>United states</t>
        </is>
      </c>
      <c r="H680" t="inlineStr">
        <is>
          <t>Communications</t>
        </is>
      </c>
      <c r="I680" t="n">
        <v>2</v>
      </c>
      <c r="J680" t="n">
        <v>66.788</v>
      </c>
      <c r="K680" t="n">
        <v>5.074658</v>
      </c>
      <c r="L680" t="n">
        <v>-0.026366</v>
      </c>
      <c r="M680" t="n">
        <v>-0.133693</v>
      </c>
      <c r="N680" t="n">
        <v>27.75616188</v>
      </c>
      <c r="O680" t="n">
        <v>12.56196444</v>
      </c>
      <c r="P680" t="n">
        <v>85</v>
      </c>
      <c r="Q680" s="40" t="inlineStr">
        <is>
          <t>World's leading internet search engine</t>
        </is>
      </c>
      <c r="R680" t="inlineStr">
        <is>
          <t>USD</t>
        </is>
      </c>
      <c r="S680" t="inlineStr">
        <is>
          <t>Investment Grade</t>
        </is>
      </c>
      <c r="T680" t="inlineStr">
        <is>
          <t>AA</t>
        </is>
      </c>
      <c r="U680" t="inlineStr">
        <is>
          <t>AA</t>
        </is>
      </c>
    </row>
    <row r="681">
      <c r="A681" t="inlineStr">
        <is>
          <t>XS0330497149</t>
        </is>
      </c>
      <c r="B681" t="inlineStr">
        <is>
          <t>Hold</t>
        </is>
      </c>
      <c r="C681" t="inlineStr">
        <is>
          <t>Astrazeneca Plc</t>
        </is>
      </c>
      <c r="D681" t="n">
        <v>5.75</v>
      </c>
      <c r="E681" t="inlineStr">
        <is>
          <t>Sr Unsecured</t>
        </is>
      </c>
      <c r="F681" t="inlineStr">
        <is>
          <t>13.11.2031</t>
        </is>
      </c>
      <c r="G681" t="inlineStr">
        <is>
          <t>United Kingdom</t>
        </is>
      </c>
      <c r="H681" t="inlineStr">
        <is>
          <t>Consumer, Non-cyclical</t>
        </is>
      </c>
      <c r="I681" t="n">
        <v>50</v>
      </c>
      <c r="J681" t="n">
        <v>107.187</v>
      </c>
      <c r="K681" t="n">
        <v>4.374044</v>
      </c>
      <c r="L681" t="n">
        <v>0.007552</v>
      </c>
      <c r="M681" t="n">
        <v>-0.212464</v>
      </c>
      <c r="N681" t="n">
        <v>27.04539467</v>
      </c>
      <c r="O681" t="n">
        <v>5.461750436</v>
      </c>
      <c r="P681" t="n">
        <v>80</v>
      </c>
      <c r="Q681" t="inlineStr">
        <is>
          <t xml:space="preserve">Anglo-Swedish multinational pharmaceutical company </t>
        </is>
      </c>
      <c r="R681" t="inlineStr">
        <is>
          <t>GBP</t>
        </is>
      </c>
      <c r="S681" t="inlineStr">
        <is>
          <t>Investment Grade</t>
        </is>
      </c>
      <c r="T681" t="inlineStr">
        <is>
          <t>A+</t>
        </is>
      </c>
      <c r="U681" t="inlineStr">
        <is>
          <t>A</t>
        </is>
      </c>
    </row>
    <row r="682">
      <c r="A682" t="inlineStr">
        <is>
          <t>CH0425766539</t>
        </is>
      </c>
      <c r="B682" t="inlineStr">
        <is>
          <t>Hold</t>
        </is>
      </c>
      <c r="C682" t="inlineStr">
        <is>
          <t>Totalenergies Cap Intl</t>
        </is>
      </c>
      <c r="D682" t="n">
        <v>0.288</v>
      </c>
      <c r="E682" t="inlineStr">
        <is>
          <t>Sr Unsecured</t>
        </is>
      </c>
      <c r="F682" t="inlineStr">
        <is>
          <t>13.07.2026</t>
        </is>
      </c>
      <c r="G682" t="inlineStr">
        <is>
          <t>France</t>
        </is>
      </c>
      <c r="H682" t="inlineStr">
        <is>
          <t>Energy</t>
        </is>
      </c>
      <c r="I682" t="n">
        <v>5</v>
      </c>
      <c r="J682" t="n">
        <v>100.094</v>
      </c>
      <c r="K682" t="n">
        <v>0.194848</v>
      </c>
      <c r="L682" t="n">
        <v>-0.020597</v>
      </c>
      <c r="M682" t="n">
        <v>0.080706</v>
      </c>
      <c r="N682" t="n">
        <v>26.78990129</v>
      </c>
      <c r="O682" t="n">
        <v>1.378300453</v>
      </c>
      <c r="P682" t="n">
        <v>80</v>
      </c>
      <c r="Q682" t="inlineStr">
        <is>
          <t>One of the largest oil companies of the world</t>
        </is>
      </c>
      <c r="R682" t="inlineStr">
        <is>
          <t>CHF</t>
        </is>
      </c>
      <c r="S682" t="inlineStr">
        <is>
          <t>Investment Grade</t>
        </is>
      </c>
      <c r="T682" t="inlineStr">
        <is>
          <t>A+</t>
        </is>
      </c>
      <c r="U682" t="inlineStr">
        <is>
          <t>A+</t>
        </is>
      </c>
    </row>
    <row r="683">
      <c r="A683" t="inlineStr">
        <is>
          <t>US713448EL82</t>
        </is>
      </c>
      <c r="B683" t="inlineStr">
        <is>
          <t>Hold</t>
        </is>
      </c>
      <c r="C683" t="inlineStr">
        <is>
          <t>Pepsico Inc</t>
        </is>
      </c>
      <c r="D683" t="n">
        <v>2.625</v>
      </c>
      <c r="E683" t="inlineStr">
        <is>
          <t>Sr Unsecured</t>
        </is>
      </c>
      <c r="F683" t="inlineStr">
        <is>
          <t>29.07.2029</t>
        </is>
      </c>
      <c r="G683" t="inlineStr">
        <is>
          <t>United states</t>
        </is>
      </c>
      <c r="H683" t="inlineStr">
        <is>
          <t>Consumer, Non-cyclical</t>
        </is>
      </c>
      <c r="I683" t="n">
        <v>2</v>
      </c>
      <c r="J683" t="n">
        <v>94.31399999999999</v>
      </c>
      <c r="K683" t="n">
        <v>4.161694</v>
      </c>
      <c r="L683" t="n">
        <v>0.035194</v>
      </c>
      <c r="M683" t="n">
        <v>-0.122926</v>
      </c>
      <c r="N683" t="n">
        <v>26.50708687</v>
      </c>
      <c r="O683" t="n">
        <v>4.106540542</v>
      </c>
      <c r="P683" t="n">
        <v>80</v>
      </c>
      <c r="Q683" t="inlineStr">
        <is>
          <t>One of the world leaders in snack foods and beverages</t>
        </is>
      </c>
      <c r="R683" t="inlineStr">
        <is>
          <t>USD</t>
        </is>
      </c>
      <c r="S683" t="inlineStr">
        <is>
          <t>Investment Grade</t>
        </is>
      </c>
      <c r="T683" t="inlineStr">
        <is>
          <t>A+</t>
        </is>
      </c>
      <c r="U683" t="inlineStr">
        <is>
          <t>A+</t>
        </is>
      </c>
    </row>
    <row r="684">
      <c r="A684" t="inlineStr">
        <is>
          <t>US66989HAR93</t>
        </is>
      </c>
      <c r="B684" t="inlineStr">
        <is>
          <t>Hold</t>
        </is>
      </c>
      <c r="C684" t="inlineStr">
        <is>
          <t>Novartis Capital Corp</t>
        </is>
      </c>
      <c r="D684" t="n">
        <v>2.2</v>
      </c>
      <c r="E684" t="inlineStr">
        <is>
          <t>Sr Unsecured</t>
        </is>
      </c>
      <c r="F684" t="inlineStr">
        <is>
          <t>14.08.2030</t>
        </is>
      </c>
      <c r="G684" t="inlineStr">
        <is>
          <t>United states</t>
        </is>
      </c>
      <c r="H684" t="inlineStr">
        <is>
          <t>Consumer, Non-cyclical</t>
        </is>
      </c>
      <c r="I684" t="n">
        <v>2</v>
      </c>
      <c r="J684" t="n">
        <v>90.86</v>
      </c>
      <c r="K684" t="n">
        <v>4.209741</v>
      </c>
      <c r="L684" t="n">
        <v>0.016356</v>
      </c>
      <c r="M684" t="n">
        <v>-0.155038</v>
      </c>
      <c r="N684" t="n">
        <v>26.48533968</v>
      </c>
      <c r="O684" t="n">
        <v>5.047340759</v>
      </c>
      <c r="P684" t="n">
        <v>85</v>
      </c>
      <c r="Q684" t="inlineStr">
        <is>
          <t>Global pharmaceutical company</t>
        </is>
      </c>
      <c r="R684" t="inlineStr">
        <is>
          <t>USD</t>
        </is>
      </c>
      <c r="S684" t="inlineStr">
        <is>
          <t>Investment Grade</t>
        </is>
      </c>
      <c r="T684" t="inlineStr">
        <is>
          <t>AA-</t>
        </is>
      </c>
      <c r="U684" t="inlineStr">
        <is>
          <t>AA-</t>
        </is>
      </c>
    </row>
    <row r="685">
      <c r="A685" t="inlineStr">
        <is>
          <t>US046353AT52</t>
        </is>
      </c>
      <c r="B685" t="inlineStr">
        <is>
          <t>Hold</t>
        </is>
      </c>
      <c r="C685" t="inlineStr">
        <is>
          <t>Astrazeneca Plc</t>
        </is>
      </c>
      <c r="D685" t="n">
        <v>4</v>
      </c>
      <c r="E685" t="inlineStr">
        <is>
          <t>Sr Unsecured</t>
        </is>
      </c>
      <c r="F685" t="inlineStr">
        <is>
          <t>17.01.2029</t>
        </is>
      </c>
      <c r="G685" t="inlineStr">
        <is>
          <t>United Kingdom</t>
        </is>
      </c>
      <c r="H685" t="inlineStr">
        <is>
          <t>Consumer, Non-cyclical</t>
        </is>
      </c>
      <c r="I685" t="n">
        <v>2</v>
      </c>
      <c r="J685" t="n">
        <v>99.44499999999999</v>
      </c>
      <c r="K685" t="n">
        <v>4.170634</v>
      </c>
      <c r="L685" t="n">
        <v>0.021147</v>
      </c>
      <c r="M685" t="n">
        <v>-0.159443</v>
      </c>
      <c r="N685" t="n">
        <v>26.44608133</v>
      </c>
      <c r="O685" t="n">
        <v>3.555113619</v>
      </c>
      <c r="P685" t="n">
        <v>85</v>
      </c>
      <c r="Q685" t="inlineStr">
        <is>
          <t>Anglo-Swedish multinational pharmaceutical company</t>
        </is>
      </c>
      <c r="R685" t="inlineStr">
        <is>
          <t>USD</t>
        </is>
      </c>
      <c r="S685" t="inlineStr">
        <is>
          <t>Investment Grade</t>
        </is>
      </c>
      <c r="T685" t="inlineStr">
        <is>
          <t>A+</t>
        </is>
      </c>
      <c r="U685" t="inlineStr">
        <is>
          <t>A</t>
        </is>
      </c>
    </row>
    <row r="686">
      <c r="A686" t="inlineStr">
        <is>
          <t>XS2592088236</t>
        </is>
      </c>
      <c r="B686" t="inlineStr">
        <is>
          <t>Hold</t>
        </is>
      </c>
      <c r="C686" t="inlineStr">
        <is>
          <t>Roche Finance Europe Bv</t>
        </is>
      </c>
      <c r="D686" t="n">
        <v>3.204</v>
      </c>
      <c r="E686" t="inlineStr">
        <is>
          <t>Sr Unsecured</t>
        </is>
      </c>
      <c r="F686" t="inlineStr">
        <is>
          <t>27.08.2029</t>
        </is>
      </c>
      <c r="G686" t="inlineStr">
        <is>
          <t>United states</t>
        </is>
      </c>
      <c r="H686" t="inlineStr">
        <is>
          <t>Consumer, Non-cyclical</t>
        </is>
      </c>
      <c r="I686" t="n">
        <v>100</v>
      </c>
      <c r="J686" t="n">
        <v>102.879</v>
      </c>
      <c r="K686" t="n">
        <v>2.418835</v>
      </c>
      <c r="L686" t="n">
        <v>-0.056087</v>
      </c>
      <c r="M686" t="n">
        <v>-0.041544</v>
      </c>
      <c r="N686" t="n">
        <v>25.92583219</v>
      </c>
      <c r="O686" t="n">
        <v>3.882314218</v>
      </c>
      <c r="P686" t="n">
        <v>85</v>
      </c>
      <c r="Q686" t="inlineStr">
        <is>
          <t>One of the leading global pharmaceutical companys</t>
        </is>
      </c>
      <c r="R686" t="inlineStr">
        <is>
          <t>EUR</t>
        </is>
      </c>
      <c r="S686" t="inlineStr">
        <is>
          <t>Investment Grade</t>
        </is>
      </c>
      <c r="T686" t="inlineStr">
        <is>
          <t>AA</t>
        </is>
      </c>
      <c r="U686" t="inlineStr">
        <is>
          <t>AA</t>
        </is>
      </c>
    </row>
    <row r="687">
      <c r="A687" t="inlineStr">
        <is>
          <t>US882508BL77</t>
        </is>
      </c>
      <c r="B687" t="inlineStr">
        <is>
          <t>Hold</t>
        </is>
      </c>
      <c r="C687" t="inlineStr">
        <is>
          <t>Texas Instruments Inc</t>
        </is>
      </c>
      <c r="D687" t="n">
        <v>1.9</v>
      </c>
      <c r="E687" t="inlineStr">
        <is>
          <t>Sr Unsecured</t>
        </is>
      </c>
      <c r="F687" t="inlineStr">
        <is>
          <t>15.09.2031</t>
        </is>
      </c>
      <c r="G687" t="inlineStr">
        <is>
          <t>United states</t>
        </is>
      </c>
      <c r="H687" t="inlineStr">
        <is>
          <t>Technology</t>
        </is>
      </c>
      <c r="I687" t="n">
        <v>2</v>
      </c>
      <c r="J687" t="n">
        <v>86.96299999999999</v>
      </c>
      <c r="K687" t="n">
        <v>4.323999</v>
      </c>
      <c r="L687" t="n">
        <v>0.034776</v>
      </c>
      <c r="M687" t="n">
        <v>-0.148347</v>
      </c>
      <c r="N687" t="n">
        <v>25.88783588</v>
      </c>
      <c r="O687" t="n">
        <v>5.962507166</v>
      </c>
      <c r="P687" t="n">
        <v>75</v>
      </c>
      <c r="Q687" t="inlineStr">
        <is>
          <t>Worldwide semiconductor design and manufacturing company</t>
        </is>
      </c>
      <c r="R687" t="inlineStr">
        <is>
          <t>USD</t>
        </is>
      </c>
      <c r="S687" t="inlineStr">
        <is>
          <t>Investment Grade</t>
        </is>
      </c>
      <c r="T687" t="inlineStr">
        <is>
          <t>A+</t>
        </is>
      </c>
      <c r="U687" t="inlineStr">
        <is>
          <t>A+</t>
        </is>
      </c>
    </row>
    <row r="688">
      <c r="A688" t="inlineStr">
        <is>
          <t>XS1508566392</t>
        </is>
      </c>
      <c r="B688" t="inlineStr">
        <is>
          <t>Hold</t>
        </is>
      </c>
      <c r="C688" t="inlineStr">
        <is>
          <t>Republic Of Poland</t>
        </is>
      </c>
      <c r="D688" t="n">
        <v>1</v>
      </c>
      <c r="E688" t="inlineStr">
        <is>
          <t>Sr Unsecured</t>
        </is>
      </c>
      <c r="F688" t="inlineStr">
        <is>
          <t>25.10.2028</t>
        </is>
      </c>
      <c r="G688" t="inlineStr">
        <is>
          <t>Poland</t>
        </is>
      </c>
      <c r="H688" t="inlineStr">
        <is>
          <t>Government</t>
        </is>
      </c>
      <c r="I688" t="n">
        <v>1</v>
      </c>
      <c r="J688" t="n">
        <v>95.92</v>
      </c>
      <c r="K688" t="n">
        <v>2.298969</v>
      </c>
      <c r="L688" t="n">
        <v>-0.009108</v>
      </c>
      <c r="M688" t="n">
        <v>-0.05524</v>
      </c>
      <c r="N688" t="n">
        <v>25.73323429</v>
      </c>
      <c r="O688" t="n">
        <v>3.52081083</v>
      </c>
      <c r="P688" t="n">
        <v>80</v>
      </c>
      <c r="Q688" t="inlineStr">
        <is>
          <t>Poland government bond</t>
        </is>
      </c>
      <c r="R688" t="inlineStr">
        <is>
          <t>EUR</t>
        </is>
      </c>
      <c r="S688" t="inlineStr">
        <is>
          <t>Investment Grade</t>
        </is>
      </c>
      <c r="T688" t="inlineStr">
        <is>
          <t>A-</t>
        </is>
      </c>
      <c r="U688" t="inlineStr">
        <is>
          <t>A-</t>
        </is>
      </c>
    </row>
    <row r="689">
      <c r="A689" t="inlineStr">
        <is>
          <t>US00440KAA16</t>
        </is>
      </c>
      <c r="B689" t="inlineStr">
        <is>
          <t>Hold</t>
        </is>
      </c>
      <c r="C689" t="inlineStr">
        <is>
          <t>Accenture Capital Inc</t>
        </is>
      </c>
      <c r="D689" t="n">
        <v>3.9</v>
      </c>
      <c r="E689" t="inlineStr">
        <is>
          <t>Sr Unsecured</t>
        </is>
      </c>
      <c r="F689" t="inlineStr">
        <is>
          <t>04.10.2027</t>
        </is>
      </c>
      <c r="G689" t="inlineStr">
        <is>
          <t>United states</t>
        </is>
      </c>
      <c r="H689" t="inlineStr">
        <is>
          <t>Technology</t>
        </is>
      </c>
      <c r="I689" t="n">
        <v>2</v>
      </c>
      <c r="J689" t="n">
        <v>99.509</v>
      </c>
      <c r="K689" t="n">
        <v>4.129506</v>
      </c>
      <c r="L689" t="n">
        <v>0.066285</v>
      </c>
      <c r="M689" t="n">
        <v>-0.08109</v>
      </c>
      <c r="N689" t="n">
        <v>25.67525966</v>
      </c>
      <c r="O689" t="n">
        <v>2.425154322</v>
      </c>
      <c r="P689" t="n">
        <v>0</v>
      </c>
      <c r="Q689" t="inlineStr">
        <is>
          <t xml:space="preserve">Largest global consultancy firm </t>
        </is>
      </c>
      <c r="R689" t="inlineStr">
        <is>
          <t>USD</t>
        </is>
      </c>
      <c r="S689" t="inlineStr">
        <is>
          <t>Investment Grade</t>
        </is>
      </c>
      <c r="T689" t="inlineStr">
        <is>
          <t>A+</t>
        </is>
      </c>
      <c r="U689" t="inlineStr">
        <is>
          <t>A+</t>
        </is>
      </c>
    </row>
    <row r="690">
      <c r="A690" t="inlineStr">
        <is>
          <t>XS1865126343</t>
        </is>
      </c>
      <c r="B690" t="inlineStr">
        <is>
          <t>Hold</t>
        </is>
      </c>
      <c r="C690" t="inlineStr">
        <is>
          <t>Development Bk Of Japan</t>
        </is>
      </c>
      <c r="D690" t="n">
        <v>3.25</v>
      </c>
      <c r="E690" t="inlineStr">
        <is>
          <t>Sr Unsecured</t>
        </is>
      </c>
      <c r="F690" t="inlineStr">
        <is>
          <t>06.09.2028</t>
        </is>
      </c>
      <c r="G690" t="inlineStr">
        <is>
          <t>Japan</t>
        </is>
      </c>
      <c r="H690" t="inlineStr">
        <is>
          <t>Financial</t>
        </is>
      </c>
      <c r="I690" t="n">
        <v>200</v>
      </c>
      <c r="J690" t="n">
        <v>97.501</v>
      </c>
      <c r="K690" t="n">
        <v>4.100436</v>
      </c>
      <c r="L690" t="n">
        <v>0.136347</v>
      </c>
      <c r="M690" t="n">
        <v>-0.022019</v>
      </c>
      <c r="N690" t="n">
        <v>25.59185322</v>
      </c>
      <c r="O690" t="n">
        <v>3.236128612</v>
      </c>
      <c r="P690" t="n">
        <v>85</v>
      </c>
      <c r="Q690" t="inlineStr">
        <is>
          <t>Offers banking services</t>
        </is>
      </c>
      <c r="R690" t="inlineStr">
        <is>
          <t>USD</t>
        </is>
      </c>
      <c r="S690" t="inlineStr">
        <is>
          <t>Investment Grade</t>
        </is>
      </c>
      <c r="T690" t="inlineStr">
        <is>
          <t>A+</t>
        </is>
      </c>
      <c r="U690" t="inlineStr">
        <is>
          <t>A+</t>
        </is>
      </c>
    </row>
    <row r="691">
      <c r="A691" t="inlineStr">
        <is>
          <t>BE6295393936</t>
        </is>
      </c>
      <c r="B691" t="inlineStr">
        <is>
          <t>Hold</t>
        </is>
      </c>
      <c r="C691" t="inlineStr">
        <is>
          <t>Anheuser-Busch Inbev Sa/</t>
        </is>
      </c>
      <c r="D691" t="n">
        <v>2.25</v>
      </c>
      <c r="E691" t="inlineStr">
        <is>
          <t>Sr Unsecured</t>
        </is>
      </c>
      <c r="F691" t="inlineStr">
        <is>
          <t>24.05.2029</t>
        </is>
      </c>
      <c r="G691" t="inlineStr">
        <is>
          <t>Belgium</t>
        </is>
      </c>
      <c r="H691" t="inlineStr">
        <is>
          <t>Consumer, Non-cyclical</t>
        </is>
      </c>
      <c r="I691" t="n">
        <v>1</v>
      </c>
      <c r="J691" t="n">
        <v>93.461</v>
      </c>
      <c r="K691" t="n">
        <v>4.067577</v>
      </c>
      <c r="L691" t="n">
        <v>0.011883</v>
      </c>
      <c r="M691" t="n">
        <v>-0.222417</v>
      </c>
      <c r="N691" t="n">
        <v>25.22490331</v>
      </c>
      <c r="O691" t="n">
        <v>3.846617969</v>
      </c>
      <c r="P691" t="n">
        <v>75</v>
      </c>
      <c r="Q691" t="inlineStr">
        <is>
          <t>the world's largest brewing company</t>
        </is>
      </c>
      <c r="R691" t="inlineStr">
        <is>
          <t>GBP</t>
        </is>
      </c>
      <c r="S691" t="inlineStr">
        <is>
          <t>Investment Grade</t>
        </is>
      </c>
      <c r="T691" t="inlineStr">
        <is>
          <t>A-</t>
        </is>
      </c>
      <c r="U691" t="inlineStr">
        <is>
          <t>A-</t>
        </is>
      </c>
    </row>
    <row r="692">
      <c r="A692" t="inlineStr">
        <is>
          <t>US437076CH36</t>
        </is>
      </c>
      <c r="B692" t="inlineStr">
        <is>
          <t>Hold</t>
        </is>
      </c>
      <c r="C692" t="inlineStr">
        <is>
          <t>Home Depot Inc</t>
        </is>
      </c>
      <c r="D692" t="n">
        <v>1.5</v>
      </c>
      <c r="E692" t="inlineStr">
        <is>
          <t>Sr Unsecured</t>
        </is>
      </c>
      <c r="F692" t="inlineStr">
        <is>
          <t>15.09.2028</t>
        </is>
      </c>
      <c r="G692" t="inlineStr">
        <is>
          <t>United states</t>
        </is>
      </c>
      <c r="H692" t="inlineStr">
        <is>
          <t>Consumer, Cyclical</t>
        </is>
      </c>
      <c r="I692" t="n">
        <v>2</v>
      </c>
      <c r="J692" t="n">
        <v>92.32299999999999</v>
      </c>
      <c r="K692" t="n">
        <v>4.093851</v>
      </c>
      <c r="L692" t="n">
        <v>0.04076</v>
      </c>
      <c r="M692" t="n">
        <v>-0.09601700000000001</v>
      </c>
      <c r="N692" t="n">
        <v>24.89963624</v>
      </c>
      <c r="O692" t="n">
        <v>3.378476277</v>
      </c>
      <c r="P692" t="n">
        <v>80</v>
      </c>
      <c r="Q692" t="inlineStr">
        <is>
          <t>Home improvement retailer</t>
        </is>
      </c>
      <c r="R692" t="inlineStr">
        <is>
          <t>USD</t>
        </is>
      </c>
      <c r="S692" t="inlineStr">
        <is>
          <t>Investment Grade</t>
        </is>
      </c>
      <c r="T692" t="inlineStr">
        <is>
          <t>A</t>
        </is>
      </c>
      <c r="U692" t="inlineStr">
        <is>
          <t>A</t>
        </is>
      </c>
    </row>
    <row r="693">
      <c r="A693" t="inlineStr">
        <is>
          <t>US741503AZ91</t>
        </is>
      </c>
      <c r="B693" t="inlineStr">
        <is>
          <t>Hold</t>
        </is>
      </c>
      <c r="C693" t="inlineStr">
        <is>
          <t>Booking Holdings Inc</t>
        </is>
      </c>
      <c r="D693" t="n">
        <v>3.6</v>
      </c>
      <c r="E693" t="inlineStr">
        <is>
          <t>Sr Unsecured</t>
        </is>
      </c>
      <c r="F693" t="inlineStr">
        <is>
          <t>01.06.2026</t>
        </is>
      </c>
      <c r="G693" t="inlineStr">
        <is>
          <t>United states</t>
        </is>
      </c>
      <c r="H693" t="inlineStr">
        <is>
          <t>Communications</t>
        </is>
      </c>
      <c r="I693" t="n">
        <v>2</v>
      </c>
      <c r="J693" t="n">
        <v>99.34999999999999</v>
      </c>
      <c r="K693" t="n">
        <v>4.342306</v>
      </c>
      <c r="L693" s="41" t="n">
        <v>-1e-05</v>
      </c>
      <c r="M693" t="n">
        <v>0.010979</v>
      </c>
      <c r="N693" t="n">
        <v>24.78034854</v>
      </c>
      <c r="O693" t="n">
        <v>1.223732595</v>
      </c>
      <c r="P693" t="n">
        <v>80</v>
      </c>
      <c r="Q693" t="inlineStr">
        <is>
          <t xml:space="preserve">Online travel company </t>
        </is>
      </c>
      <c r="R693" t="inlineStr">
        <is>
          <t>USD</t>
        </is>
      </c>
      <c r="S693" t="inlineStr">
        <is>
          <t>Investment Grade</t>
        </is>
      </c>
      <c r="T693" t="inlineStr">
        <is>
          <t>A-</t>
        </is>
      </c>
      <c r="U693" t="inlineStr">
        <is>
          <t>A-</t>
        </is>
      </c>
    </row>
    <row r="694">
      <c r="A694" t="inlineStr">
        <is>
          <t>XS2347663507</t>
        </is>
      </c>
      <c r="B694" t="inlineStr">
        <is>
          <t>Hold</t>
        </is>
      </c>
      <c r="C694" t="inlineStr">
        <is>
          <t>Astrazeneca Plc</t>
        </is>
      </c>
      <c r="D694" t="n">
        <v>0.375</v>
      </c>
      <c r="E694" t="inlineStr">
        <is>
          <t>Sr Unsecured</t>
        </is>
      </c>
      <c r="F694" t="inlineStr">
        <is>
          <t>03.06.2029</t>
        </is>
      </c>
      <c r="G694" t="inlineStr">
        <is>
          <t>United Kingdom</t>
        </is>
      </c>
      <c r="H694" t="inlineStr">
        <is>
          <t>Consumer, Non-cyclical</t>
        </is>
      </c>
      <c r="I694" t="n">
        <v>100</v>
      </c>
      <c r="J694" t="n">
        <v>92.614</v>
      </c>
      <c r="K694" t="n">
        <v>2.381451</v>
      </c>
      <c r="L694" t="n">
        <v>-0.185698</v>
      </c>
      <c r="M694" t="n">
        <v>-0.240972</v>
      </c>
      <c r="N694" t="n">
        <v>24.64383776</v>
      </c>
      <c r="O694" t="n">
        <v>4.117158094</v>
      </c>
      <c r="P694" t="n">
        <v>80</v>
      </c>
      <c r="Q694" t="inlineStr">
        <is>
          <t>Anglo-Swedish multinational pharmaceutical company</t>
        </is>
      </c>
      <c r="R694" t="inlineStr">
        <is>
          <t>EUR</t>
        </is>
      </c>
      <c r="S694" t="inlineStr">
        <is>
          <t>Investment Grade</t>
        </is>
      </c>
      <c r="T694" t="inlineStr">
        <is>
          <t>A+</t>
        </is>
      </c>
      <c r="U694" t="inlineStr">
        <is>
          <t>A</t>
        </is>
      </c>
    </row>
    <row r="695">
      <c r="A695" t="inlineStr">
        <is>
          <t>XS2292953069</t>
        </is>
      </c>
      <c r="B695" t="inlineStr">
        <is>
          <t>Hold</t>
        </is>
      </c>
      <c r="C695" t="inlineStr">
        <is>
          <t>Development Bk Of Japan</t>
        </is>
      </c>
      <c r="D695" t="n">
        <v>1.25</v>
      </c>
      <c r="E695" t="inlineStr">
        <is>
          <t>Sr Unsecured</t>
        </is>
      </c>
      <c r="F695" t="inlineStr">
        <is>
          <t>28.01.2031</t>
        </is>
      </c>
      <c r="G695" t="inlineStr">
        <is>
          <t>Japan</t>
        </is>
      </c>
      <c r="H695" t="inlineStr">
        <is>
          <t>Financial</t>
        </is>
      </c>
      <c r="I695" t="n">
        <v>200</v>
      </c>
      <c r="J695" t="n">
        <v>85.312</v>
      </c>
      <c r="K695" t="n">
        <v>4.247046</v>
      </c>
      <c r="L695" t="n">
        <v>0.10798</v>
      </c>
      <c r="M695" t="n">
        <v>-0.033037</v>
      </c>
      <c r="N695" t="n">
        <v>24.44220776</v>
      </c>
      <c r="O695" t="n">
        <v>5.56880815</v>
      </c>
      <c r="P695" t="n">
        <v>85</v>
      </c>
      <c r="Q695" t="inlineStr">
        <is>
          <t>Offers banking services</t>
        </is>
      </c>
      <c r="R695" t="inlineStr">
        <is>
          <t>USD</t>
        </is>
      </c>
      <c r="S695" t="inlineStr">
        <is>
          <t>Investment Grade</t>
        </is>
      </c>
      <c r="T695" t="inlineStr">
        <is>
          <t>A+</t>
        </is>
      </c>
      <c r="U695" t="inlineStr">
        <is>
          <t>A+</t>
        </is>
      </c>
    </row>
    <row r="696">
      <c r="A696" t="inlineStr">
        <is>
          <t>US30303M8M79</t>
        </is>
      </c>
      <c r="B696" t="inlineStr">
        <is>
          <t>Top Pick</t>
        </is>
      </c>
      <c r="C696" t="inlineStr">
        <is>
          <t>Meta Platforms Inc</t>
        </is>
      </c>
      <c r="D696" t="n">
        <v>4.8</v>
      </c>
      <c r="E696" t="inlineStr">
        <is>
          <t>Sr Unsecured</t>
        </is>
      </c>
      <c r="F696" t="inlineStr">
        <is>
          <t>15.05.2030</t>
        </is>
      </c>
      <c r="G696" t="inlineStr">
        <is>
          <t>United states</t>
        </is>
      </c>
      <c r="H696" t="inlineStr">
        <is>
          <t>Communications</t>
        </is>
      </c>
      <c r="I696" t="n">
        <v>2</v>
      </c>
      <c r="J696" t="n">
        <v>102.644</v>
      </c>
      <c r="K696" t="n">
        <v>4.172829</v>
      </c>
      <c r="L696" t="n">
        <v>0.059747</v>
      </c>
      <c r="M696" t="n">
        <v>-0.081941</v>
      </c>
      <c r="N696" t="n">
        <v>23.73365181</v>
      </c>
      <c r="O696" t="n">
        <v>4.404395616</v>
      </c>
      <c r="P696" t="n">
        <v>80</v>
      </c>
      <c r="Q696" t="inlineStr">
        <is>
          <t>A social technology company</t>
        </is>
      </c>
      <c r="R696" t="inlineStr">
        <is>
          <t>USD</t>
        </is>
      </c>
      <c r="S696" t="inlineStr">
        <is>
          <t>Investment Grade</t>
        </is>
      </c>
      <c r="T696" t="inlineStr">
        <is>
          <t>AA-</t>
        </is>
      </c>
      <c r="U696" t="inlineStr">
        <is>
          <t>AA-</t>
        </is>
      </c>
    </row>
    <row r="697" ht="43.2" customHeight="1">
      <c r="A697" t="inlineStr">
        <is>
          <t>XS0866588527</t>
        </is>
      </c>
      <c r="B697" t="inlineStr">
        <is>
          <t>Top Pick</t>
        </is>
      </c>
      <c r="C697" t="inlineStr">
        <is>
          <t>Glaxosmithkline Capital</t>
        </is>
      </c>
      <c r="D697" t="n">
        <v>3.375</v>
      </c>
      <c r="E697" t="inlineStr">
        <is>
          <t>Sr Unsecured</t>
        </is>
      </c>
      <c r="F697" t="inlineStr">
        <is>
          <t>20.12.2027</t>
        </is>
      </c>
      <c r="G697" t="inlineStr">
        <is>
          <t>United Kingdom</t>
        </is>
      </c>
      <c r="H697" t="inlineStr">
        <is>
          <t>Consumer, Non-cyclical</t>
        </is>
      </c>
      <c r="I697" t="n">
        <v>100</v>
      </c>
      <c r="J697" t="n">
        <v>98.551</v>
      </c>
      <c r="K697" t="n">
        <v>3.961842</v>
      </c>
      <c r="L697" t="n">
        <v>-0.009044</v>
      </c>
      <c r="M697" t="n">
        <v>-0.270209</v>
      </c>
      <c r="N697" t="n">
        <v>23.63765136</v>
      </c>
      <c r="O697" t="n">
        <v>2.611464317</v>
      </c>
      <c r="P697" t="n">
        <v>0</v>
      </c>
      <c r="Q697" s="40" t="inlineStr">
        <is>
          <t xml:space="preserve">Leading pharmaceutical and vaccine company  
</t>
        </is>
      </c>
      <c r="R697" t="inlineStr">
        <is>
          <t>GBP</t>
        </is>
      </c>
      <c r="S697" t="inlineStr">
        <is>
          <t>Investment Grade</t>
        </is>
      </c>
      <c r="T697" t="inlineStr">
        <is>
          <t>A</t>
        </is>
      </c>
      <c r="U697" t="inlineStr">
        <is>
          <t>A</t>
        </is>
      </c>
    </row>
    <row r="698">
      <c r="A698" t="inlineStr">
        <is>
          <t>XS2982069788</t>
        </is>
      </c>
      <c r="B698" t="inlineStr">
        <is>
          <t xml:space="preserve">Hold </t>
        </is>
      </c>
      <c r="C698" t="inlineStr">
        <is>
          <t>African Development Bank</t>
        </is>
      </c>
      <c r="D698" t="n">
        <v>4.625</v>
      </c>
      <c r="E698" t="inlineStr">
        <is>
          <t>Sr Unsecured</t>
        </is>
      </c>
      <c r="F698" t="inlineStr">
        <is>
          <t>01.02.2028</t>
        </is>
      </c>
      <c r="G698" t="inlineStr">
        <is>
          <t>Supranational</t>
        </is>
      </c>
      <c r="H698" t="inlineStr">
        <is>
          <t>Government</t>
        </is>
      </c>
      <c r="I698" t="n">
        <v>1</v>
      </c>
      <c r="J698" t="n">
        <v>101.463</v>
      </c>
      <c r="K698" t="n">
        <v>3.964129</v>
      </c>
      <c r="L698" t="n">
        <v>0.032904</v>
      </c>
      <c r="M698" t="n">
        <v>-0.136352</v>
      </c>
      <c r="N698" t="n">
        <v>23.56040433</v>
      </c>
      <c r="O698" t="n">
        <v>2.687653752</v>
      </c>
      <c r="P698" t="n">
        <v>0</v>
      </c>
      <c r="Q698" t="inlineStr">
        <is>
          <t xml:space="preserve">A development bank </t>
        </is>
      </c>
      <c r="R698" t="inlineStr">
        <is>
          <t>GBP</t>
        </is>
      </c>
      <c r="S698" t="inlineStr">
        <is>
          <t>Investment Grade</t>
        </is>
      </c>
      <c r="T698" t="inlineStr">
        <is>
          <t>AAA</t>
        </is>
      </c>
      <c r="U698" t="inlineStr">
        <is>
          <t>AAA</t>
        </is>
      </c>
    </row>
    <row r="699">
      <c r="A699" t="inlineStr">
        <is>
          <t>US24422EXZ77</t>
        </is>
      </c>
      <c r="B699" t="inlineStr">
        <is>
          <t>Top Pick</t>
        </is>
      </c>
      <c r="C699" t="inlineStr">
        <is>
          <t>John Deere Capital Corp</t>
        </is>
      </c>
      <c r="D699" t="n">
        <v>4.65</v>
      </c>
      <c r="E699" t="inlineStr">
        <is>
          <t>Sr Unsecured</t>
        </is>
      </c>
      <c r="F699" t="inlineStr">
        <is>
          <t>07.01.2028</t>
        </is>
      </c>
      <c r="G699" t="inlineStr">
        <is>
          <t>United states</t>
        </is>
      </c>
      <c r="H699" t="inlineStr">
        <is>
          <t>Industrial</t>
        </is>
      </c>
      <c r="I699" t="n">
        <v>1</v>
      </c>
      <c r="J699" t="n">
        <v>101.344</v>
      </c>
      <c r="K699" t="n">
        <v>4.078411</v>
      </c>
      <c r="L699" t="n">
        <v>0.045703</v>
      </c>
      <c r="M699" t="n">
        <v>-0.10491</v>
      </c>
      <c r="N699" t="n">
        <v>23.53036051</v>
      </c>
      <c r="O699" t="n">
        <v>2.654168625</v>
      </c>
      <c r="P699" t="n">
        <v>80</v>
      </c>
      <c r="Q699" t="inlineStr">
        <is>
          <t>Manufactures agricultural machinery and parts</t>
        </is>
      </c>
      <c r="R699" t="inlineStr">
        <is>
          <t>USD</t>
        </is>
      </c>
      <c r="S699" t="inlineStr">
        <is>
          <t>Investment Grade</t>
        </is>
      </c>
      <c r="T699" t="inlineStr">
        <is>
          <t>A</t>
        </is>
      </c>
      <c r="U699" t="inlineStr">
        <is>
          <t>A</t>
        </is>
      </c>
    </row>
    <row r="700">
      <c r="A700" t="inlineStr">
        <is>
          <t>XS2972982917</t>
        </is>
      </c>
      <c r="B700" t="inlineStr">
        <is>
          <t xml:space="preserve">Hold </t>
        </is>
      </c>
      <c r="C700" t="inlineStr">
        <is>
          <t>Council Of Europe</t>
        </is>
      </c>
      <c r="D700" t="n">
        <v>4.375</v>
      </c>
      <c r="E700" t="inlineStr">
        <is>
          <t>Sr Unsecured</t>
        </is>
      </c>
      <c r="F700" t="inlineStr">
        <is>
          <t>09.01.2028</t>
        </is>
      </c>
      <c r="G700" t="inlineStr">
        <is>
          <t>Supranational</t>
        </is>
      </c>
      <c r="H700" t="inlineStr">
        <is>
          <t>Government</t>
        </is>
      </c>
      <c r="I700" t="n">
        <v>1</v>
      </c>
      <c r="J700" t="n">
        <v>100.874</v>
      </c>
      <c r="K700" t="n">
        <v>3.95331</v>
      </c>
      <c r="L700" t="n">
        <v>0.0313</v>
      </c>
      <c r="M700" t="n">
        <v>-0.105169</v>
      </c>
      <c r="N700" t="n">
        <v>22.64988875</v>
      </c>
      <c r="O700" t="n">
        <v>2.635581566</v>
      </c>
      <c r="P700" t="n">
        <v>0</v>
      </c>
      <c r="Q700" t="inlineStr">
        <is>
          <t xml:space="preserve">A development bank </t>
        </is>
      </c>
      <c r="R700" t="inlineStr">
        <is>
          <t>GBP</t>
        </is>
      </c>
      <c r="S700" t="inlineStr">
        <is>
          <t>Investment Grade</t>
        </is>
      </c>
      <c r="T700" t="inlineStr">
        <is>
          <t>AAA</t>
        </is>
      </c>
      <c r="U700" t="inlineStr">
        <is>
          <t>AAA</t>
        </is>
      </c>
    </row>
    <row r="701">
      <c r="A701" t="inlineStr">
        <is>
          <t>XS1269176191</t>
        </is>
      </c>
      <c r="B701" t="inlineStr">
        <is>
          <t xml:space="preserve">Hold </t>
        </is>
      </c>
      <c r="C701" t="inlineStr">
        <is>
          <t>Apple Inc</t>
        </is>
      </c>
      <c r="D701" t="n">
        <v>3.6</v>
      </c>
      <c r="E701" t="inlineStr">
        <is>
          <t>Sr Unsecured</t>
        </is>
      </c>
      <c r="F701" t="inlineStr">
        <is>
          <t>31.07.2042</t>
        </is>
      </c>
      <c r="G701" t="inlineStr">
        <is>
          <t>United states</t>
        </is>
      </c>
      <c r="H701" t="inlineStr">
        <is>
          <t>Technology</t>
        </is>
      </c>
      <c r="I701" t="n">
        <v>100</v>
      </c>
      <c r="J701" t="n">
        <v>81.184</v>
      </c>
      <c r="K701" t="n">
        <v>5.287528</v>
      </c>
      <c r="L701" t="n">
        <v>0.048644</v>
      </c>
      <c r="M701" t="n">
        <v>-0.07896499999999999</v>
      </c>
      <c r="N701" t="n">
        <v>21.27638976</v>
      </c>
      <c r="O701" t="n">
        <v>12.19653176</v>
      </c>
      <c r="P701" t="n">
        <v>85</v>
      </c>
      <c r="Q701" t="inlineStr">
        <is>
          <t xml:space="preserve">Leading global designer and seller of premium electronic devices </t>
        </is>
      </c>
      <c r="R701" t="inlineStr">
        <is>
          <t>GBP</t>
        </is>
      </c>
      <c r="S701" t="inlineStr">
        <is>
          <t>Investment Grade</t>
        </is>
      </c>
      <c r="T701" t="inlineStr">
        <is>
          <t>AA+</t>
        </is>
      </c>
      <c r="U701" t="inlineStr">
        <is>
          <t>AA+</t>
        </is>
      </c>
    </row>
    <row r="702">
      <c r="A702" t="inlineStr">
        <is>
          <t>XS2978922313</t>
        </is>
      </c>
      <c r="B702" t="inlineStr">
        <is>
          <t xml:space="preserve">Hold </t>
        </is>
      </c>
      <c r="C702" t="inlineStr">
        <is>
          <t>Intl Finance Corp</t>
        </is>
      </c>
      <c r="D702" t="n">
        <v>4.5</v>
      </c>
      <c r="E702" t="inlineStr">
        <is>
          <t>Unsecured</t>
        </is>
      </c>
      <c r="F702" t="inlineStr">
        <is>
          <t>31.01.2028</t>
        </is>
      </c>
      <c r="G702" t="inlineStr">
        <is>
          <t>Supranational</t>
        </is>
      </c>
      <c r="H702" t="inlineStr">
        <is>
          <t>Government</t>
        </is>
      </c>
      <c r="I702" t="n">
        <v>10</v>
      </c>
      <c r="J702" t="n">
        <v>101.23</v>
      </c>
      <c r="K702" t="n">
        <v>3.937724</v>
      </c>
      <c r="L702" t="n">
        <v>0.03085</v>
      </c>
      <c r="M702" t="n">
        <v>-0.121978</v>
      </c>
      <c r="N702" t="n">
        <v>20.82607028</v>
      </c>
      <c r="O702" t="n">
        <v>2.687409931</v>
      </c>
      <c r="P702" t="n">
        <v>0</v>
      </c>
      <c r="Q702" t="inlineStr">
        <is>
          <t xml:space="preserve">Largest multilateral development bank </t>
        </is>
      </c>
      <c r="R702" t="inlineStr">
        <is>
          <t>GBP</t>
        </is>
      </c>
      <c r="S702" t="inlineStr">
        <is>
          <t>Investment Grade</t>
        </is>
      </c>
      <c r="T702" t="inlineStr">
        <is>
          <t>AAA</t>
        </is>
      </c>
      <c r="U702" t="inlineStr">
        <is>
          <t>AAA</t>
        </is>
      </c>
    </row>
    <row r="703">
      <c r="A703" t="inlineStr">
        <is>
          <t>XS3000458557</t>
        </is>
      </c>
      <c r="B703" t="inlineStr">
        <is>
          <t xml:space="preserve">Hold </t>
        </is>
      </c>
      <c r="C703" t="inlineStr">
        <is>
          <t>Asian Development Bank</t>
        </is>
      </c>
      <c r="D703" t="n">
        <v>4.125</v>
      </c>
      <c r="E703" t="inlineStr">
        <is>
          <t>Unsecured</t>
        </is>
      </c>
      <c r="F703" t="inlineStr">
        <is>
          <t>14.02.2028</t>
        </is>
      </c>
      <c r="G703" t="inlineStr">
        <is>
          <t>Supranational</t>
        </is>
      </c>
      <c r="H703" t="inlineStr">
        <is>
          <t>Government</t>
        </is>
      </c>
      <c r="I703" t="n">
        <v>1</v>
      </c>
      <c r="J703" t="n">
        <v>100.358</v>
      </c>
      <c r="K703" t="n">
        <v>3.930773</v>
      </c>
      <c r="L703" t="n">
        <v>0.022171</v>
      </c>
      <c r="M703" t="n">
        <v>-0.1448</v>
      </c>
      <c r="N703" t="n">
        <v>20.14900946</v>
      </c>
      <c r="O703" t="n">
        <v>2.735222846</v>
      </c>
      <c r="P703" t="n">
        <v>0</v>
      </c>
      <c r="Q703" t="inlineStr">
        <is>
          <t xml:space="preserve">A development bank </t>
        </is>
      </c>
      <c r="R703" t="inlineStr">
        <is>
          <t>GBP</t>
        </is>
      </c>
      <c r="S703" t="inlineStr">
        <is>
          <t>Investment Grade</t>
        </is>
      </c>
      <c r="T703" t="inlineStr">
        <is>
          <t>AAA</t>
        </is>
      </c>
      <c r="U703" t="inlineStr">
        <is>
          <t>AAA</t>
        </is>
      </c>
    </row>
    <row r="704">
      <c r="A704" t="inlineStr">
        <is>
          <t>XS2973019693</t>
        </is>
      </c>
      <c r="B704" t="inlineStr">
        <is>
          <t xml:space="preserve">Hold </t>
        </is>
      </c>
      <c r="C704" t="inlineStr">
        <is>
          <t>Asian Infrastructure Inv</t>
        </is>
      </c>
      <c r="D704" t="n">
        <v>4.375</v>
      </c>
      <c r="E704" t="inlineStr">
        <is>
          <t>Sr Unsecured</t>
        </is>
      </c>
      <c r="F704" t="inlineStr">
        <is>
          <t>22.10.2029</t>
        </is>
      </c>
      <c r="G704" t="inlineStr">
        <is>
          <t>Supranational</t>
        </is>
      </c>
      <c r="H704" t="inlineStr">
        <is>
          <t>Government</t>
        </is>
      </c>
      <c r="I704" t="n">
        <v>1</v>
      </c>
      <c r="J704" t="n">
        <v>101.093</v>
      </c>
      <c r="K704" t="n">
        <v>4.049231</v>
      </c>
      <c r="L704" t="n">
        <v>0.024457</v>
      </c>
      <c r="M704" t="n">
        <v>-0.140648</v>
      </c>
      <c r="N704" t="n">
        <v>18.96939243</v>
      </c>
      <c r="O704" t="n">
        <v>4.107316459</v>
      </c>
      <c r="P704" t="n">
        <v>0</v>
      </c>
      <c r="Q704" t="inlineStr">
        <is>
          <t xml:space="preserve">A development bank </t>
        </is>
      </c>
      <c r="R704" t="inlineStr">
        <is>
          <t>GBP</t>
        </is>
      </c>
      <c r="S704" t="inlineStr">
        <is>
          <t>Investment Grade</t>
        </is>
      </c>
      <c r="T704" t="inlineStr">
        <is>
          <t>AAA</t>
        </is>
      </c>
      <c r="U704" t="inlineStr">
        <is>
          <t>AAA</t>
        </is>
      </c>
    </row>
    <row r="705">
      <c r="A705" t="inlineStr">
        <is>
          <t>US14913R2G11</t>
        </is>
      </c>
      <c r="B705" t="inlineStr">
        <is>
          <t>Hold</t>
        </is>
      </c>
      <c r="C705" t="inlineStr">
        <is>
          <t>Caterpillar Finl Service</t>
        </is>
      </c>
      <c r="D705" t="n">
        <v>1.1</v>
      </c>
      <c r="E705" t="inlineStr">
        <is>
          <t>Sr Unsecured</t>
        </is>
      </c>
      <c r="F705" t="inlineStr">
        <is>
          <t>14.09.2027</t>
        </is>
      </c>
      <c r="G705" t="inlineStr">
        <is>
          <t>United states</t>
        </is>
      </c>
      <c r="H705" t="inlineStr">
        <is>
          <t>Industrial</t>
        </is>
      </c>
      <c r="I705" t="n">
        <v>1</v>
      </c>
      <c r="J705" t="n">
        <v>93.908</v>
      </c>
      <c r="K705" t="n">
        <v>4.0429</v>
      </c>
      <c r="L705" t="n">
        <v>-0.008959999999999999</v>
      </c>
      <c r="M705" t="n">
        <v>-0.181984</v>
      </c>
      <c r="N705" t="n">
        <v>18.96550356</v>
      </c>
      <c r="O705" t="n">
        <v>2.466949466</v>
      </c>
      <c r="P705" t="n">
        <v>80</v>
      </c>
      <c r="Q705" t="inlineStr">
        <is>
          <t xml:space="preserve">Leading manufacturer of construction and mining equipment </t>
        </is>
      </c>
      <c r="R705" t="inlineStr">
        <is>
          <t>USD</t>
        </is>
      </c>
      <c r="S705" t="inlineStr">
        <is>
          <t>Investment Grade</t>
        </is>
      </c>
      <c r="T705" t="inlineStr">
        <is>
          <t>A</t>
        </is>
      </c>
      <c r="U705" t="inlineStr">
        <is>
          <t>A</t>
        </is>
      </c>
    </row>
    <row r="706">
      <c r="A706" t="inlineStr">
        <is>
          <t>US532457CU02</t>
        </is>
      </c>
      <c r="B706" t="inlineStr">
        <is>
          <t>Top Pick</t>
        </is>
      </c>
      <c r="C706" t="inlineStr">
        <is>
          <t>Eli Lilly &amp; Co</t>
        </is>
      </c>
      <c r="D706" t="n">
        <v>4.55</v>
      </c>
      <c r="E706" t="inlineStr">
        <is>
          <t>Sr Unsecured</t>
        </is>
      </c>
      <c r="F706" t="inlineStr">
        <is>
          <t>12.02.2028</t>
        </is>
      </c>
      <c r="G706" t="inlineStr">
        <is>
          <t>United states</t>
        </is>
      </c>
      <c r="H706" t="inlineStr">
        <is>
          <t>Consumer, Non-cyclical</t>
        </is>
      </c>
      <c r="I706" t="n">
        <v>2</v>
      </c>
      <c r="J706" t="n">
        <v>101.196</v>
      </c>
      <c r="K706" t="n">
        <v>4.044063</v>
      </c>
      <c r="L706" t="n">
        <v>0.001134</v>
      </c>
      <c r="M706" t="n">
        <v>-0.101673</v>
      </c>
      <c r="N706" t="n">
        <v>18.66374283</v>
      </c>
      <c r="O706" t="n">
        <v>2.681072041</v>
      </c>
      <c r="P706" t="n">
        <v>0</v>
      </c>
      <c r="Q706" t="inlineStr">
        <is>
          <t>Develops and sells pharmaceutical products for humans and animals</t>
        </is>
      </c>
      <c r="R706" t="inlineStr">
        <is>
          <t>USD</t>
        </is>
      </c>
      <c r="S706" t="inlineStr">
        <is>
          <t>Investment Grade</t>
        </is>
      </c>
      <c r="T706" t="inlineStr">
        <is>
          <t>A+</t>
        </is>
      </c>
      <c r="U706" t="inlineStr">
        <is>
          <t>A+</t>
        </is>
      </c>
    </row>
    <row r="707">
      <c r="A707" t="inlineStr">
        <is>
          <t>US02079KAD90</t>
        </is>
      </c>
      <c r="B707" t="inlineStr">
        <is>
          <t>Hold</t>
        </is>
      </c>
      <c r="C707" t="inlineStr">
        <is>
          <t>Alphabet Inc</t>
        </is>
      </c>
      <c r="D707" t="n">
        <v>1.1</v>
      </c>
      <c r="E707" t="inlineStr">
        <is>
          <t>Sr Unsecured</t>
        </is>
      </c>
      <c r="F707" t="inlineStr">
        <is>
          <t>15.08.2030</t>
        </is>
      </c>
      <c r="G707" t="inlineStr">
        <is>
          <t>United states</t>
        </is>
      </c>
      <c r="H707" t="inlineStr">
        <is>
          <t>Communications</t>
        </is>
      </c>
      <c r="I707" t="n">
        <v>2</v>
      </c>
      <c r="J707" t="n">
        <v>86.218</v>
      </c>
      <c r="K707" t="n">
        <v>4.122342</v>
      </c>
      <c r="L707" t="n">
        <v>0.006867</v>
      </c>
      <c r="M707" t="n">
        <v>-0.134231</v>
      </c>
      <c r="N707" t="n">
        <v>17.76240171</v>
      </c>
      <c r="O707" t="n">
        <v>5.199604874</v>
      </c>
      <c r="P707" t="n">
        <v>85</v>
      </c>
      <c r="Q707" t="inlineStr">
        <is>
          <t>World's leading internet search engine</t>
        </is>
      </c>
      <c r="R707" t="inlineStr">
        <is>
          <t>USD</t>
        </is>
      </c>
      <c r="S707" t="inlineStr">
        <is>
          <t>Investment Grade</t>
        </is>
      </c>
      <c r="T707" t="inlineStr">
        <is>
          <t>AA</t>
        </is>
      </c>
      <c r="U707" t="inlineStr">
        <is>
          <t>AA</t>
        </is>
      </c>
    </row>
    <row r="708">
      <c r="A708" t="inlineStr">
        <is>
          <t>XS1574158082</t>
        </is>
      </c>
      <c r="B708" t="inlineStr">
        <is>
          <t>Hold</t>
        </is>
      </c>
      <c r="C708" t="inlineStr">
        <is>
          <t>Pfizer Inc</t>
        </is>
      </c>
      <c r="D708" t="n">
        <v>1</v>
      </c>
      <c r="E708" t="inlineStr">
        <is>
          <t>Sr Unsecured</t>
        </is>
      </c>
      <c r="F708" t="inlineStr">
        <is>
          <t>06.03.2027</t>
        </is>
      </c>
      <c r="G708" t="inlineStr">
        <is>
          <t>United states</t>
        </is>
      </c>
      <c r="H708" t="inlineStr">
        <is>
          <t>Consumer, Non-cyclical</t>
        </is>
      </c>
      <c r="I708" t="n">
        <v>100</v>
      </c>
      <c r="J708" t="n">
        <v>98.33</v>
      </c>
      <c r="K708" t="n">
        <v>2.029948</v>
      </c>
      <c r="L708" t="n">
        <v>-0.07571799999999999</v>
      </c>
      <c r="M708" t="n">
        <v>-0.201391</v>
      </c>
      <c r="N708" t="n">
        <v>17.63991278</v>
      </c>
      <c r="O708" t="n">
        <v>1.947614887</v>
      </c>
      <c r="P708" t="n">
        <v>80</v>
      </c>
      <c r="Q708" t="inlineStr">
        <is>
          <t>World's largest pharmaceutical company</t>
        </is>
      </c>
      <c r="R708" t="inlineStr">
        <is>
          <t>EUR</t>
        </is>
      </c>
      <c r="S708" t="inlineStr">
        <is>
          <t>Investment Grade</t>
        </is>
      </c>
      <c r="T708" t="inlineStr">
        <is>
          <t>A</t>
        </is>
      </c>
      <c r="U708" t="inlineStr">
        <is>
          <t>A</t>
        </is>
      </c>
    </row>
    <row r="709">
      <c r="A709" t="inlineStr">
        <is>
          <t>US459200KW06</t>
        </is>
      </c>
      <c r="B709" t="inlineStr">
        <is>
          <t>Hold</t>
        </is>
      </c>
      <c r="C709" t="inlineStr">
        <is>
          <t>Ibm Corp</t>
        </is>
      </c>
      <c r="D709" t="n">
        <v>4.5</v>
      </c>
      <c r="E709" t="inlineStr">
        <is>
          <t>Sr Unsecured</t>
        </is>
      </c>
      <c r="F709" t="inlineStr">
        <is>
          <t>06.02.2026</t>
        </is>
      </c>
      <c r="G709" t="inlineStr">
        <is>
          <t>United states</t>
        </is>
      </c>
      <c r="H709" t="inlineStr">
        <is>
          <t>Technology</t>
        </is>
      </c>
      <c r="I709" t="n">
        <v>100</v>
      </c>
      <c r="J709" t="n">
        <v>100.047</v>
      </c>
      <c r="K709" t="n">
        <v>4.410992</v>
      </c>
      <c r="L709" t="n">
        <v>0.059435</v>
      </c>
      <c r="M709" t="n">
        <v>-0.118277</v>
      </c>
      <c r="N709" t="n">
        <v>17.4343408</v>
      </c>
      <c r="O709" t="n">
        <v>0.92625742</v>
      </c>
      <c r="P709" t="n">
        <v>80</v>
      </c>
      <c r="Q709" t="inlineStr">
        <is>
          <t>International Business Machines Corporation (IBM) provides computer solutions</t>
        </is>
      </c>
      <c r="R709" t="inlineStr">
        <is>
          <t>USD</t>
        </is>
      </c>
      <c r="S709" t="inlineStr">
        <is>
          <t>Investment Grade</t>
        </is>
      </c>
      <c r="T709" t="inlineStr">
        <is>
          <t>A-</t>
        </is>
      </c>
      <c r="U709" t="inlineStr">
        <is>
          <t>A-</t>
        </is>
      </c>
    </row>
    <row r="710">
      <c r="A710" t="inlineStr">
        <is>
          <t>XS2679764493</t>
        </is>
      </c>
      <c r="B710" t="inlineStr">
        <is>
          <t>Hold</t>
        </is>
      </c>
      <c r="C710" t="inlineStr">
        <is>
          <t>Kfw</t>
        </is>
      </c>
      <c r="D710" t="n">
        <v>4.875</v>
      </c>
      <c r="E710" t="inlineStr">
        <is>
          <t>Sr Unsecured</t>
        </is>
      </c>
      <c r="F710" t="inlineStr">
        <is>
          <t>10.10.2028</t>
        </is>
      </c>
      <c r="G710" t="inlineStr">
        <is>
          <t>Germany</t>
        </is>
      </c>
      <c r="H710" t="inlineStr">
        <is>
          <t>Financial</t>
        </is>
      </c>
      <c r="I710" t="n">
        <v>1</v>
      </c>
      <c r="J710" t="n">
        <v>102.665</v>
      </c>
      <c r="K710" t="n">
        <v>3.940993</v>
      </c>
      <c r="L710" t="n">
        <v>0.025169</v>
      </c>
      <c r="M710" t="n">
        <v>-0.123326</v>
      </c>
      <c r="N710" t="n">
        <v>17.41409244</v>
      </c>
      <c r="O710" t="n">
        <v>3.216080897</v>
      </c>
      <c r="P710" t="n">
        <v>0</v>
      </c>
      <c r="Q710" t="inlineStr">
        <is>
          <t>Germany’s largest public development bank serving policy objectives</t>
        </is>
      </c>
      <c r="R710" t="inlineStr">
        <is>
          <t>GBP</t>
        </is>
      </c>
      <c r="S710" t="inlineStr">
        <is>
          <t>Investment Grade</t>
        </is>
      </c>
      <c r="T710" t="inlineStr">
        <is>
          <t>AAA</t>
        </is>
      </c>
      <c r="U710" t="inlineStr">
        <is>
          <t>AAA</t>
        </is>
      </c>
    </row>
    <row r="711">
      <c r="A711" t="inlineStr">
        <is>
          <t>XS2679764493</t>
        </is>
      </c>
      <c r="B711" t="inlineStr">
        <is>
          <t>Hold</t>
        </is>
      </c>
      <c r="C711" t="inlineStr">
        <is>
          <t>Kfw</t>
        </is>
      </c>
      <c r="D711" t="n">
        <v>4.875</v>
      </c>
      <c r="E711" t="inlineStr">
        <is>
          <t>Sr Unsecured</t>
        </is>
      </c>
      <c r="F711" t="inlineStr">
        <is>
          <t>10.10.2028</t>
        </is>
      </c>
      <c r="G711" t="inlineStr">
        <is>
          <t>Germany</t>
        </is>
      </c>
      <c r="H711" t="inlineStr">
        <is>
          <t>Financial</t>
        </is>
      </c>
      <c r="I711" t="n">
        <v>1</v>
      </c>
      <c r="J711" t="n">
        <v>102.665</v>
      </c>
      <c r="K711" t="n">
        <v>3.940993</v>
      </c>
      <c r="L711" t="n">
        <v>0.025169</v>
      </c>
      <c r="M711" t="n">
        <v>-0.123326</v>
      </c>
      <c r="N711" t="n">
        <v>17.41409244</v>
      </c>
      <c r="O711" t="n">
        <v>3.216080897</v>
      </c>
      <c r="P711" t="n">
        <v>85</v>
      </c>
      <c r="Q711" t="inlineStr">
        <is>
          <t>Germany’s largest public development bank serving policy objectives</t>
        </is>
      </c>
      <c r="R711" t="inlineStr">
        <is>
          <t>GBP</t>
        </is>
      </c>
      <c r="S711" t="inlineStr">
        <is>
          <t>Investment Grade</t>
        </is>
      </c>
      <c r="T711" t="inlineStr">
        <is>
          <t>AAA</t>
        </is>
      </c>
      <c r="U711" t="inlineStr">
        <is>
          <t>AAA</t>
        </is>
      </c>
    </row>
    <row r="712">
      <c r="A712" t="inlineStr">
        <is>
          <t>XS2987626509</t>
        </is>
      </c>
      <c r="B712" t="inlineStr">
        <is>
          <t xml:space="preserve">Hold </t>
        </is>
      </c>
      <c r="C712" t="inlineStr">
        <is>
          <t>Export Developmnt Canada</t>
        </is>
      </c>
      <c r="D712" t="n">
        <v>4.5</v>
      </c>
      <c r="E712" t="inlineStr">
        <is>
          <t>Sr Unsecured</t>
        </is>
      </c>
      <c r="F712" t="inlineStr">
        <is>
          <t>28.01.2030</t>
        </is>
      </c>
      <c r="G712" t="inlineStr">
        <is>
          <t>Canada</t>
        </is>
      </c>
      <c r="H712" t="inlineStr">
        <is>
          <t>Government</t>
        </is>
      </c>
      <c r="I712" t="n">
        <v>100</v>
      </c>
      <c r="J712" t="n">
        <v>101.624</v>
      </c>
      <c r="K712" t="n">
        <v>4.055453</v>
      </c>
      <c r="L712" t="n">
        <v>0.02964</v>
      </c>
      <c r="M712" t="n">
        <v>-0.132099</v>
      </c>
      <c r="N712" t="n">
        <v>16.54048216</v>
      </c>
      <c r="O712" t="n">
        <v>4.32173992</v>
      </c>
      <c r="P712" t="n">
        <v>0</v>
      </c>
      <c r="Q712" t="inlineStr">
        <is>
          <t xml:space="preserve">Government owned export credit agency </t>
        </is>
      </c>
      <c r="R712" t="inlineStr">
        <is>
          <t>GBP</t>
        </is>
      </c>
      <c r="S712" t="inlineStr">
        <is>
          <t>Investment Grade</t>
        </is>
      </c>
      <c r="T712" t="inlineStr">
        <is>
          <t>AAA</t>
        </is>
      </c>
      <c r="U712" t="inlineStr">
        <is>
          <t>AAA</t>
        </is>
      </c>
    </row>
    <row r="713">
      <c r="A713" t="inlineStr">
        <is>
          <t>US57636QAW42</t>
        </is>
      </c>
      <c r="B713" t="inlineStr">
        <is>
          <t>Hold</t>
        </is>
      </c>
      <c r="C713" t="inlineStr">
        <is>
          <t>Mastercard Inc</t>
        </is>
      </c>
      <c r="D713" t="n">
        <v>4.875</v>
      </c>
      <c r="E713" t="inlineStr">
        <is>
          <t>Sr Unsecured</t>
        </is>
      </c>
      <c r="F713" t="inlineStr">
        <is>
          <t>09.03.2028</t>
        </is>
      </c>
      <c r="G713" t="inlineStr">
        <is>
          <t>United states</t>
        </is>
      </c>
      <c r="H713" t="inlineStr">
        <is>
          <t>Financial</t>
        </is>
      </c>
      <c r="I713" t="n">
        <v>2</v>
      </c>
      <c r="J713" t="n">
        <v>102.096</v>
      </c>
      <c r="K713" t="n">
        <v>4.012659</v>
      </c>
      <c r="L713" t="n">
        <v>0.04008</v>
      </c>
      <c r="M713" t="n">
        <v>-0.064564</v>
      </c>
      <c r="N713" t="n">
        <v>16.19281562</v>
      </c>
      <c r="O713" t="n">
        <v>2.680597532</v>
      </c>
      <c r="P713" t="n">
        <v>80</v>
      </c>
      <c r="Q713" t="inlineStr">
        <is>
          <t>Provides financial transaction processing services</t>
        </is>
      </c>
      <c r="R713" t="inlineStr">
        <is>
          <t>USD</t>
        </is>
      </c>
      <c r="S713" t="inlineStr">
        <is>
          <t>Investment Grade</t>
        </is>
      </c>
      <c r="T713" t="inlineStr">
        <is>
          <t>A+</t>
        </is>
      </c>
      <c r="U713" t="inlineStr">
        <is>
          <t>A+</t>
        </is>
      </c>
    </row>
    <row r="714">
      <c r="A714" t="inlineStr">
        <is>
          <t>US931142EQ27</t>
        </is>
      </c>
      <c r="B714" t="inlineStr">
        <is>
          <t>Hold</t>
        </is>
      </c>
      <c r="C714" t="inlineStr">
        <is>
          <t>Walmart Inc</t>
        </is>
      </c>
      <c r="D714" t="n">
        <v>2.375</v>
      </c>
      <c r="E714" t="inlineStr">
        <is>
          <t>Sr Unsecured</t>
        </is>
      </c>
      <c r="F714" t="inlineStr">
        <is>
          <t>24.09.2029</t>
        </is>
      </c>
      <c r="G714" t="inlineStr">
        <is>
          <t>United states</t>
        </is>
      </c>
      <c r="H714" t="inlineStr">
        <is>
          <t>Consumer, Cyclical</t>
        </is>
      </c>
      <c r="I714" t="n">
        <v>2</v>
      </c>
      <c r="J714" t="n">
        <v>93.56699999999999</v>
      </c>
      <c r="K714" t="n">
        <v>4.051399</v>
      </c>
      <c r="L714" t="n">
        <v>0.02513</v>
      </c>
      <c r="M714" t="n">
        <v>-0.108464</v>
      </c>
      <c r="N714" t="n">
        <v>14.64076756</v>
      </c>
      <c r="O714" t="n">
        <v>4.228579485</v>
      </c>
      <c r="P714" t="n">
        <v>85</v>
      </c>
      <c r="Q714" t="inlineStr">
        <is>
          <t>World's largest retailer operating in the US and internationally</t>
        </is>
      </c>
      <c r="R714" t="inlineStr">
        <is>
          <t>USD</t>
        </is>
      </c>
      <c r="S714" t="inlineStr">
        <is>
          <t>Investment Grade</t>
        </is>
      </c>
      <c r="T714" t="inlineStr">
        <is>
          <t>AA</t>
        </is>
      </c>
      <c r="U714" t="inlineStr">
        <is>
          <t>AA</t>
        </is>
      </c>
    </row>
    <row r="715">
      <c r="A715" t="inlineStr">
        <is>
          <t>XS2555179378</t>
        </is>
      </c>
      <c r="B715" t="inlineStr">
        <is>
          <t>Hold</t>
        </is>
      </c>
      <c r="C715" t="inlineStr">
        <is>
          <t>Adidas Ag</t>
        </is>
      </c>
      <c r="D715" t="n">
        <v>3.125</v>
      </c>
      <c r="E715" t="inlineStr">
        <is>
          <t>Sr Unsecured</t>
        </is>
      </c>
      <c r="F715" t="inlineStr">
        <is>
          <t>21.11.2029</t>
        </is>
      </c>
      <c r="G715" t="inlineStr">
        <is>
          <t>Germany</t>
        </is>
      </c>
      <c r="H715" t="inlineStr">
        <is>
          <t>Consumer, Cyclical</t>
        </is>
      </c>
      <c r="I715" t="n">
        <v>100</v>
      </c>
      <c r="J715" t="n">
        <v>103.042</v>
      </c>
      <c r="K715" t="n">
        <v>2.340648</v>
      </c>
      <c r="L715" t="n">
        <v>-0.093932</v>
      </c>
      <c r="M715" t="n">
        <v>-0.158067</v>
      </c>
      <c r="N715" t="n">
        <v>14.42945966</v>
      </c>
      <c r="O715" t="n">
        <v>4.112440046</v>
      </c>
      <c r="P715" t="n">
        <v>85</v>
      </c>
      <c r="Q715" t="inlineStr">
        <is>
          <t>Adidas AG manufactures sports shoes and sports equipment.</t>
        </is>
      </c>
      <c r="R715" t="inlineStr">
        <is>
          <t>EUR</t>
        </is>
      </c>
      <c r="S715" t="inlineStr">
        <is>
          <t>Investment Grade</t>
        </is>
      </c>
      <c r="T715" t="inlineStr">
        <is>
          <t>A-</t>
        </is>
      </c>
      <c r="U715" t="inlineStr">
        <is>
          <t>A-</t>
        </is>
      </c>
    </row>
    <row r="716">
      <c r="A716" t="inlineStr">
        <is>
          <t>XS2975106902</t>
        </is>
      </c>
      <c r="B716" t="inlineStr">
        <is>
          <t xml:space="preserve">Hold </t>
        </is>
      </c>
      <c r="C716" t="inlineStr">
        <is>
          <t>Asian Development Bank</t>
        </is>
      </c>
      <c r="D716" t="n">
        <v>4.375</v>
      </c>
      <c r="E716" t="inlineStr">
        <is>
          <t>Sr Unsecured</t>
        </is>
      </c>
      <c r="F716" t="inlineStr">
        <is>
          <t>15.01.2030</t>
        </is>
      </c>
      <c r="G716" t="inlineStr">
        <is>
          <t>Supranational</t>
        </is>
      </c>
      <c r="H716" t="inlineStr">
        <is>
          <t>Government</t>
        </is>
      </c>
      <c r="I716" t="n">
        <v>1</v>
      </c>
      <c r="J716" t="n">
        <v>101.223</v>
      </c>
      <c r="K716" t="n">
        <v>4.028049</v>
      </c>
      <c r="L716" t="n">
        <v>0.025054</v>
      </c>
      <c r="M716" t="n">
        <v>-0.141354</v>
      </c>
      <c r="N716" t="n">
        <v>14.11164905</v>
      </c>
      <c r="O716" t="n">
        <v>4.297247155</v>
      </c>
      <c r="P716" t="n">
        <v>0</v>
      </c>
      <c r="Q716" t="inlineStr">
        <is>
          <t xml:space="preserve">A development bank </t>
        </is>
      </c>
      <c r="R716" t="inlineStr">
        <is>
          <t>GBP</t>
        </is>
      </c>
      <c r="S716" t="inlineStr">
        <is>
          <t>Investment Grade</t>
        </is>
      </c>
      <c r="T716" t="inlineStr">
        <is>
          <t>AAA</t>
        </is>
      </c>
      <c r="U716" t="inlineStr">
        <is>
          <t>AAA</t>
        </is>
      </c>
    </row>
    <row r="717">
      <c r="A717" t="inlineStr">
        <is>
          <t>US30303M8L96</t>
        </is>
      </c>
      <c r="B717" t="inlineStr">
        <is>
          <t>Hold</t>
        </is>
      </c>
      <c r="C717" t="inlineStr">
        <is>
          <t>Meta Platforms Inc</t>
        </is>
      </c>
      <c r="D717" t="n">
        <v>4.6</v>
      </c>
      <c r="E717" t="inlineStr">
        <is>
          <t>Sr Unsecured</t>
        </is>
      </c>
      <c r="F717" t="inlineStr">
        <is>
          <t>15.05.2028</t>
        </is>
      </c>
      <c r="G717" t="inlineStr">
        <is>
          <t>United states</t>
        </is>
      </c>
      <c r="H717" t="inlineStr">
        <is>
          <t>Communications</t>
        </is>
      </c>
      <c r="I717" t="n">
        <v>2</v>
      </c>
      <c r="J717" t="n">
        <v>101.627</v>
      </c>
      <c r="K717" t="n">
        <v>3.973074</v>
      </c>
      <c r="L717" t="n">
        <v>0.04462</v>
      </c>
      <c r="M717" t="n">
        <v>-0.06347800000000001</v>
      </c>
      <c r="N717" t="n">
        <v>13.08318559</v>
      </c>
      <c r="O717" t="n">
        <v>2.869766397</v>
      </c>
      <c r="P717" t="n">
        <v>80</v>
      </c>
      <c r="Q717" t="inlineStr">
        <is>
          <t>A social technology company</t>
        </is>
      </c>
      <c r="R717" t="inlineStr">
        <is>
          <t>USD</t>
        </is>
      </c>
      <c r="S717" t="inlineStr">
        <is>
          <t>Investment Grade</t>
        </is>
      </c>
      <c r="T717" t="inlineStr">
        <is>
          <t>AA-</t>
        </is>
      </c>
      <c r="U717" t="inlineStr">
        <is>
          <t>AA-</t>
        </is>
      </c>
    </row>
    <row r="718">
      <c r="A718" t="inlineStr">
        <is>
          <t>XS1269175466</t>
        </is>
      </c>
      <c r="B718" t="inlineStr">
        <is>
          <t xml:space="preserve">Hold </t>
        </is>
      </c>
      <c r="C718" t="inlineStr">
        <is>
          <t>Apple Inc</t>
        </is>
      </c>
      <c r="D718" t="n">
        <v>3.05</v>
      </c>
      <c r="E718" t="inlineStr">
        <is>
          <t>Sr Unsecured</t>
        </is>
      </c>
      <c r="F718" t="inlineStr">
        <is>
          <t>31.07.2029</t>
        </is>
      </c>
      <c r="G718" t="inlineStr">
        <is>
          <t>United states</t>
        </is>
      </c>
      <c r="H718" t="inlineStr">
        <is>
          <t>Technology</t>
        </is>
      </c>
      <c r="I718" t="n">
        <v>100</v>
      </c>
      <c r="J718" t="n">
        <v>96.622</v>
      </c>
      <c r="K718" t="n">
        <v>3.958813</v>
      </c>
      <c r="L718" t="n">
        <v>-0.013485</v>
      </c>
      <c r="M718" t="n">
        <v>-0.220333</v>
      </c>
      <c r="N718" t="n">
        <v>12.74042112</v>
      </c>
      <c r="O718" t="n">
        <v>4.07605095</v>
      </c>
      <c r="P718" t="n">
        <v>85</v>
      </c>
      <c r="Q718" t="inlineStr">
        <is>
          <t xml:space="preserve">Leading global designer and seller of premium electronic devices </t>
        </is>
      </c>
      <c r="R718" t="inlineStr">
        <is>
          <t>GBP</t>
        </is>
      </c>
      <c r="S718" t="inlineStr">
        <is>
          <t>Investment Grade</t>
        </is>
      </c>
      <c r="T718" t="inlineStr">
        <is>
          <t>AA+</t>
        </is>
      </c>
      <c r="U718" t="inlineStr">
        <is>
          <t>AA+</t>
        </is>
      </c>
    </row>
    <row r="719">
      <c r="A719" t="inlineStr">
        <is>
          <t>XS2701725983</t>
        </is>
      </c>
      <c r="B719" t="inlineStr">
        <is>
          <t>Hold</t>
        </is>
      </c>
      <c r="C719" t="inlineStr">
        <is>
          <t>Intl Development Assoc</t>
        </is>
      </c>
      <c r="D719" t="n">
        <v>4.75</v>
      </c>
      <c r="E719" t="inlineStr">
        <is>
          <t>Sr Unsecured</t>
        </is>
      </c>
      <c r="F719" t="inlineStr">
        <is>
          <t>14.10.2031</t>
        </is>
      </c>
      <c r="G719" t="inlineStr">
        <is>
          <t>Supranational</t>
        </is>
      </c>
      <c r="H719" t="inlineStr">
        <is>
          <t>Government</t>
        </is>
      </c>
      <c r="I719" t="n">
        <v>1</v>
      </c>
      <c r="J719" t="n">
        <v>102.589</v>
      </c>
      <c r="K719" t="n">
        <v>4.222507</v>
      </c>
      <c r="L719" t="n">
        <v>0.04076</v>
      </c>
      <c r="M719" t="n">
        <v>-0.101637</v>
      </c>
      <c r="N719" t="n">
        <v>12.14983133</v>
      </c>
      <c r="O719" t="n">
        <v>5.507206754</v>
      </c>
      <c r="P719" t="n">
        <v>0</v>
      </c>
      <c r="Q719" t="inlineStr">
        <is>
          <t xml:space="preserve">Supranational and a part of World Bank to provide loans and grants  </t>
        </is>
      </c>
      <c r="R719" t="inlineStr">
        <is>
          <t>GBP</t>
        </is>
      </c>
      <c r="S719" t="inlineStr">
        <is>
          <t>Investment Grade</t>
        </is>
      </c>
      <c r="T719" t="inlineStr">
        <is>
          <t>AAA</t>
        </is>
      </c>
      <c r="U719" t="inlineStr">
        <is>
          <t>AAA</t>
        </is>
      </c>
    </row>
    <row r="720">
      <c r="A720" t="inlineStr">
        <is>
          <t>XS2976284450</t>
        </is>
      </c>
      <c r="B720" t="inlineStr">
        <is>
          <t xml:space="preserve">Hold </t>
        </is>
      </c>
      <c r="C720" t="inlineStr">
        <is>
          <t>Intl Bk Recon &amp; Develop</t>
        </is>
      </c>
      <c r="D720" t="n">
        <v>4.5</v>
      </c>
      <c r="E720" t="inlineStr">
        <is>
          <t>Sr Unsecured</t>
        </is>
      </c>
      <c r="F720" t="inlineStr">
        <is>
          <t>15.07.2030</t>
        </is>
      </c>
      <c r="G720" t="inlineStr">
        <is>
          <t>Supranational</t>
        </is>
      </c>
      <c r="H720" t="inlineStr">
        <is>
          <t>Government</t>
        </is>
      </c>
      <c r="I720" t="n">
        <v>1</v>
      </c>
      <c r="J720" t="n">
        <v>101.787</v>
      </c>
      <c r="K720" t="n">
        <v>4.057516</v>
      </c>
      <c r="L720" t="n">
        <v>0.026622</v>
      </c>
      <c r="M720" t="n">
        <v>-0.143699</v>
      </c>
      <c r="N720" t="n">
        <v>12.10976954</v>
      </c>
      <c r="O720" t="n">
        <v>4.666625855</v>
      </c>
      <c r="P720" t="n">
        <v>0</v>
      </c>
      <c r="Q720" t="inlineStr">
        <is>
          <t xml:space="preserve">A development bank </t>
        </is>
      </c>
      <c r="R720" t="inlineStr">
        <is>
          <t>GBP</t>
        </is>
      </c>
      <c r="S720" t="inlineStr">
        <is>
          <t>Investment Grade</t>
        </is>
      </c>
      <c r="T720" t="inlineStr">
        <is>
          <t>AAA</t>
        </is>
      </c>
      <c r="U720" t="inlineStr">
        <is>
          <t>AAA</t>
        </is>
      </c>
    </row>
    <row r="721">
      <c r="A721" t="inlineStr">
        <is>
          <t>US742718GA10</t>
        </is>
      </c>
      <c r="B721" t="inlineStr">
        <is>
          <t>Top Pick</t>
        </is>
      </c>
      <c r="C721" t="inlineStr">
        <is>
          <t>Procter &amp; Gamble Co/The</t>
        </is>
      </c>
      <c r="D721" t="n">
        <v>4.05</v>
      </c>
      <c r="E721" t="inlineStr">
        <is>
          <t>Sr Unsecured</t>
        </is>
      </c>
      <c r="F721" t="inlineStr">
        <is>
          <t>26.01.2033</t>
        </is>
      </c>
      <c r="G721" t="inlineStr">
        <is>
          <t>United states</t>
        </is>
      </c>
      <c r="H721" t="inlineStr">
        <is>
          <t>Consumer, Non-cyclical</t>
        </is>
      </c>
      <c r="I721" t="n">
        <v>2</v>
      </c>
      <c r="J721" t="n">
        <v>98.449</v>
      </c>
      <c r="K721" t="n">
        <v>4.292466</v>
      </c>
      <c r="L721" t="n">
        <v>-0.022356</v>
      </c>
      <c r="M721" t="n">
        <v>-0.106226</v>
      </c>
      <c r="N721" t="n">
        <v>11.35386833</v>
      </c>
      <c r="O721" t="n">
        <v>6.65946588</v>
      </c>
      <c r="P721" t="n">
        <v>85</v>
      </c>
      <c r="Q721" t="inlineStr">
        <is>
          <t>Manufactures and markets consumer products</t>
        </is>
      </c>
      <c r="R721" t="inlineStr">
        <is>
          <t>USD</t>
        </is>
      </c>
      <c r="S721" t="inlineStr">
        <is>
          <t>Investment Grade</t>
        </is>
      </c>
      <c r="T721" t="inlineStr">
        <is>
          <t>AA-</t>
        </is>
      </c>
      <c r="U721" t="inlineStr">
        <is>
          <t>AA-</t>
        </is>
      </c>
    </row>
    <row r="722">
      <c r="A722" t="inlineStr">
        <is>
          <t>US037833ET32</t>
        </is>
      </c>
      <c r="B722" t="inlineStr">
        <is>
          <t>Hold</t>
        </is>
      </c>
      <c r="C722" t="inlineStr">
        <is>
          <t>Apple Inc</t>
        </is>
      </c>
      <c r="D722" t="n">
        <v>4</v>
      </c>
      <c r="E722" t="inlineStr">
        <is>
          <t>Sr Unsecured</t>
        </is>
      </c>
      <c r="F722" t="inlineStr">
        <is>
          <t>10.05.2028</t>
        </is>
      </c>
      <c r="G722" t="inlineStr">
        <is>
          <t>United states</t>
        </is>
      </c>
      <c r="H722" t="inlineStr">
        <is>
          <t>Technology</t>
        </is>
      </c>
      <c r="I722" t="n">
        <v>2</v>
      </c>
      <c r="J722" t="n">
        <v>100.103</v>
      </c>
      <c r="K722" t="n">
        <v>3.959277</v>
      </c>
      <c r="L722" t="n">
        <v>0.063522</v>
      </c>
      <c r="M722" t="n">
        <v>-0.045648</v>
      </c>
      <c r="N722" t="n">
        <v>11.16399529</v>
      </c>
      <c r="O722" t="n">
        <v>2.954295304</v>
      </c>
      <c r="P722" t="n">
        <v>85</v>
      </c>
      <c r="Q722" t="inlineStr">
        <is>
          <t>Leading global designer and seller of premium electronic devices</t>
        </is>
      </c>
      <c r="R722" t="inlineStr">
        <is>
          <t>USD</t>
        </is>
      </c>
      <c r="S722" t="inlineStr">
        <is>
          <t>Investment Grade</t>
        </is>
      </c>
      <c r="T722" t="inlineStr">
        <is>
          <t>AA+</t>
        </is>
      </c>
      <c r="U722" t="inlineStr">
        <is>
          <t>AA+</t>
        </is>
      </c>
    </row>
    <row r="723">
      <c r="A723" t="inlineStr">
        <is>
          <t>US037833EV87</t>
        </is>
      </c>
      <c r="B723" t="inlineStr">
        <is>
          <t>Top Pick</t>
        </is>
      </c>
      <c r="C723" t="inlineStr">
        <is>
          <t>Apple Inc</t>
        </is>
      </c>
      <c r="D723" t="n">
        <v>4.3</v>
      </c>
      <c r="E723" t="inlineStr">
        <is>
          <t>Sr Unsecured</t>
        </is>
      </c>
      <c r="F723" t="inlineStr">
        <is>
          <t>10.05.2033</t>
        </is>
      </c>
      <c r="G723" t="inlineStr">
        <is>
          <t>United states</t>
        </is>
      </c>
      <c r="H723" t="inlineStr">
        <is>
          <t>Technology</t>
        </is>
      </c>
      <c r="I723" t="n">
        <v>2</v>
      </c>
      <c r="J723" t="n">
        <v>99.994</v>
      </c>
      <c r="K723" t="n">
        <v>4.300153</v>
      </c>
      <c r="L723" t="n">
        <v>-0.009797</v>
      </c>
      <c r="M723" t="n">
        <v>-0.111277</v>
      </c>
      <c r="N723" t="n">
        <v>7.834572283</v>
      </c>
      <c r="O723" t="n">
        <v>6.760544121</v>
      </c>
      <c r="P723" t="n">
        <v>85</v>
      </c>
      <c r="Q723" t="inlineStr">
        <is>
          <t>Leading global designer and seller of premium electronic devices</t>
        </is>
      </c>
      <c r="R723" t="inlineStr">
        <is>
          <t>USD</t>
        </is>
      </c>
      <c r="S723" t="inlineStr">
        <is>
          <t>Investment Grade</t>
        </is>
      </c>
      <c r="T723" t="inlineStr">
        <is>
          <t>AA+</t>
        </is>
      </c>
      <c r="U723" t="inlineStr">
        <is>
          <t>AA+</t>
        </is>
      </c>
    </row>
    <row r="724">
      <c r="A724" t="inlineStr">
        <is>
          <t>GB00BMF9LG83</t>
        </is>
      </c>
      <c r="B724" t="inlineStr">
        <is>
          <t>Top Pick</t>
        </is>
      </c>
      <c r="C724" t="inlineStr">
        <is>
          <t>United Kingdom Gilt</t>
        </is>
      </c>
      <c r="D724" t="n">
        <v>4.5</v>
      </c>
      <c r="E724" t="inlineStr">
        <is>
          <t>Unsecured</t>
        </is>
      </c>
      <c r="F724" t="inlineStr">
        <is>
          <t>07.06.2028</t>
        </is>
      </c>
      <c r="G724" t="inlineStr">
        <is>
          <t>United Kingdom</t>
        </is>
      </c>
      <c r="H724" t="inlineStr">
        <is>
          <t>Government</t>
        </is>
      </c>
      <c r="I724" t="n">
        <v>1e-05</v>
      </c>
      <c r="J724" t="n">
        <v>101.874</v>
      </c>
      <c r="K724" t="n">
        <v>3.813595</v>
      </c>
      <c r="L724" t="n">
        <v>-0.012911</v>
      </c>
      <c r="M724" t="n">
        <v>-0.179097</v>
      </c>
      <c r="N724" t="n">
        <v>7.400865194</v>
      </c>
      <c r="O724" t="n">
        <v>3.005124055</v>
      </c>
      <c r="P724" t="n">
        <v>85</v>
      </c>
      <c r="Q724" t="inlineStr">
        <is>
          <t>UK government bond</t>
        </is>
      </c>
      <c r="R724" t="inlineStr">
        <is>
          <t>GBP</t>
        </is>
      </c>
      <c r="S724" t="inlineStr">
        <is>
          <t>Investment Grade</t>
        </is>
      </c>
      <c r="T724" t="inlineStr">
        <is>
          <t>NR</t>
        </is>
      </c>
      <c r="U724" t="inlineStr">
        <is>
          <t>NR</t>
        </is>
      </c>
    </row>
    <row r="725">
      <c r="A725" t="inlineStr">
        <is>
          <t>US00828EER62</t>
        </is>
      </c>
      <c r="B725" t="inlineStr">
        <is>
          <t xml:space="preserve">Hold </t>
        </is>
      </c>
      <c r="C725" t="inlineStr">
        <is>
          <t>African Development Bank</t>
        </is>
      </c>
      <c r="D725" t="n">
        <v>4.375</v>
      </c>
      <c r="E725" t="inlineStr">
        <is>
          <t>Sr Unsecured</t>
        </is>
      </c>
      <c r="F725" t="inlineStr">
        <is>
          <t>14.03.2028</t>
        </is>
      </c>
      <c r="G725" t="inlineStr">
        <is>
          <t>Supranational</t>
        </is>
      </c>
      <c r="H725" t="inlineStr">
        <is>
          <t>Government</t>
        </is>
      </c>
      <c r="I725" t="n">
        <v>1</v>
      </c>
      <c r="J725" t="n">
        <v>101.225</v>
      </c>
      <c r="K725" t="n">
        <v>3.887697</v>
      </c>
      <c r="L725" t="n">
        <v>0.108593</v>
      </c>
      <c r="M725" t="n">
        <v>-0.070447</v>
      </c>
      <c r="N725" t="n">
        <v>5.628861616</v>
      </c>
      <c r="O725" t="n">
        <v>2.786377577</v>
      </c>
      <c r="P725" t="n">
        <v>85</v>
      </c>
      <c r="Q725" t="inlineStr">
        <is>
          <t>Regional multilateral development finance institution</t>
        </is>
      </c>
      <c r="R725" t="inlineStr">
        <is>
          <t>USD</t>
        </is>
      </c>
      <c r="S725" t="inlineStr">
        <is>
          <t>Investment Grade</t>
        </is>
      </c>
      <c r="T725" t="inlineStr">
        <is>
          <t>AAA</t>
        </is>
      </c>
      <c r="U725" t="inlineStr">
        <is>
          <t>AAA</t>
        </is>
      </c>
    </row>
    <row r="726">
      <c r="A726" t="inlineStr">
        <is>
          <t>US14913R3B15</t>
        </is>
      </c>
      <c r="B726" t="inlineStr">
        <is>
          <t>Hold</t>
        </is>
      </c>
      <c r="C726" t="inlineStr">
        <is>
          <t>Caterpillar Finl Service</t>
        </is>
      </c>
      <c r="D726" t="n">
        <v>4.8</v>
      </c>
      <c r="E726" t="inlineStr">
        <is>
          <t>Sr Unsecured</t>
        </is>
      </c>
      <c r="F726" t="inlineStr">
        <is>
          <t>06.01.2026</t>
        </is>
      </c>
      <c r="G726" t="inlineStr">
        <is>
          <t>United states</t>
        </is>
      </c>
      <c r="H726" t="inlineStr">
        <is>
          <t>Industrial</t>
        </is>
      </c>
      <c r="I726" t="n">
        <v>1</v>
      </c>
      <c r="J726" t="n">
        <v>100.216</v>
      </c>
      <c r="K726" t="n">
        <v>4.353614</v>
      </c>
      <c r="L726" t="n">
        <v>-0.073238</v>
      </c>
      <c r="M726" t="n">
        <v>-0.103495</v>
      </c>
      <c r="N726" t="n">
        <v>5.494939541</v>
      </c>
      <c r="O726" t="n">
        <v>0.844936782</v>
      </c>
      <c r="P726" t="n">
        <v>80</v>
      </c>
      <c r="Q726" t="inlineStr">
        <is>
          <t xml:space="preserve">Leading manufacturer of construction and mining equipment </t>
        </is>
      </c>
      <c r="R726" t="inlineStr">
        <is>
          <t>USD</t>
        </is>
      </c>
      <c r="S726" t="inlineStr">
        <is>
          <t>Investment Grade</t>
        </is>
      </c>
      <c r="T726" t="inlineStr">
        <is>
          <t>A</t>
        </is>
      </c>
      <c r="U726" t="inlineStr">
        <is>
          <t>A</t>
        </is>
      </c>
    </row>
    <row r="727">
      <c r="A727" t="inlineStr">
        <is>
          <t>SI0002103990</t>
        </is>
      </c>
      <c r="B727" t="inlineStr">
        <is>
          <t>Hold</t>
        </is>
      </c>
      <c r="C727" t="inlineStr">
        <is>
          <t>Republika Slovenija</t>
        </is>
      </c>
      <c r="D727" t="n">
        <v>0.875</v>
      </c>
      <c r="E727" t="inlineStr">
        <is>
          <t>Sr Unsecured</t>
        </is>
      </c>
      <c r="F727" t="inlineStr">
        <is>
          <t>15.07.2030</t>
        </is>
      </c>
      <c r="G727" t="inlineStr">
        <is>
          <t>Slovenia</t>
        </is>
      </c>
      <c r="H727" t="inlineStr">
        <is>
          <t>Government</t>
        </is>
      </c>
      <c r="I727" t="n">
        <v>1</v>
      </c>
      <c r="J727" t="n">
        <v>93.14</v>
      </c>
      <c r="K727" t="n">
        <v>2.340337</v>
      </c>
      <c r="L727" t="n">
        <v>-0.003436</v>
      </c>
      <c r="M727" t="n">
        <v>-0.041054</v>
      </c>
      <c r="N727" t="n">
        <v>4.284283669</v>
      </c>
      <c r="O727" t="n">
        <v>5.124320125</v>
      </c>
      <c r="P727" t="n">
        <v>80</v>
      </c>
      <c r="Q727" t="inlineStr">
        <is>
          <t>Slovekia government bond</t>
        </is>
      </c>
      <c r="R727" t="inlineStr">
        <is>
          <t>EUR</t>
        </is>
      </c>
      <c r="S727" t="inlineStr">
        <is>
          <t>Investment Grade</t>
        </is>
      </c>
      <c r="T727" t="inlineStr">
        <is>
          <t>A</t>
        </is>
      </c>
      <c r="U727" t="inlineStr">
        <is>
          <t>A</t>
        </is>
      </c>
    </row>
    <row r="728">
      <c r="A728" t="inlineStr">
        <is>
          <t>GB00BMV7TC88</t>
        </is>
      </c>
      <c r="B728" t="inlineStr">
        <is>
          <t xml:space="preserve">Hold </t>
        </is>
      </c>
      <c r="C728" t="inlineStr">
        <is>
          <t>United Kingdom Gilt</t>
        </is>
      </c>
      <c r="D728" t="n">
        <v>3.25</v>
      </c>
      <c r="E728" t="inlineStr">
        <is>
          <t>Unsecured</t>
        </is>
      </c>
      <c r="F728" t="inlineStr">
        <is>
          <t>31.01.2033</t>
        </is>
      </c>
      <c r="G728" t="inlineStr">
        <is>
          <t>United Kingdom</t>
        </is>
      </c>
      <c r="H728" t="inlineStr">
        <is>
          <t>Government</t>
        </is>
      </c>
      <c r="I728" t="n">
        <v>1e-05</v>
      </c>
      <c r="J728" t="n">
        <v>93.307</v>
      </c>
      <c r="K728" t="n">
        <v>4.295266</v>
      </c>
      <c r="L728" t="n">
        <v>0.026999</v>
      </c>
      <c r="M728" t="n">
        <v>-0.096501</v>
      </c>
      <c r="N728" t="n">
        <v>3.768982236</v>
      </c>
      <c r="O728" t="n">
        <v>6.845691528</v>
      </c>
      <c r="P728" t="n">
        <v>85</v>
      </c>
      <c r="Q728" t="inlineStr">
        <is>
          <t>UK government bond</t>
        </is>
      </c>
      <c r="R728" t="inlineStr">
        <is>
          <t>GBP</t>
        </is>
      </c>
      <c r="S728" t="inlineStr">
        <is>
          <t>Investment Grade</t>
        </is>
      </c>
      <c r="T728" t="inlineStr">
        <is>
          <t>NR</t>
        </is>
      </c>
      <c r="U728" t="inlineStr">
        <is>
          <t>NR</t>
        </is>
      </c>
    </row>
    <row r="729">
      <c r="A729" t="inlineStr">
        <is>
          <t>US037833EU05</t>
        </is>
      </c>
      <c r="B729" t="inlineStr">
        <is>
          <t>Hold</t>
        </is>
      </c>
      <c r="C729" t="inlineStr">
        <is>
          <t>Apple Inc</t>
        </is>
      </c>
      <c r="D729" t="n">
        <v>4.15</v>
      </c>
      <c r="E729" t="inlineStr">
        <is>
          <t>Sr Unsecured</t>
        </is>
      </c>
      <c r="F729" t="inlineStr">
        <is>
          <t>10.05.2030</t>
        </is>
      </c>
      <c r="G729" t="inlineStr">
        <is>
          <t>United states</t>
        </is>
      </c>
      <c r="H729" t="inlineStr">
        <is>
          <t>Technology</t>
        </is>
      </c>
      <c r="I729" t="n">
        <v>2</v>
      </c>
      <c r="J729" t="n">
        <v>100.735</v>
      </c>
      <c r="K729" t="n">
        <v>3.975792</v>
      </c>
      <c r="L729" t="n">
        <v>0.036037</v>
      </c>
      <c r="M729" t="n">
        <v>-0.110583</v>
      </c>
      <c r="N729" t="n">
        <v>3.472197547</v>
      </c>
      <c r="O729" t="n">
        <v>4.59341161</v>
      </c>
      <c r="P729" t="n">
        <v>85</v>
      </c>
      <c r="Q729" t="inlineStr">
        <is>
          <t>Leading global designer and seller of premium electronic devices</t>
        </is>
      </c>
      <c r="R729" t="inlineStr">
        <is>
          <t>USD</t>
        </is>
      </c>
      <c r="S729" t="inlineStr">
        <is>
          <t>Investment Grade</t>
        </is>
      </c>
      <c r="T729" t="inlineStr">
        <is>
          <t>AA+</t>
        </is>
      </c>
      <c r="U729" t="inlineStr">
        <is>
          <t>AA+</t>
        </is>
      </c>
    </row>
    <row r="730">
      <c r="A730" t="inlineStr">
        <is>
          <t>GB0032452392</t>
        </is>
      </c>
      <c r="B730" t="inlineStr">
        <is>
          <t xml:space="preserve">Hold </t>
        </is>
      </c>
      <c r="C730" t="inlineStr">
        <is>
          <t>United Kingdom Gilt</t>
        </is>
      </c>
      <c r="D730" t="n">
        <v>4.25</v>
      </c>
      <c r="E730" t="inlineStr">
        <is>
          <t>Unsecured</t>
        </is>
      </c>
      <c r="F730" t="inlineStr">
        <is>
          <t>07.03.2036</t>
        </is>
      </c>
      <c r="G730" t="inlineStr">
        <is>
          <t>United Kingdom</t>
        </is>
      </c>
      <c r="H730" t="inlineStr">
        <is>
          <t>Government</t>
        </is>
      </c>
      <c r="I730" t="n">
        <v>1e-05</v>
      </c>
      <c r="J730" t="n">
        <v>96.861</v>
      </c>
      <c r="K730" t="n">
        <v>4.625404</v>
      </c>
      <c r="L730" t="n">
        <v>0.043347</v>
      </c>
      <c r="M730" t="n">
        <v>-0.057977</v>
      </c>
      <c r="N730" t="n">
        <v>1.780077489</v>
      </c>
      <c r="O730" t="n">
        <v>8.493844379</v>
      </c>
      <c r="P730" t="n">
        <v>85</v>
      </c>
      <c r="Q730" t="inlineStr">
        <is>
          <t>UK government bond</t>
        </is>
      </c>
      <c r="R730" t="inlineStr">
        <is>
          <t>GBP</t>
        </is>
      </c>
      <c r="S730" t="inlineStr">
        <is>
          <t>Investment Grade</t>
        </is>
      </c>
      <c r="T730" t="inlineStr">
        <is>
          <t>NR</t>
        </is>
      </c>
      <c r="U730" t="inlineStr">
        <is>
          <t>NR</t>
        </is>
      </c>
    </row>
    <row r="731">
      <c r="A731" t="inlineStr">
        <is>
          <t>GB00B3KJDS62</t>
        </is>
      </c>
      <c r="B731" t="inlineStr">
        <is>
          <t xml:space="preserve">Hold </t>
        </is>
      </c>
      <c r="C731" t="inlineStr">
        <is>
          <t>United Kingdom Gilt</t>
        </is>
      </c>
      <c r="D731" t="n">
        <v>4.25</v>
      </c>
      <c r="E731" t="inlineStr">
        <is>
          <t>Unsecured</t>
        </is>
      </c>
      <c r="F731" t="inlineStr">
        <is>
          <t>07.09.2039</t>
        </is>
      </c>
      <c r="G731" t="inlineStr">
        <is>
          <t>United Kingdom</t>
        </is>
      </c>
      <c r="H731" t="inlineStr">
        <is>
          <t>Government</t>
        </is>
      </c>
      <c r="I731" t="n">
        <v>1e-05</v>
      </c>
      <c r="J731" t="n">
        <v>93.203</v>
      </c>
      <c r="K731" t="n">
        <v>4.921487</v>
      </c>
      <c r="L731" t="n">
        <v>0.055621</v>
      </c>
      <c r="M731" t="n">
        <v>-0.030796</v>
      </c>
      <c r="N731" t="n">
        <v>1.447624535</v>
      </c>
      <c r="O731" t="n">
        <v>10.36069097</v>
      </c>
      <c r="P731" t="n">
        <v>85</v>
      </c>
      <c r="Q731" t="inlineStr">
        <is>
          <t>UK government bond</t>
        </is>
      </c>
      <c r="R731" t="inlineStr">
        <is>
          <t>GBP</t>
        </is>
      </c>
      <c r="S731" t="inlineStr">
        <is>
          <t>Investment Grade</t>
        </is>
      </c>
      <c r="T731" t="inlineStr">
        <is>
          <t>NR</t>
        </is>
      </c>
      <c r="U731" t="inlineStr">
        <is>
          <t>NR</t>
        </is>
      </c>
    </row>
    <row r="732">
      <c r="A732" t="inlineStr">
        <is>
          <t>USY3422VCS52</t>
        </is>
      </c>
      <c r="B732" t="inlineStr">
        <is>
          <t xml:space="preserve">Hold </t>
        </is>
      </c>
      <c r="C732" t="inlineStr">
        <is>
          <t>Hong Kong</t>
        </is>
      </c>
      <c r="D732" t="n">
        <v>1.375</v>
      </c>
      <c r="E732" t="inlineStr">
        <is>
          <t>Sr Unsecured</t>
        </is>
      </c>
      <c r="F732" t="inlineStr">
        <is>
          <t>02.02.2031</t>
        </is>
      </c>
      <c r="G732" t="inlineStr">
        <is>
          <t>Hong Kong</t>
        </is>
      </c>
      <c r="H732" t="inlineStr">
        <is>
          <t>Government</t>
        </is>
      </c>
      <c r="I732" t="n">
        <v>200</v>
      </c>
      <c r="J732" t="n">
        <v>86.967</v>
      </c>
      <c r="K732" t="n">
        <v>4.010455</v>
      </c>
      <c r="L732" t="n">
        <v>0.030857</v>
      </c>
      <c r="M732" t="n">
        <v>-0.132571</v>
      </c>
      <c r="N732" t="n">
        <v>0.460296963</v>
      </c>
      <c r="O732" t="n">
        <v>5.569587958</v>
      </c>
      <c r="P732" t="n">
        <v>85</v>
      </c>
      <c r="Q732" t="inlineStr">
        <is>
          <t>Government of Hong Kong</t>
        </is>
      </c>
      <c r="R732" t="inlineStr">
        <is>
          <t>USD</t>
        </is>
      </c>
      <c r="S732" t="inlineStr">
        <is>
          <t>Investment Grade</t>
        </is>
      </c>
      <c r="T732" t="inlineStr">
        <is>
          <t>AA</t>
        </is>
      </c>
      <c r="U732" t="inlineStr">
        <is>
          <t>AA</t>
        </is>
      </c>
    </row>
    <row r="733">
      <c r="A733" t="inlineStr">
        <is>
          <t>GB00BJMHB534</t>
        </is>
      </c>
      <c r="B733" t="inlineStr">
        <is>
          <t xml:space="preserve">Hold </t>
        </is>
      </c>
      <c r="C733" t="inlineStr">
        <is>
          <t>United Kingdom Gilt</t>
        </is>
      </c>
      <c r="D733" t="n">
        <v>0.875</v>
      </c>
      <c r="E733" t="inlineStr">
        <is>
          <t>Unsecured</t>
        </is>
      </c>
      <c r="F733" t="inlineStr">
        <is>
          <t>22.10.2029</t>
        </is>
      </c>
      <c r="G733" t="inlineStr">
        <is>
          <t>United Kingdom</t>
        </is>
      </c>
      <c r="H733" t="inlineStr">
        <is>
          <t>Government</t>
        </is>
      </c>
      <c r="I733" t="n">
        <v>1e-05</v>
      </c>
      <c r="J733" t="n">
        <v>88.602</v>
      </c>
      <c r="K733" t="n">
        <v>3.777668</v>
      </c>
      <c r="L733" t="n">
        <v>0.008278000000000001</v>
      </c>
      <c r="M733" t="n">
        <v>-0.150836</v>
      </c>
      <c r="N733" t="n">
        <v>-8.836239953</v>
      </c>
      <c r="O733" t="n">
        <v>4.465589229</v>
      </c>
      <c r="P733" t="n">
        <v>85</v>
      </c>
      <c r="Q733" t="inlineStr">
        <is>
          <t>UK government bond</t>
        </is>
      </c>
      <c r="R733" t="inlineStr">
        <is>
          <t>GBP</t>
        </is>
      </c>
      <c r="S733" t="inlineStr">
        <is>
          <t>Investment Grade</t>
        </is>
      </c>
      <c r="T733" t="inlineStr">
        <is>
          <t>NR</t>
        </is>
      </c>
      <c r="U733" t="inlineStr">
        <is>
          <t>NR</t>
        </is>
      </c>
    </row>
    <row r="734">
      <c r="A734" t="inlineStr">
        <is>
          <t>GB00BL68HH02</t>
        </is>
      </c>
      <c r="B734" t="inlineStr">
        <is>
          <t xml:space="preserve">Hold </t>
        </is>
      </c>
      <c r="C734" t="inlineStr">
        <is>
          <t>United Kingdom Gilt</t>
        </is>
      </c>
      <c r="D734" t="n">
        <v>0.375</v>
      </c>
      <c r="E734" t="inlineStr">
        <is>
          <t>Unsecured</t>
        </is>
      </c>
      <c r="F734" t="inlineStr">
        <is>
          <t>22.10.2030</t>
        </is>
      </c>
      <c r="G734" t="inlineStr">
        <is>
          <t>United Kingdom</t>
        </is>
      </c>
      <c r="H734" t="inlineStr">
        <is>
          <t>Government</t>
        </is>
      </c>
      <c r="I734" t="n">
        <v>1e-05</v>
      </c>
      <c r="J734" t="n">
        <v>83.395</v>
      </c>
      <c r="K734" t="n">
        <v>3.876968</v>
      </c>
      <c r="L734" t="n">
        <v>0.013449</v>
      </c>
      <c r="M734" t="n">
        <v>-0.141538</v>
      </c>
      <c r="N734" t="n">
        <v>-11.97383051</v>
      </c>
      <c r="O734" t="n">
        <v>5.478900031</v>
      </c>
      <c r="P734" t="n">
        <v>85</v>
      </c>
      <c r="Q734" t="inlineStr">
        <is>
          <t>UK government bond</t>
        </is>
      </c>
      <c r="R734" t="inlineStr">
        <is>
          <t>GBP</t>
        </is>
      </c>
      <c r="S734" t="inlineStr">
        <is>
          <t>Investment Grade</t>
        </is>
      </c>
      <c r="T734" t="inlineStr">
        <is>
          <t>NR</t>
        </is>
      </c>
      <c r="U734" t="inlineStr">
        <is>
          <t>NR</t>
        </is>
      </c>
    </row>
    <row r="735">
      <c r="A735" t="inlineStr">
        <is>
          <t>CH1253456078</t>
        </is>
      </c>
      <c r="B735" t="inlineStr">
        <is>
          <t>Hold</t>
        </is>
      </c>
      <c r="C735" t="inlineStr">
        <is>
          <t>Sika Ag</t>
        </is>
      </c>
      <c r="D735" t="n">
        <v>2.25</v>
      </c>
      <c r="E735" t="inlineStr">
        <is>
          <t>Sr Unsecured</t>
        </is>
      </c>
      <c r="F735" t="inlineStr">
        <is>
          <t>13.04.2026</t>
        </is>
      </c>
      <c r="G735" t="inlineStr">
        <is>
          <t>Switzerland</t>
        </is>
      </c>
      <c r="H735" t="inlineStr">
        <is>
          <t>Industrial</t>
        </is>
      </c>
      <c r="I735" t="n">
        <v>5</v>
      </c>
      <c r="J735" t="n">
        <v>101.333</v>
      </c>
      <c r="K735" t="n">
        <v>-0.35021</v>
      </c>
      <c r="L735" t="n">
        <v>-0.056008</v>
      </c>
      <c r="M735" t="n">
        <v>-0.023266</v>
      </c>
      <c r="N735" t="n">
        <v>-27.34967599</v>
      </c>
      <c r="O735" t="n">
        <v>0.869000127</v>
      </c>
      <c r="P735" t="n">
        <v>80</v>
      </c>
      <c r="Q735" t="inlineStr">
        <is>
          <t>Manufactures construction materials</t>
        </is>
      </c>
      <c r="R735" t="inlineStr">
        <is>
          <t>CHF</t>
        </is>
      </c>
      <c r="S735" t="inlineStr">
        <is>
          <t>Investment Grade</t>
        </is>
      </c>
      <c r="T735" t="inlineStr">
        <is>
          <t>NR</t>
        </is>
      </c>
      <c r="U735" t="inlineStr">
        <is>
          <t>NR</t>
        </is>
      </c>
    </row>
    <row r="736">
      <c r="A736" t="inlineStr">
        <is>
          <t>CH1236363433</t>
        </is>
      </c>
      <c r="B736" t="inlineStr">
        <is>
          <t>Hold</t>
        </is>
      </c>
      <c r="C736" t="inlineStr">
        <is>
          <t>Swiss Life Holding Ag</t>
        </is>
      </c>
      <c r="D736" t="n">
        <v>2.04</v>
      </c>
      <c r="E736" t="inlineStr">
        <is>
          <t>Sr Unsecured</t>
        </is>
      </c>
      <c r="F736" t="inlineStr">
        <is>
          <t>26.01.2026</t>
        </is>
      </c>
      <c r="G736" t="inlineStr">
        <is>
          <t>Switzerland</t>
        </is>
      </c>
      <c r="H736" t="inlineStr">
        <is>
          <t>Financial</t>
        </is>
      </c>
      <c r="I736" t="n">
        <v>5</v>
      </c>
      <c r="J736" t="n">
        <v>100.743</v>
      </c>
      <c r="K736" t="n">
        <v>-0.44991</v>
      </c>
      <c r="L736" t="n">
        <v>0.003155</v>
      </c>
      <c r="M736" t="n">
        <v>0.066914</v>
      </c>
      <c r="N736" t="n">
        <v>-37.15106108</v>
      </c>
      <c r="O736" t="n">
        <v>0.6717856210000001</v>
      </c>
      <c r="P736" t="n">
        <v>80</v>
      </c>
      <c r="Q736" t="inlineStr">
        <is>
          <t>Provides life and property insurance</t>
        </is>
      </c>
      <c r="R736" t="inlineStr">
        <is>
          <t>CHF</t>
        </is>
      </c>
      <c r="S736" t="inlineStr">
        <is>
          <t>Investment Grade</t>
        </is>
      </c>
      <c r="T736" t="inlineStr">
        <is>
          <t>NR</t>
        </is>
      </c>
      <c r="U736" t="inlineStr">
        <is>
          <t>NR</t>
        </is>
      </c>
    </row>
    <row r="737">
      <c r="A737" t="inlineStr">
        <is>
          <t>GB00BMBL1D50</t>
        </is>
      </c>
      <c r="B737" t="inlineStr">
        <is>
          <t xml:space="preserve">Hold </t>
        </is>
      </c>
      <c r="C737" t="inlineStr">
        <is>
          <t>United Kingdom Gilt</t>
        </is>
      </c>
      <c r="D737" t="n">
        <v>0.5</v>
      </c>
      <c r="E737" t="inlineStr">
        <is>
          <t>Unsecured</t>
        </is>
      </c>
      <c r="F737" t="inlineStr">
        <is>
          <t>22.10.2061</t>
        </is>
      </c>
      <c r="G737" t="inlineStr">
        <is>
          <t>United Kingdom</t>
        </is>
      </c>
      <c r="H737" t="inlineStr">
        <is>
          <t>Government</t>
        </is>
      </c>
      <c r="I737" t="n">
        <v>1e-05</v>
      </c>
      <c r="J737" t="n">
        <v>25.851</v>
      </c>
      <c r="K737" t="n">
        <v>4.879063</v>
      </c>
      <c r="L737" t="n">
        <v>0.048544</v>
      </c>
      <c r="M737" t="n">
        <v>0.054004</v>
      </c>
      <c r="N737" t="n">
        <v>-37.30538387</v>
      </c>
      <c r="O737" t="n">
        <v>28.60651671</v>
      </c>
      <c r="P737" t="n">
        <v>85</v>
      </c>
      <c r="Q737" t="inlineStr">
        <is>
          <t>UK government bond</t>
        </is>
      </c>
      <c r="R737" t="inlineStr">
        <is>
          <t>GBP</t>
        </is>
      </c>
      <c r="S737" t="inlineStr">
        <is>
          <t>Investment Grade</t>
        </is>
      </c>
      <c r="T737" t="inlineStr">
        <is>
          <t>NR</t>
        </is>
      </c>
      <c r="U737" t="inlineStr">
        <is>
          <t>NR</t>
        </is>
      </c>
    </row>
    <row r="738">
      <c r="A738" t="inlineStr">
        <is>
          <t>USY15025AC67</t>
        </is>
      </c>
      <c r="B738" t="inlineStr">
        <is>
          <t>Hold</t>
        </is>
      </c>
      <c r="C738" t="inlineStr">
        <is>
          <t>China Govt Intl Bond</t>
        </is>
      </c>
      <c r="D738" t="n">
        <v>1.2</v>
      </c>
      <c r="E738" t="inlineStr">
        <is>
          <t>Sr Unsecured</t>
        </is>
      </c>
      <c r="F738" t="inlineStr">
        <is>
          <t>21.10.2030</t>
        </is>
      </c>
      <c r="G738" t="inlineStr">
        <is>
          <t>China</t>
        </is>
      </c>
      <c r="H738" t="inlineStr">
        <is>
          <t>Government</t>
        </is>
      </c>
      <c r="I738" t="n">
        <v>200</v>
      </c>
      <c r="J738" t="n">
        <v>88.758</v>
      </c>
      <c r="K738" t="n">
        <v>3.551051</v>
      </c>
      <c r="L738" t="n">
        <v>0.091368</v>
      </c>
      <c r="M738" t="n">
        <v>-0.119414</v>
      </c>
      <c r="N738" t="n">
        <v>-41.76982177</v>
      </c>
      <c r="O738" t="n">
        <v>5.345629533</v>
      </c>
      <c r="P738" t="n">
        <v>80</v>
      </c>
      <c r="Q738" t="inlineStr">
        <is>
          <t>China Government</t>
        </is>
      </c>
      <c r="R738" t="inlineStr">
        <is>
          <t>USD</t>
        </is>
      </c>
      <c r="S738" t="inlineStr">
        <is>
          <t>Investment Grade</t>
        </is>
      </c>
      <c r="T738" t="inlineStr">
        <is>
          <t>NR</t>
        </is>
      </c>
      <c r="U738" t="inlineStr">
        <is>
          <t>NR</t>
        </is>
      </c>
    </row>
    <row r="739">
      <c r="A739" t="inlineStr">
        <is>
          <t>CH1226543861</t>
        </is>
      </c>
      <c r="B739" t="inlineStr">
        <is>
          <t>Hold</t>
        </is>
      </c>
      <c r="C739" t="inlineStr">
        <is>
          <t>Sika Ag</t>
        </is>
      </c>
      <c r="D739" t="n">
        <v>1.9</v>
      </c>
      <c r="E739" t="inlineStr">
        <is>
          <t>Sr Unsecured</t>
        </is>
      </c>
      <c r="F739" t="inlineStr">
        <is>
          <t>28.11.2025</t>
        </is>
      </c>
      <c r="G739" t="inlineStr">
        <is>
          <t>Switzerland</t>
        </is>
      </c>
      <c r="H739" t="inlineStr">
        <is>
          <t>Industrial</t>
        </is>
      </c>
      <c r="I739" t="n">
        <v>5</v>
      </c>
      <c r="J739" t="n">
        <v>100.44</v>
      </c>
      <c r="K739" t="n">
        <v>-1.304177</v>
      </c>
      <c r="L739" t="n">
        <v>-0.24053</v>
      </c>
      <c r="M739" t="n">
        <v>-0.738675</v>
      </c>
      <c r="N739" t="n">
        <v>-122.2412537</v>
      </c>
      <c r="O739" t="n">
        <v>0.511169177</v>
      </c>
      <c r="P739" t="n">
        <v>80</v>
      </c>
      <c r="Q739" t="inlineStr">
        <is>
          <t>Manufactures construction materials</t>
        </is>
      </c>
      <c r="R739" t="inlineStr">
        <is>
          <t>CHF</t>
        </is>
      </c>
      <c r="S739" t="inlineStr">
        <is>
          <t>Investment Grade</t>
        </is>
      </c>
      <c r="T739" t="inlineStr">
        <is>
          <t>NR</t>
        </is>
      </c>
      <c r="U739" t="inlineStr">
        <is>
          <t>NR</t>
        </is>
      </c>
    </row>
    <row r="740">
      <c r="A740" t="inlineStr">
        <is>
          <t>XS1814065345</t>
        </is>
      </c>
      <c r="B740" t="inlineStr">
        <is>
          <t>Hold</t>
        </is>
      </c>
      <c r="C740" t="inlineStr">
        <is>
          <t>Gestamp Automocion Sa</t>
        </is>
      </c>
      <c r="D740" t="n">
        <v>3.25</v>
      </c>
      <c r="E740" t="inlineStr">
        <is>
          <t>3Rd Lien</t>
        </is>
      </c>
      <c r="F740" t="inlineStr">
        <is>
          <t>30.04.2026</t>
        </is>
      </c>
      <c r="G740" t="inlineStr">
        <is>
          <t>Spain</t>
        </is>
      </c>
      <c r="H740" t="inlineStr">
        <is>
          <t>Consumer, Cyclical</t>
        </is>
      </c>
      <c r="I740" t="n">
        <v>100</v>
      </c>
      <c r="J740" t="n">
        <v>100.077</v>
      </c>
      <c r="K740" t="n">
        <v>-0.235848</v>
      </c>
      <c r="L740" t="n">
        <v>-3.625743</v>
      </c>
      <c r="M740" t="n">
        <v>-3.593188</v>
      </c>
      <c r="N740" t="n">
        <v>-206.3439858</v>
      </c>
      <c r="O740" t="n">
        <v>0.022321743</v>
      </c>
      <c r="P740" t="n">
        <v>20</v>
      </c>
      <c r="Q740" t="inlineStr">
        <is>
          <t>Global automotive manufacturer</t>
        </is>
      </c>
      <c r="R740" t="inlineStr">
        <is>
          <t>EUR</t>
        </is>
      </c>
      <c r="S740" t="inlineStr">
        <is>
          <t>High Yield</t>
        </is>
      </c>
      <c r="T740" t="inlineStr">
        <is>
          <t>BB</t>
        </is>
      </c>
      <c r="U740" t="inlineStr">
        <is>
          <t>BB</t>
        </is>
      </c>
    </row>
    <row r="741">
      <c r="A741" t="inlineStr">
        <is>
          <t>XS2364593579</t>
        </is>
      </c>
      <c r="B741" t="inlineStr">
        <is>
          <t>Hold</t>
        </is>
      </c>
      <c r="C741" t="inlineStr">
        <is>
          <t>Jaguar Land Rover Automo</t>
        </is>
      </c>
      <c r="D741" t="n">
        <v>4.5</v>
      </c>
      <c r="E741" t="inlineStr">
        <is>
          <t>Sr Unsecured</t>
        </is>
      </c>
      <c r="F741" t="inlineStr">
        <is>
          <t>15.07.2028</t>
        </is>
      </c>
      <c r="G741" t="inlineStr">
        <is>
          <t>United Kingdom</t>
        </is>
      </c>
      <c r="H741" t="inlineStr">
        <is>
          <t>Consumer, Cyclical</t>
        </is>
      </c>
      <c r="I741" t="n">
        <v>100</v>
      </c>
      <c r="J741" t="n">
        <v>101.313</v>
      </c>
      <c r="K741" t="n">
        <v>-3.754922</v>
      </c>
      <c r="L741" t="n">
        <v>-7.190807</v>
      </c>
      <c r="M741" t="n">
        <v>-6.180514</v>
      </c>
      <c r="N741" t="n">
        <v>-567.4422487000001</v>
      </c>
      <c r="O741" t="n">
        <v>0.387584241</v>
      </c>
      <c r="P741" t="n">
        <v>25</v>
      </c>
      <c r="Q741" t="inlineStr">
        <is>
          <t xml:space="preserve"> designs, develops, and manufactures automobiles</t>
        </is>
      </c>
      <c r="R741" t="inlineStr">
        <is>
          <t>EUR</t>
        </is>
      </c>
      <c r="S741" t="inlineStr">
        <is>
          <t>High Yield</t>
        </is>
      </c>
      <c r="T741" t="inlineStr">
        <is>
          <t>BB+</t>
        </is>
      </c>
      <c r="U741" t="inlineStr">
        <is>
          <t>BB+</t>
        </is>
      </c>
    </row>
    <row r="742">
      <c r="A742" t="inlineStr">
        <is>
          <t>USU04354AF00</t>
        </is>
      </c>
      <c r="B742" t="inlineStr">
        <is>
          <t>Hold</t>
        </is>
      </c>
      <c r="C742" t="inlineStr">
        <is>
          <t>Ascent Resources/Aru Fin</t>
        </is>
      </c>
      <c r="D742" t="n">
        <v>8.25</v>
      </c>
      <c r="E742" t="inlineStr">
        <is>
          <t>Sr Unsecured</t>
        </is>
      </c>
      <c r="F742" t="inlineStr">
        <is>
          <t>31.12.2028</t>
        </is>
      </c>
      <c r="G742" t="inlineStr">
        <is>
          <t>United states</t>
        </is>
      </c>
      <c r="H742" t="inlineStr">
        <is>
          <t>Energy</t>
        </is>
      </c>
      <c r="I742" t="n">
        <v>2</v>
      </c>
      <c r="J742" t="n">
        <v>102.228</v>
      </c>
      <c r="K742" t="inlineStr">
        <is>
          <t>#N/A N/A</t>
        </is>
      </c>
      <c r="L742" t="e">
        <v>#VALUE!</v>
      </c>
      <c r="M742" t="e">
        <v>#VALUE!</v>
      </c>
      <c r="N742" t="inlineStr">
        <is>
          <t>#N/A N/A</t>
        </is>
      </c>
      <c r="O742" t="n">
        <v>0.085782107</v>
      </c>
      <c r="P742" t="n">
        <v>25</v>
      </c>
      <c r="Q742" t="inlineStr">
        <is>
          <t>A natural gas company</t>
        </is>
      </c>
      <c r="R742" t="inlineStr">
        <is>
          <t>USD</t>
        </is>
      </c>
      <c r="S742" t="inlineStr">
        <is>
          <t>High Yield</t>
        </is>
      </c>
      <c r="T742" t="inlineStr">
        <is>
          <t>B+</t>
        </is>
      </c>
      <c r="U742" t="inlineStr">
        <is>
          <t>B+</t>
        </is>
      </c>
    </row>
    <row r="743">
      <c r="A743" t="inlineStr">
        <is>
          <t>XS2361342889</t>
        </is>
      </c>
      <c r="B743" t="inlineStr">
        <is>
          <t>Hold</t>
        </is>
      </c>
      <c r="C743" t="inlineStr">
        <is>
          <t>Picard Groupe Sa</t>
        </is>
      </c>
      <c r="D743" t="n">
        <v>3.875</v>
      </c>
      <c r="E743" t="inlineStr">
        <is>
          <t>Secured</t>
        </is>
      </c>
      <c r="F743" t="inlineStr">
        <is>
          <t>01.07.2026</t>
        </is>
      </c>
      <c r="G743" t="inlineStr">
        <is>
          <t>France</t>
        </is>
      </c>
      <c r="H743" t="inlineStr">
        <is>
          <t>Consumer, Non-cyclical</t>
        </is>
      </c>
      <c r="I743" t="n">
        <v>100</v>
      </c>
      <c r="J743" t="n">
        <v>100.066</v>
      </c>
      <c r="K743" t="inlineStr">
        <is>
          <t>#N/A N/A</t>
        </is>
      </c>
      <c r="L743" t="e">
        <v>#VALUE!</v>
      </c>
      <c r="M743" t="e">
        <v>#VALUE!</v>
      </c>
      <c r="N743" t="inlineStr">
        <is>
          <t>#N/A N/A</t>
        </is>
      </c>
      <c r="O743" t="n">
        <v>0.347441926</v>
      </c>
      <c r="P743" t="n">
        <v>25</v>
      </c>
      <c r="Q743" t="inlineStr">
        <is>
          <t xml:space="preserve">French distributor of Frozen food products </t>
        </is>
      </c>
      <c r="R743" t="inlineStr">
        <is>
          <t>EUR</t>
        </is>
      </c>
      <c r="S743" t="inlineStr">
        <is>
          <t>High Yield</t>
        </is>
      </c>
      <c r="T743" t="inlineStr">
        <is>
          <t>NR</t>
        </is>
      </c>
      <c r="U743" t="inlineStr">
        <is>
          <t>NR</t>
        </is>
      </c>
    </row>
    <row r="744">
      <c r="A744" t="inlineStr">
        <is>
          <t>US46590XAZ96</t>
        </is>
      </c>
      <c r="B744" t="inlineStr">
        <is>
          <t xml:space="preserve">Hold </t>
        </is>
      </c>
      <c r="C744" t="inlineStr">
        <is>
          <t>Jbs Usa Hold/Food/Lux Co</t>
        </is>
      </c>
      <c r="D744" t="n">
        <v>5.125</v>
      </c>
      <c r="E744" t="inlineStr">
        <is>
          <t>Sr Unsecured</t>
        </is>
      </c>
      <c r="F744" t="inlineStr">
        <is>
          <t>01.02.2028</t>
        </is>
      </c>
      <c r="G744" t="inlineStr">
        <is>
          <t>United states</t>
        </is>
      </c>
      <c r="H744" t="inlineStr">
        <is>
          <t>Consumer, Non-cyclical</t>
        </is>
      </c>
      <c r="I744" t="n">
        <v>2</v>
      </c>
      <c r="J744" t="n">
        <v>102.487</v>
      </c>
      <c r="K744" t="inlineStr">
        <is>
          <t>#N/A N/A</t>
        </is>
      </c>
      <c r="L744" t="e">
        <v>#VALUE!</v>
      </c>
      <c r="M744" t="e">
        <v>#VALUE!</v>
      </c>
      <c r="N744" t="inlineStr">
        <is>
          <t>#N/A N/A</t>
        </is>
      </c>
      <c r="O744" t="n">
        <v>2.624760804</v>
      </c>
      <c r="P744" t="n">
        <v>0</v>
      </c>
      <c r="Q744" t="inlineStr">
        <is>
          <t xml:space="preserve">Largest protein company in Latin America </t>
        </is>
      </c>
      <c r="R744" t="inlineStr">
        <is>
          <t>USD</t>
        </is>
      </c>
      <c r="S744" t="inlineStr">
        <is>
          <t>Latin America</t>
        </is>
      </c>
      <c r="T744" t="inlineStr">
        <is>
          <t>BBB-</t>
        </is>
      </c>
      <c r="U744" t="inlineStr">
        <is>
          <t>BBB-</t>
        </is>
      </c>
    </row>
    <row r="745">
      <c r="A745" t="inlineStr">
        <is>
          <t>US46590XAZ96</t>
        </is>
      </c>
      <c r="B745" t="inlineStr">
        <is>
          <t>Hold</t>
        </is>
      </c>
      <c r="C745" t="inlineStr">
        <is>
          <t>Jbs Usa Hold/Food/Lux Co</t>
        </is>
      </c>
      <c r="D745" t="n">
        <v>5.125</v>
      </c>
      <c r="E745" t="inlineStr">
        <is>
          <t>Sr Unsecured</t>
        </is>
      </c>
      <c r="F745" t="inlineStr">
        <is>
          <t>01.02.2028</t>
        </is>
      </c>
      <c r="G745" t="inlineStr">
        <is>
          <t>United states</t>
        </is>
      </c>
      <c r="H745" t="inlineStr">
        <is>
          <t>Consumer, Non-cyclical</t>
        </is>
      </c>
      <c r="I745" t="n">
        <v>2</v>
      </c>
      <c r="J745" t="n">
        <v>102.487</v>
      </c>
      <c r="K745" t="inlineStr">
        <is>
          <t>#N/A N/A</t>
        </is>
      </c>
      <c r="L745" t="e">
        <v>#VALUE!</v>
      </c>
      <c r="M745" t="e">
        <v>#VALUE!</v>
      </c>
      <c r="N745" t="inlineStr">
        <is>
          <t>#N/A N/A</t>
        </is>
      </c>
      <c r="O745" t="n">
        <v>2.624760804</v>
      </c>
      <c r="P745" t="n">
        <v>0</v>
      </c>
      <c r="Q745" t="inlineStr">
        <is>
          <t xml:space="preserve">Largest protein company in Latin America </t>
        </is>
      </c>
      <c r="R745" t="inlineStr">
        <is>
          <t>USD</t>
        </is>
      </c>
      <c r="S745" t="inlineStr">
        <is>
          <t>Latin America</t>
        </is>
      </c>
      <c r="T745" t="inlineStr">
        <is>
          <t>BBB-</t>
        </is>
      </c>
      <c r="U745" t="inlineStr">
        <is>
          <t>BBB-</t>
        </is>
      </c>
    </row>
    <row r="746">
      <c r="A746" t="inlineStr">
        <is>
          <t>US80282KBB17</t>
        </is>
      </c>
      <c r="B746" t="inlineStr">
        <is>
          <t>Hold</t>
        </is>
      </c>
      <c r="C746" t="inlineStr">
        <is>
          <t>Santander Holdings Usa</t>
        </is>
      </c>
      <c r="D746" t="n">
        <v>3.45</v>
      </c>
      <c r="E746" t="inlineStr">
        <is>
          <t>Sr Unsecured</t>
        </is>
      </c>
      <c r="F746" t="inlineStr">
        <is>
          <t>02.06.2025</t>
        </is>
      </c>
      <c r="G746" t="inlineStr">
        <is>
          <t>United states</t>
        </is>
      </c>
      <c r="H746" t="inlineStr">
        <is>
          <t>Financial</t>
        </is>
      </c>
      <c r="I746" t="n">
        <v>2</v>
      </c>
      <c r="J746" t="inlineStr">
        <is>
          <t>#N/A N/A</t>
        </is>
      </c>
      <c r="K746" t="inlineStr">
        <is>
          <t>#N/A N/A</t>
        </is>
      </c>
      <c r="L746" t="e">
        <v>#VALUE!</v>
      </c>
      <c r="M746" t="e">
        <v>#VALUE!</v>
      </c>
      <c r="N746" t="inlineStr">
        <is>
          <t>#N/A N/A</t>
        </is>
      </c>
      <c r="O746" t="n">
        <v>0.277011781</v>
      </c>
      <c r="P746" t="n">
        <v>80</v>
      </c>
      <c r="Q746" t="inlineStr">
        <is>
          <t>One of the largest bank in the Eurozone by market value</t>
        </is>
      </c>
      <c r="R746" t="inlineStr">
        <is>
          <t>USD</t>
        </is>
      </c>
      <c r="S746" t="inlineStr">
        <is>
          <t>Investment Grade</t>
        </is>
      </c>
      <c r="T746" t="inlineStr">
        <is>
          <t>NR</t>
        </is>
      </c>
      <c r="U746" t="inlineStr">
        <is>
          <t>BBB+</t>
        </is>
      </c>
    </row>
    <row r="747">
      <c r="A747" t="inlineStr">
        <is>
          <t>ES00000126Z1</t>
        </is>
      </c>
      <c r="B747" t="inlineStr">
        <is>
          <t>Hold</t>
        </is>
      </c>
      <c r="C747" t="inlineStr">
        <is>
          <t>Bonos Y Oblig Del Estado</t>
        </is>
      </c>
      <c r="D747" t="n">
        <v>1.6</v>
      </c>
      <c r="E747" t="inlineStr">
        <is>
          <t>Sr Unsecured</t>
        </is>
      </c>
      <c r="F747" t="inlineStr">
        <is>
          <t>30.04.2025</t>
        </is>
      </c>
      <c r="G747" t="inlineStr">
        <is>
          <t>Spain</t>
        </is>
      </c>
      <c r="H747" t="inlineStr">
        <is>
          <t>Government</t>
        </is>
      </c>
      <c r="I747" t="n">
        <v>1</v>
      </c>
      <c r="J747" t="inlineStr">
        <is>
          <t>#N/A N/A</t>
        </is>
      </c>
      <c r="K747" t="inlineStr">
        <is>
          <t>#N/A N/A</t>
        </is>
      </c>
      <c r="L747" t="e">
        <v>#VALUE!</v>
      </c>
      <c r="M747" t="e">
        <v>#VALUE!</v>
      </c>
      <c r="N747" t="inlineStr">
        <is>
          <t>#N/A N/A</t>
        </is>
      </c>
      <c r="O747" t="n">
        <v>0.173882044</v>
      </c>
      <c r="P747" t="n">
        <v>80</v>
      </c>
      <c r="Q747" t="inlineStr">
        <is>
          <t>Spanish Government</t>
        </is>
      </c>
      <c r="R747" t="inlineStr">
        <is>
          <t>EUR</t>
        </is>
      </c>
      <c r="S747" t="inlineStr">
        <is>
          <t>Investment Grade</t>
        </is>
      </c>
      <c r="T747" t="inlineStr">
        <is>
          <t>NR</t>
        </is>
      </c>
      <c r="U747" t="inlineStr">
        <is>
          <t>BBB+</t>
        </is>
      </c>
    </row>
    <row r="748">
      <c r="A748" t="inlineStr">
        <is>
          <t>XS1405766897</t>
        </is>
      </c>
      <c r="B748" t="inlineStr">
        <is>
          <t>Hold</t>
        </is>
      </c>
      <c r="C748" t="inlineStr">
        <is>
          <t>Verizon Communications</t>
        </is>
      </c>
      <c r="D748" t="n">
        <v>0.875</v>
      </c>
      <c r="E748" t="inlineStr">
        <is>
          <t>Sr Unsecured</t>
        </is>
      </c>
      <c r="F748" t="inlineStr">
        <is>
          <t>02.04.2025</t>
        </is>
      </c>
      <c r="G748" t="inlineStr">
        <is>
          <t>United states</t>
        </is>
      </c>
      <c r="H748" t="inlineStr">
        <is>
          <t>Communications</t>
        </is>
      </c>
      <c r="I748" t="n">
        <v>100</v>
      </c>
      <c r="J748" t="inlineStr">
        <is>
          <t>#N/A N/A</t>
        </is>
      </c>
      <c r="K748" t="inlineStr">
        <is>
          <t>#N/A N/A</t>
        </is>
      </c>
      <c r="L748" t="e">
        <v>#VALUE!</v>
      </c>
      <c r="M748" t="e">
        <v>#VALUE!</v>
      </c>
      <c r="N748" t="inlineStr">
        <is>
          <t>#N/A N/A</t>
        </is>
      </c>
      <c r="O748" t="n">
        <v>0.101124969</v>
      </c>
      <c r="P748" t="n">
        <v>80</v>
      </c>
      <c r="Q748" t="inlineStr">
        <is>
          <t>Second largest telecommunications provider in the United States</t>
        </is>
      </c>
      <c r="R748" t="inlineStr">
        <is>
          <t>EUR</t>
        </is>
      </c>
      <c r="S748" t="inlineStr">
        <is>
          <t>Investment Grade</t>
        </is>
      </c>
      <c r="T748" t="inlineStr">
        <is>
          <t>NR</t>
        </is>
      </c>
      <c r="U748" t="inlineStr">
        <is>
          <t>BBB+</t>
        </is>
      </c>
    </row>
    <row r="749">
      <c r="A749" t="inlineStr">
        <is>
          <t>USL20041AD89</t>
        </is>
      </c>
      <c r="B749" t="inlineStr">
        <is>
          <t>Hold</t>
        </is>
      </c>
      <c r="C749" t="inlineStr">
        <is>
          <t>Cosan Luxembourg Sa</t>
        </is>
      </c>
      <c r="D749" t="n">
        <v>7</v>
      </c>
      <c r="E749" t="inlineStr">
        <is>
          <t>Sr Unsecured</t>
        </is>
      </c>
      <c r="F749" t="inlineStr">
        <is>
          <t>20.01.2027</t>
        </is>
      </c>
      <c r="G749" t="inlineStr">
        <is>
          <t>Brazil</t>
        </is>
      </c>
      <c r="H749" t="inlineStr">
        <is>
          <t>Energy</t>
        </is>
      </c>
      <c r="I749" t="n">
        <v>200</v>
      </c>
      <c r="J749" t="inlineStr">
        <is>
          <t>#N/A N/A</t>
        </is>
      </c>
      <c r="K749" t="inlineStr">
        <is>
          <t>#N/A N/A</t>
        </is>
      </c>
      <c r="L749" t="e">
        <v>#VALUE!</v>
      </c>
      <c r="M749" t="e">
        <v>#VALUE!</v>
      </c>
      <c r="N749" t="inlineStr">
        <is>
          <t>#N/A N/A</t>
        </is>
      </c>
      <c r="O749" t="n">
        <v>0.06363395199999999</v>
      </c>
      <c r="P749" t="n">
        <v>25</v>
      </c>
      <c r="Q749" t="inlineStr">
        <is>
          <t xml:space="preserve">Brazilian producer in  bioethanol, sugar and energy </t>
        </is>
      </c>
      <c r="R749" t="inlineStr">
        <is>
          <t>USD</t>
        </is>
      </c>
      <c r="S749" t="inlineStr">
        <is>
          <t>Latin America</t>
        </is>
      </c>
      <c r="T749" t="inlineStr">
        <is>
          <t>NR</t>
        </is>
      </c>
      <c r="U749" t="inlineStr">
        <is>
          <t>BB</t>
        </is>
      </c>
    </row>
    <row r="750">
      <c r="A750" t="inlineStr">
        <is>
          <t>USP3631MAA38</t>
        </is>
      </c>
      <c r="B750" t="inlineStr">
        <is>
          <t xml:space="preserve">Hold </t>
        </is>
      </c>
      <c r="C750" t="inlineStr">
        <is>
          <t>Electricidad Firme De Me</t>
        </is>
      </c>
      <c r="D750" t="n">
        <v>4.9</v>
      </c>
      <c r="E750" t="inlineStr">
        <is>
          <t>Secured</t>
        </is>
      </c>
      <c r="F750" t="inlineStr">
        <is>
          <t>20.11.2026</t>
        </is>
      </c>
      <c r="G750" t="inlineStr">
        <is>
          <t>Mexico</t>
        </is>
      </c>
      <c r="H750" t="inlineStr">
        <is>
          <t>Utilities</t>
        </is>
      </c>
      <c r="I750" t="n">
        <v>200</v>
      </c>
      <c r="J750" t="inlineStr">
        <is>
          <t>#N/A N/A</t>
        </is>
      </c>
      <c r="K750" t="inlineStr">
        <is>
          <t>#N/A N/A</t>
        </is>
      </c>
      <c r="L750" t="e">
        <v>#VALUE!</v>
      </c>
      <c r="M750" t="e">
        <v>#VALUE!</v>
      </c>
      <c r="N750" t="inlineStr">
        <is>
          <t>#N/A N/A</t>
        </is>
      </c>
      <c r="O750" t="n">
        <v>0.058089307</v>
      </c>
      <c r="P750" t="n">
        <v>25</v>
      </c>
      <c r="Q750" t="inlineStr">
        <is>
          <t>Utility holding company</t>
        </is>
      </c>
      <c r="R750" t="inlineStr">
        <is>
          <t>USD</t>
        </is>
      </c>
      <c r="S750" t="inlineStr">
        <is>
          <t>Latin America</t>
        </is>
      </c>
      <c r="T750" t="inlineStr">
        <is>
          <t>NR</t>
        </is>
      </c>
      <c r="U750" t="inlineStr">
        <is>
          <t>BB</t>
        </is>
      </c>
    </row>
    <row r="751">
      <c r="A751" t="inlineStr">
        <is>
          <t>DE000DB7XJP9</t>
        </is>
      </c>
      <c r="B751" t="inlineStr">
        <is>
          <t>Hold</t>
        </is>
      </c>
      <c r="C751" t="inlineStr">
        <is>
          <t>Deutsche Bank Ag</t>
        </is>
      </c>
      <c r="D751" t="n">
        <v>1.125</v>
      </c>
      <c r="E751" t="inlineStr">
        <is>
          <t>Sr Non Preferred</t>
        </is>
      </c>
      <c r="F751" t="inlineStr">
        <is>
          <t>17.03.2025</t>
        </is>
      </c>
      <c r="G751" t="inlineStr">
        <is>
          <t>Germany</t>
        </is>
      </c>
      <c r="H751" t="inlineStr">
        <is>
          <t>Financial</t>
        </is>
      </c>
      <c r="I751" t="n">
        <v>100</v>
      </c>
      <c r="J751" t="inlineStr">
        <is>
          <t>#N/A N/A</t>
        </is>
      </c>
      <c r="K751" t="inlineStr">
        <is>
          <t>#N/A N/A</t>
        </is>
      </c>
      <c r="L751" t="e">
        <v>#VALUE!</v>
      </c>
      <c r="M751" t="e">
        <v>#VALUE!</v>
      </c>
      <c r="N751" t="inlineStr">
        <is>
          <t>#N/A N/A</t>
        </is>
      </c>
      <c r="O751" t="n">
        <v>0.057446216</v>
      </c>
      <c r="P751" t="n">
        <v>80</v>
      </c>
      <c r="Q751" t="inlineStr">
        <is>
          <t>Germany's largest universal bank</t>
        </is>
      </c>
      <c r="R751" t="inlineStr">
        <is>
          <t>EUR</t>
        </is>
      </c>
      <c r="S751" t="inlineStr">
        <is>
          <t>Investment Grade</t>
        </is>
      </c>
      <c r="T751" t="inlineStr">
        <is>
          <t>NR</t>
        </is>
      </c>
      <c r="U751" t="inlineStr">
        <is>
          <t>BBB+</t>
        </is>
      </c>
    </row>
    <row r="752">
      <c r="A752" t="inlineStr">
        <is>
          <t>XS1959498244</t>
        </is>
      </c>
      <c r="B752" t="inlineStr">
        <is>
          <t xml:space="preserve">Hold </t>
        </is>
      </c>
      <c r="C752" t="inlineStr">
        <is>
          <t>Ford Motor Credit Co Llc</t>
        </is>
      </c>
      <c r="D752" t="n">
        <v>4.535</v>
      </c>
      <c r="E752" t="inlineStr">
        <is>
          <t>Sr Unsecured</t>
        </is>
      </c>
      <c r="F752" t="inlineStr">
        <is>
          <t>06.03.2025</t>
        </is>
      </c>
      <c r="G752" t="inlineStr">
        <is>
          <t>United states</t>
        </is>
      </c>
      <c r="H752" t="inlineStr">
        <is>
          <t>Consumer, Cyclical</t>
        </is>
      </c>
      <c r="I752" t="n">
        <v>100</v>
      </c>
      <c r="J752" t="inlineStr">
        <is>
          <t>#N/A N/A</t>
        </is>
      </c>
      <c r="K752" t="inlineStr">
        <is>
          <t>#N/A N/A</t>
        </is>
      </c>
      <c r="L752" t="e">
        <v>#VALUE!</v>
      </c>
      <c r="M752" t="e">
        <v>#VALUE!</v>
      </c>
      <c r="N752" t="inlineStr">
        <is>
          <t>#N/A N/A</t>
        </is>
      </c>
      <c r="O752" t="n">
        <v>0.02736889</v>
      </c>
      <c r="P752" t="n">
        <v>20</v>
      </c>
      <c r="Q752" t="inlineStr">
        <is>
          <t>Global automotive manufacturer</t>
        </is>
      </c>
      <c r="R752" t="inlineStr">
        <is>
          <t>GBP</t>
        </is>
      </c>
      <c r="S752" t="inlineStr">
        <is>
          <t>Investment Grade</t>
        </is>
      </c>
      <c r="T752" t="inlineStr">
        <is>
          <t>NR</t>
        </is>
      </c>
      <c r="U752" t="inlineStr">
        <is>
          <t>BB+</t>
        </is>
      </c>
    </row>
    <row r="753">
      <c r="A753" t="inlineStr">
        <is>
          <t>XS1813724603</t>
        </is>
      </c>
      <c r="B753" t="inlineStr">
        <is>
          <t>Hold</t>
        </is>
      </c>
      <c r="C753" t="inlineStr">
        <is>
          <t>Teva Pharm Fnc Nl Ii</t>
        </is>
      </c>
      <c r="D753" t="n">
        <v>4.5</v>
      </c>
      <c r="E753" t="inlineStr">
        <is>
          <t>Sr Unsecured</t>
        </is>
      </c>
      <c r="F753" t="inlineStr">
        <is>
          <t>01.03.2025</t>
        </is>
      </c>
      <c r="G753" t="inlineStr">
        <is>
          <t>Israel</t>
        </is>
      </c>
      <c r="H753" t="inlineStr">
        <is>
          <t>Consumer, Non-cyclical</t>
        </is>
      </c>
      <c r="I753" t="n">
        <v>100</v>
      </c>
      <c r="J753" t="inlineStr">
        <is>
          <t>#N/A N/A</t>
        </is>
      </c>
      <c r="K753" t="inlineStr">
        <is>
          <t>#N/A N/A</t>
        </is>
      </c>
      <c r="L753" t="e">
        <v>#VALUE!</v>
      </c>
      <c r="M753" t="e">
        <v>#VALUE!</v>
      </c>
      <c r="N753" t="inlineStr">
        <is>
          <t>#N/A N/A</t>
        </is>
      </c>
      <c r="O753" t="n">
        <v>0.019480101</v>
      </c>
      <c r="P753" t="n">
        <v>25</v>
      </c>
      <c r="Q753" t="inlineStr">
        <is>
          <t>Largest manufacturer of pharmaceutical generics</t>
        </is>
      </c>
      <c r="R753" t="inlineStr">
        <is>
          <t>EUR</t>
        </is>
      </c>
      <c r="S753" t="inlineStr">
        <is>
          <t>High Yield</t>
        </is>
      </c>
      <c r="T753" t="inlineStr">
        <is>
          <t>NR</t>
        </is>
      </c>
      <c r="U753" t="inlineStr">
        <is>
          <t>BB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U87"/>
  <sheetViews>
    <sheetView workbookViewId="0">
      <selection activeCell="A87" sqref="A87:XFD87"/>
    </sheetView>
  </sheetViews>
  <sheetFormatPr baseColWidth="8" defaultRowHeight="14.4"/>
  <cols>
    <col width="21.21875" bestFit="1" customWidth="1" min="2" max="2"/>
    <col width="32.21875" bestFit="1" customWidth="1" min="3" max="3"/>
    <col width="7.5546875" bestFit="1" customWidth="1" min="4" max="4"/>
    <col width="11.21875" bestFit="1" customWidth="1" min="5" max="5"/>
    <col width="19.21875" bestFit="1" customWidth="1" min="6" max="6"/>
    <col width="15.77734375" customWidth="1" min="7" max="7"/>
    <col width="18.44140625" bestFit="1" customWidth="1" min="8" max="8"/>
    <col width="28.77734375" bestFit="1" customWidth="1" min="9" max="9"/>
    <col width="8.77734375" customWidth="1" min="10" max="10"/>
    <col width="21.77734375" customWidth="1" min="11" max="11"/>
    <col width="8.77734375" customWidth="1" min="12" max="14"/>
    <col width="86.77734375" customWidth="1" min="16" max="16"/>
    <col width="15.5546875" bestFit="1" customWidth="1" min="18" max="18"/>
    <col width="20.44140625" customWidth="1" min="24" max="24"/>
    <col width="20" customWidth="1" min="25" max="26"/>
    <col width="20" bestFit="1" customWidth="1" min="27" max="27"/>
    <col width="23.21875" bestFit="1" customWidth="1" min="28" max="28"/>
    <col width="20" bestFit="1" customWidth="1" min="29" max="32"/>
    <col width="20" bestFit="1" customWidth="1" min="34" max="34"/>
    <col width="20" bestFit="1" customWidth="1" min="36" max="42"/>
    <col width="2.77734375" bestFit="1" customWidth="1" min="43" max="43"/>
    <col width="20" bestFit="1" customWidth="1" min="45" max="45"/>
    <col width="3.44140625" bestFit="1" customWidth="1" min="46" max="46"/>
    <col width="20" bestFit="1" customWidth="1" min="47" max="47"/>
  </cols>
  <sheetData>
    <row r="1">
      <c r="A1" t="n">
        <v>87</v>
      </c>
      <c r="B1" t="n">
        <v>16384</v>
      </c>
    </row>
    <row r="87" ht="19.2" customFormat="1" customHeight="1" s="2">
      <c r="A87" s="22" t="n"/>
      <c r="B87" s="16" t="n"/>
      <c r="C87" s="12" t="n"/>
      <c r="D87" s="13" t="n"/>
      <c r="E87" s="96" t="n"/>
      <c r="F87" s="96" t="n"/>
      <c r="G87" s="96" t="n"/>
      <c r="H87" s="96" t="n"/>
      <c r="I87" s="13" t="n"/>
      <c r="J87" s="15" t="n"/>
      <c r="K87" s="13" t="n"/>
      <c r="L87" s="13" t="n"/>
      <c r="M87" s="13" t="n"/>
      <c r="N87" s="13" t="n"/>
      <c r="O87" s="15" t="n"/>
      <c r="P87" s="16" t="n"/>
      <c r="Q87" s="1" t="n"/>
      <c r="X87" s="97" t="n"/>
      <c r="Y87" s="97" t="n"/>
      <c r="Z87" s="97" t="n"/>
      <c r="AA87" s="98" t="n"/>
      <c r="AB87" s="98" t="n"/>
      <c r="AC87" s="98" t="n"/>
      <c r="AD87" s="98" t="n"/>
      <c r="AE87" s="18" t="n"/>
      <c r="AF87" s="18" t="n"/>
      <c r="AG87" s="19" t="n"/>
      <c r="AH87" s="18" t="n"/>
      <c r="AI87" s="20" t="n"/>
      <c r="AJ87" s="18" t="n"/>
      <c r="AK87" s="20" t="n"/>
      <c r="AL87" s="18" t="n"/>
      <c r="AM87" s="20" t="n"/>
      <c r="AN87" s="18" t="n"/>
      <c r="AO87" s="20" t="n"/>
      <c r="AP87" s="20" t="n"/>
      <c r="AQ87" s="20" t="n"/>
      <c r="AR87" s="20" t="n"/>
      <c r="AS87" s="20" t="n"/>
      <c r="AT87" s="21" t="n"/>
      <c r="AU87" s="20" t="n"/>
    </row>
  </sheetData>
  <conditionalFormatting sqref="Q87">
    <cfRule type="cellIs" priority="7" operator="equal" dxfId="1">
      <formula>"CALLED"</formula>
    </cfRule>
    <cfRule type="cellIs" priority="5" operator="equal" dxfId="1">
      <formula>"CALLED"</formula>
    </cfRule>
    <cfRule type="cellIs" priority="6" operator="equal" dxfId="0">
      <formula>"CALLED"</formula>
    </cfRule>
    <cfRule type="dataBar" priority="4">
      <dataBar>
        <cfvo type="min"/>
        <cfvo type="max"/>
        <color rgb="FF638EC6"/>
      </dataBar>
    </cfRule>
    <cfRule type="cellIs" priority="3" operator="equal" dxfId="1">
      <formula>"CALLED"</formula>
    </cfRule>
    <cfRule type="cellIs" priority="1" operator="equal" dxfId="1">
      <formula>"CALLED"</formula>
    </cfRule>
    <cfRule type="cellIs" priority="2" operator="equal" dxfId="0">
      <formula>"CALLED"</formula>
    </cfRule>
  </conditionalFormatting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AU87"/>
  <sheetViews>
    <sheetView workbookViewId="0">
      <selection activeCell="A87" sqref="A87:XFD87"/>
    </sheetView>
  </sheetViews>
  <sheetFormatPr baseColWidth="8" defaultRowHeight="14.4"/>
  <cols>
    <col width="21.21875" bestFit="1" customWidth="1" min="2" max="2"/>
    <col width="32.21875" bestFit="1" customWidth="1" min="3" max="3"/>
    <col width="7.5546875" bestFit="1" customWidth="1" min="4" max="4"/>
    <col width="11.21875" bestFit="1" customWidth="1" min="5" max="5"/>
    <col width="19.21875" bestFit="1" customWidth="1" min="6" max="6"/>
    <col width="15.77734375" customWidth="1" min="7" max="7"/>
    <col width="18.44140625" bestFit="1" customWidth="1" min="8" max="8"/>
    <col width="28.77734375" bestFit="1" customWidth="1" min="9" max="9"/>
    <col width="8.77734375" customWidth="1" min="10" max="10"/>
    <col width="21.77734375" customWidth="1" min="11" max="11"/>
    <col width="8.77734375" customWidth="1" min="12" max="14"/>
    <col width="9.21875" customWidth="1" min="15" max="15"/>
    <col width="86.77734375" customWidth="1" min="16" max="16"/>
    <col width="15.5546875" bestFit="1" customWidth="1" min="18" max="18"/>
    <col width="20.44140625" customWidth="1" min="24" max="24"/>
    <col width="20" customWidth="1" min="25" max="26"/>
    <col width="20" bestFit="1" customWidth="1" min="27" max="27"/>
    <col width="23.21875" bestFit="1" customWidth="1" min="28" max="28"/>
    <col width="20" bestFit="1" customWidth="1" min="29" max="32"/>
    <col width="20" bestFit="1" customWidth="1" min="34" max="34"/>
    <col width="20" bestFit="1" customWidth="1" min="36" max="42"/>
    <col width="2.77734375" bestFit="1" customWidth="1" min="43" max="43"/>
    <col width="20" bestFit="1" customWidth="1" min="45" max="45"/>
    <col width="3.44140625" bestFit="1" customWidth="1" min="46" max="46"/>
    <col width="20" bestFit="1" customWidth="1" min="47" max="47"/>
  </cols>
  <sheetData>
    <row r="1">
      <c r="A1" t="n">
        <v>87</v>
      </c>
      <c r="B1" t="n">
        <v>16384</v>
      </c>
    </row>
    <row r="7" ht="17.4" customHeight="1">
      <c r="B7" s="3" t="n"/>
    </row>
    <row r="20" ht="21.6" customHeight="1">
      <c r="B20" s="8" t="n"/>
      <c r="C20" s="5" t="n"/>
      <c r="D20" s="99" t="n"/>
      <c r="E20" s="99" t="n"/>
      <c r="F20" s="99" t="n"/>
      <c r="G20" s="99" t="n"/>
      <c r="H20" s="5" t="n"/>
      <c r="I20" s="7" t="n"/>
      <c r="J20" s="5" t="n"/>
      <c r="K20" s="5" t="n"/>
      <c r="L20" s="5" t="n"/>
      <c r="M20" s="5" t="n"/>
      <c r="N20" s="7" t="n"/>
      <c r="O20" s="8" t="n"/>
    </row>
    <row r="87" ht="19.2" customFormat="1" customHeight="1" s="2">
      <c r="A87" s="22" t="n"/>
      <c r="B87" s="16" t="n"/>
      <c r="C87" s="12" t="n"/>
      <c r="D87" s="13" t="n"/>
      <c r="E87" s="96" t="n"/>
      <c r="F87" s="96" t="n"/>
      <c r="G87" s="96" t="n"/>
      <c r="H87" s="96" t="n"/>
      <c r="I87" s="13" t="n"/>
      <c r="J87" s="15" t="n"/>
      <c r="K87" s="13" t="n"/>
      <c r="L87" s="13" t="n"/>
      <c r="M87" s="13" t="n"/>
      <c r="N87" s="13" t="n"/>
      <c r="O87" s="15" t="n"/>
      <c r="P87" s="16" t="n"/>
      <c r="Q87" s="1" t="n"/>
      <c r="X87" s="97" t="n"/>
      <c r="Y87" s="97" t="n"/>
      <c r="Z87" s="97" t="n"/>
      <c r="AA87" s="98" t="n"/>
      <c r="AB87" s="98" t="n"/>
      <c r="AC87" s="98" t="n"/>
      <c r="AD87" s="98" t="n"/>
      <c r="AE87" s="18" t="n"/>
      <c r="AF87" s="18" t="n"/>
      <c r="AG87" s="19" t="n"/>
      <c r="AH87" s="18" t="n"/>
      <c r="AI87" s="20" t="n"/>
      <c r="AJ87" s="18" t="n"/>
      <c r="AK87" s="20" t="n"/>
      <c r="AL87" s="18" t="n"/>
      <c r="AM87" s="20" t="n"/>
      <c r="AN87" s="18" t="n"/>
      <c r="AO87" s="20" t="n"/>
      <c r="AP87" s="20" t="n"/>
      <c r="AQ87" s="20" t="n"/>
      <c r="AR87" s="20" t="n"/>
      <c r="AS87" s="20" t="n"/>
      <c r="AT87" s="21" t="n"/>
      <c r="AU87" s="20" t="n"/>
    </row>
  </sheetData>
  <conditionalFormatting sqref="Q87">
    <cfRule type="cellIs" priority="7" operator="equal" dxfId="1">
      <formula>"CALLED"</formula>
    </cfRule>
    <cfRule type="cellIs" priority="5" operator="equal" dxfId="1">
      <formula>"CALLED"</formula>
    </cfRule>
    <cfRule type="cellIs" priority="6" operator="equal" dxfId="0">
      <formula>"CALLED"</formula>
    </cfRule>
    <cfRule type="dataBar" priority="4">
      <dataBar>
        <cfvo type="min"/>
        <cfvo type="max"/>
        <color rgb="FF638EC6"/>
      </dataBar>
    </cfRule>
    <cfRule type="cellIs" priority="3" operator="equal" dxfId="1">
      <formula>"CALLED"</formula>
    </cfRule>
    <cfRule type="cellIs" priority="1" operator="equal" dxfId="1">
      <formula>"CALLED"</formula>
    </cfRule>
    <cfRule type="cellIs" priority="2" operator="equal" dxfId="0">
      <formula>"CALLED"</formula>
    </cfRule>
  </conditionalFormatting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>
    <tabColor rgb="FFFFC000"/>
    <outlinePr summaryBelow="1" summaryRight="1"/>
    <pageSetUpPr/>
  </sheetPr>
  <dimension ref="A1:B39"/>
  <sheetViews>
    <sheetView workbookViewId="0">
      <selection activeCell="A1" sqref="A1"/>
    </sheetView>
  </sheetViews>
  <sheetFormatPr baseColWidth="8" defaultRowHeight="15"/>
  <cols>
    <col width="26" customWidth="1" min="1" max="1"/>
    <col width="118" customWidth="1" min="2" max="2"/>
  </cols>
  <sheetData>
    <row r="1">
      <c r="A1" s="107" t="inlineStr">
        <is>
          <t>SYZ Bond Monitor - spread variation since 14.07.2026</t>
        </is>
      </c>
      <c r="B1" s="108" t="inlineStr"/>
    </row>
    <row r="2">
      <c r="A2" s="109" t="inlineStr"/>
      <c r="B2" s="110" t="inlineStr"/>
    </row>
    <row r="3">
      <c r="A3" s="111" t="inlineStr">
        <is>
          <t>WHAT WAS ADDED</t>
        </is>
      </c>
      <c r="B3" s="108" t="inlineStr"/>
    </row>
    <row r="4">
      <c r="A4" s="109" t="inlineStr">
        <is>
          <t>Company_desc!D1</t>
        </is>
      </c>
      <c r="B4" s="110" t="inlineStr">
        <is>
          <t>Fixed anchor date = 14.07.2026 (blue/yellow = the only cell to edit). A1 and A2 stay dynamic: TODAY()-7 and TODAY()-30.</t>
        </is>
      </c>
    </row>
    <row r="5">
      <c r="A5" s="109" t="inlineStr">
        <is>
          <t>Formulas!Y</t>
        </is>
      </c>
      <c r="B5" s="110" t="inlineStr">
        <is>
          <t>Spread change since 14.07.2026  =  N - BDP(ISIN,"YAS_OAS_SPRD","SETTLE_DT",Company_desc!$D$1)</t>
        </is>
      </c>
    </row>
    <row r="6">
      <c r="A6" s="109" t="inlineStr">
        <is>
          <t>Formulas!Z</t>
        </is>
      </c>
      <c r="B6" s="110" t="inlineStr">
        <is>
          <t>YTW change since 14.07.2026  =  K - BDP(ISIN,"YAS_BOND_YLD","YAS_YLD_FLAG=15","SETTLE_DT",Company_desc!$D$1)</t>
        </is>
      </c>
    </row>
    <row r="7">
      <c r="A7" s="109" t="inlineStr">
        <is>
          <t>Formulas!AA</t>
        </is>
      </c>
      <c r="B7" s="110" t="inlineStr">
        <is>
          <t>Spread level on 14.07.2026  =  BDP(ISIN,"YAS_OAS_SPRD","SETTLE_DT",Company_desc!$D$1)</t>
        </is>
      </c>
    </row>
    <row r="8">
      <c r="A8" s="109" t="inlineStr">
        <is>
          <t>Formulas!B:U</t>
        </is>
      </c>
      <c r="B8" s="110" t="inlineStr">
        <is>
          <t>Descriptive columns are now live Bloomberg / lookup formulas instead of being blank (see the field list below). Every formula is guarded with IF($A="","",...) so unused rows stay empty. Rows 2:769 are pre-filled - paste ISINs in column A only.</t>
        </is>
      </c>
    </row>
    <row r="9">
      <c r="A9" s="109" t="inlineStr">
        <is>
          <t>New sheet</t>
        </is>
      </c>
      <c r="B9" s="110" t="inlineStr">
        <is>
          <t>Spread - since 14.07.2026 - WORST 10 / TOP 10 per currency, ranked on the "since" spread change.</t>
        </is>
      </c>
    </row>
    <row r="10">
      <c r="A10" s="109" t="inlineStr">
        <is>
          <t>New VBA module</t>
        </is>
      </c>
      <c r="B10" s="110" t="inlineStr">
        <is>
          <t>SPREAD_SINCE.bas - import it (see below). It is purely additive: no existing macro is modified.</t>
        </is>
      </c>
    </row>
    <row r="11">
      <c r="A11" s="109" t="inlineStr"/>
      <c r="B11" s="110" t="inlineStr"/>
    </row>
    <row r="12">
      <c r="A12" s="111" t="inlineStr">
        <is>
          <t>BLOOMBERG FIELDS USED FOR THE DESCRIPTIVE COLUMNS</t>
        </is>
      </c>
      <c r="B12" s="108" t="inlineStr"/>
    </row>
    <row r="13">
      <c r="A13" s="109" t="inlineStr">
        <is>
          <t>C  Company</t>
        </is>
      </c>
      <c r="B13" s="110" t="inlineStr">
        <is>
          <t>PROPER(BDP(ISIN &amp; " Corp","NAME"))</t>
        </is>
      </c>
    </row>
    <row r="14">
      <c r="A14" s="109" t="inlineStr">
        <is>
          <t>D  Coupon</t>
        </is>
      </c>
      <c r="B14" s="110" t="inlineStr">
        <is>
          <t>BDP("CPN")</t>
        </is>
      </c>
    </row>
    <row r="15">
      <c r="A15" s="109" t="inlineStr">
        <is>
          <t>E  Structure</t>
        </is>
      </c>
      <c r="B15" s="110" t="inlineStr">
        <is>
          <t>BDP("PAYMENT_RANK")</t>
        </is>
      </c>
    </row>
    <row r="16">
      <c r="A16" s="109" t="inlineStr">
        <is>
          <t>F  Maturity</t>
        </is>
      </c>
      <c r="B16" s="110" t="inlineStr">
        <is>
          <t>BDP("MATURITY")</t>
        </is>
      </c>
    </row>
    <row r="17">
      <c r="A17" s="109" t="inlineStr">
        <is>
          <t>G  Country</t>
        </is>
      </c>
      <c r="B17" s="110" t="inlineStr">
        <is>
          <t>PROPER(BDP("COUNTRY_FULL_NAME"))</t>
        </is>
      </c>
    </row>
    <row r="18">
      <c r="A18" s="109" t="inlineStr">
        <is>
          <t>H  Sector</t>
        </is>
      </c>
      <c r="B18" s="110" t="inlineStr">
        <is>
          <t>BDP("INDUSTRY_SECTOR")</t>
        </is>
      </c>
    </row>
    <row r="19">
      <c r="A19" s="109" t="inlineStr">
        <is>
          <t>I  Den. (k)</t>
        </is>
      </c>
      <c r="B19" s="110" t="inlineStr">
        <is>
          <t>BDP("MIN_PIECE")/1000</t>
        </is>
      </c>
    </row>
    <row r="20">
      <c r="A20" s="109" t="inlineStr">
        <is>
          <t>J  Price</t>
        </is>
      </c>
      <c r="B20" s="110" t="inlineStr">
        <is>
          <t>BDP("PX_LAST")</t>
        </is>
      </c>
    </row>
    <row r="21">
      <c r="A21" s="109" t="inlineStr">
        <is>
          <t>K  YTW</t>
        </is>
      </c>
      <c r="B21" s="110" t="inlineStr">
        <is>
          <t>BDP("YAS_BOND_YLD","YAS_YLD_FLAG=15")</t>
        </is>
      </c>
    </row>
    <row r="22">
      <c r="A22" s="109" t="inlineStr">
        <is>
          <t>N  Spread</t>
        </is>
      </c>
      <c r="B22" s="110" t="inlineStr">
        <is>
          <t>BDP("YAS_OAS_SPRD")</t>
        </is>
      </c>
    </row>
    <row r="23">
      <c r="A23" s="109" t="inlineStr">
        <is>
          <t>O  Dur.</t>
        </is>
      </c>
      <c r="B23" s="110" t="inlineStr">
        <is>
          <t>BDP("YAS_MOD_DUR")</t>
        </is>
      </c>
    </row>
    <row r="24">
      <c r="A24" s="109" t="inlineStr">
        <is>
          <t>R  Currency</t>
        </is>
      </c>
      <c r="B24" s="110" t="inlineStr">
        <is>
          <t>BDP("CRNCY")</t>
        </is>
      </c>
    </row>
    <row r="25">
      <c r="A25" s="109" t="inlineStr">
        <is>
          <t>Q  Company Description</t>
        </is>
      </c>
      <c r="B25" s="110" t="inlineStr">
        <is>
          <t>INDEX/MATCH on Company_desc!A:C, falling back to Sheet1!Q (the description library, not a Bloomberg field).</t>
        </is>
      </c>
    </row>
    <row r="26">
      <c r="A26" s="109" t="inlineStr">
        <is>
          <t>B / P / S / U</t>
        </is>
      </c>
      <c r="B26" s="110" t="inlineStr">
        <is>
          <t>List, Ind LV., Bond Classification, Tax Group are SYZ-internal fields: INDEX/MATCH on Sheet1 by ISIN.</t>
        </is>
      </c>
    </row>
    <row r="27">
      <c r="A27" s="109" t="inlineStr">
        <is>
          <t>T  rating</t>
        </is>
      </c>
      <c r="B27" s="110" t="inlineStr">
        <is>
          <t>INDEX/MATCH on Sheet1!T, falling back to BDP("RTG_SP") for ISINs not yet in Sheet1.</t>
        </is>
      </c>
    </row>
    <row r="28">
      <c r="A28" s="109" t="inlineStr"/>
      <c r="B28" s="110" t="inlineStr"/>
    </row>
    <row r="29">
      <c r="A29" s="111" t="inlineStr">
        <is>
          <t>HOW TO IMPORT THE MACRO (one-off, ~30 seconds)</t>
        </is>
      </c>
      <c r="B29" s="108" t="inlineStr"/>
    </row>
    <row r="30">
      <c r="A30" s="109" t="inlineStr">
        <is>
          <t>1</t>
        </is>
      </c>
      <c r="B30" s="110" t="inlineStr">
        <is>
          <t>Open the workbook, press Alt+F11 (VBA editor).</t>
        </is>
      </c>
    </row>
    <row r="31">
      <c r="A31" s="109" t="inlineStr">
        <is>
          <t>2</t>
        </is>
      </c>
      <c r="B31" s="110" t="inlineStr">
        <is>
          <t>File &gt; Import File... and pick SPREAD_SINCE.bas.</t>
        </is>
      </c>
    </row>
    <row r="32">
      <c r="A32" s="109" t="inlineStr">
        <is>
          <t>3</t>
        </is>
      </c>
      <c r="B32" s="110" t="inlineStr">
        <is>
          <t>Close the editor and save the workbook as .xlsm.</t>
        </is>
      </c>
    </row>
    <row r="33">
      <c r="A33" s="109" t="inlineStr">
        <is>
          <t>4</t>
        </is>
      </c>
      <c r="B33" s="110" t="inlineStr">
        <is>
          <t>Run RM_VERSION_WITH_SINCE (Alt+F8) - it refreshes Bonds_list_hard from Formulas (now 27 columns), then rebuilds SpreadRanking, Spread - 1 week, Spread - 1 month and Spread - since 14.07.2026.</t>
        </is>
      </c>
    </row>
    <row r="34">
      <c r="A34" s="109" t="inlineStr"/>
      <c r="B34" s="110" t="inlineStr"/>
    </row>
    <row r="35">
      <c r="A35" s="111" t="inlineStr">
        <is>
          <t>NOTES / ASSUMPTIONS</t>
        </is>
      </c>
      <c r="B35" s="108" t="inlineStr"/>
    </row>
    <row r="36">
      <c r="A36" s="109" t="inlineStr">
        <is>
          <t>Header text</t>
        </is>
      </c>
      <c r="B36" s="110" t="inlineStr">
        <is>
          <t>Formulas!Y1:AA1 spell out 14.07.2026 as static text (Excel table headers cannot hold formulas). If you change Company_desc!D1, update those three headers too.</t>
        </is>
      </c>
    </row>
    <row r="37">
      <c r="A37" s="109" t="inlineStr">
        <is>
          <t>Column count</t>
        </is>
      </c>
      <c r="B37" s="110" t="inlineStr">
        <is>
          <t>The original ActualiserDonneesBons copies columns A:X only. ActualiserDonneesBonsFull in the new module copies A:AA, so Y/Z/AA reach Bonds_list_hard.</t>
        </is>
      </c>
    </row>
    <row r="38">
      <c r="A38" s="109" t="inlineStr">
        <is>
          <t>Side effect</t>
        </is>
      </c>
      <c r="B38" s="110" t="inlineStr">
        <is>
          <t>MacroSPREADWEEK / MacroSPREADMONTH already append "column 25 to last column", so the 1-week and 1-month tables now carry the three "since" columns as extra context. No change was needed there.</t>
        </is>
      </c>
    </row>
    <row r="39">
      <c r="A39" s="109" t="inlineStr">
        <is>
          <t>Recalculation</t>
        </is>
      </c>
      <c r="B39" s="110" t="inlineStr">
        <is>
          <t>This file was NOT recalculated offline: every value comes from the Bloomberg add-in (_xll.BDP), which only resolves on a terminal-connected machine. Open it with the add-in loaded and let Excel calculate.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365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112" t="inlineStr">
        <is>
          <t>Source of SPREAD_SINCE.bas - kept here as a backup. Preferred route: Alt+F11 &gt; File &gt; Import File... &gt; SPREAD_SINCE.bas. Otherwise Insert &gt; Module and paste rows 3+ below.</t>
        </is>
      </c>
    </row>
    <row r="3">
      <c r="A3" s="113" t="inlineStr">
        <is>
          <t>Attribute VB_Name = "SPREAD_SINCE"</t>
        </is>
      </c>
    </row>
    <row r="4">
      <c r="A4" s="113" t="inlineStr">
        <is>
          <t>Option Explicit</t>
        </is>
      </c>
    </row>
    <row r="5">
      <c r="A5" s="113" t="inlineStr"/>
    </row>
    <row r="6">
      <c r="A6" s="113" t="inlineStr">
        <is>
          <t>'==================================================================================</t>
        </is>
      </c>
    </row>
    <row r="7">
      <c r="A7" s="113" t="inlineStr">
        <is>
          <t>' SPREAD_SINCE - spread variation of every bond since a fixed anchor date</t>
        </is>
      </c>
    </row>
    <row r="8">
      <c r="A8" s="113" t="inlineStr">
        <is>
          <t>'</t>
        </is>
      </c>
    </row>
    <row r="9">
      <c r="A9" s="113" t="inlineStr">
        <is>
          <t>' Anchor date lives in Company_desc!D1 (currently 14.07.2026). The Formulas sheet</t>
        </is>
      </c>
    </row>
    <row r="10">
      <c r="A10" s="113" t="inlineStr">
        <is>
          <t>' carries three extra Bloomberg columns driven by that cell:</t>
        </is>
      </c>
    </row>
    <row r="11">
      <c r="A11" s="113" t="inlineStr">
        <is>
          <t>'     Y  (25) Spread change since &lt;anchor&gt;   = N - BDP(...,"YAS_OAS_SPRD","SETTLE_DT",D1)</t>
        </is>
      </c>
    </row>
    <row r="12">
      <c r="A12" s="113" t="inlineStr">
        <is>
          <t>'     Z  (26) YTW change since &lt;anchor&gt;      = K - BDP(...,"YAS_BOND_YLD",...,"SETTLE_DT",D1)</t>
        </is>
      </c>
    </row>
    <row r="13">
      <c r="A13" s="113" t="inlineStr">
        <is>
          <t>'     AA (27) Spread level on &lt;anchor&gt;       =     BDP(...,"YAS_OAS_SPRD","SETTLE_DT",D1)</t>
        </is>
      </c>
    </row>
    <row r="14">
      <c r="A14" s="113" t="inlineStr">
        <is>
          <t>'</t>
        </is>
      </c>
    </row>
    <row r="15">
      <c r="A15" s="113" t="inlineStr">
        <is>
          <t>' This module is purely additive - it does not modify any existing procedure.</t>
        </is>
      </c>
    </row>
    <row r="16">
      <c r="A16" s="113" t="inlineStr">
        <is>
          <t>' Entry point: RM_VERSION_WITH_SINCE</t>
        </is>
      </c>
    </row>
    <row r="17">
      <c r="A17" s="113" t="inlineStr">
        <is>
          <t>'==================================================================================</t>
        </is>
      </c>
    </row>
    <row r="18">
      <c r="A18" s="113" t="inlineStr"/>
    </row>
    <row r="19">
      <c r="A19" s="113" t="inlineStr">
        <is>
          <t>Public Const SINCE_SHEET   As String = "Spread - since 14.07.2026"</t>
        </is>
      </c>
    </row>
    <row r="20">
      <c r="A20" s="113" t="inlineStr">
        <is>
          <t>Public Const SINCE_SRC_COL As Long = 25          ' Formulas/Bonds_list_hard column Y</t>
        </is>
      </c>
    </row>
    <row r="21">
      <c r="A21" s="113" t="inlineStr">
        <is>
          <t>Public Const LAST_DATA_COL As Long = 27          ' column AA</t>
        </is>
      </c>
    </row>
    <row r="22">
      <c r="A22" s="113" t="inlineStr"/>
    </row>
    <row r="23">
      <c r="A23" s="113" t="inlineStr">
        <is>
          <t>'----------------------------------------------------------------------------------</t>
        </is>
      </c>
    </row>
    <row r="24">
      <c r="A24" s="113" t="inlineStr">
        <is>
          <t>' Master routine - same flow as RM_VERSION_SIMPLIFIED plus the "since" table</t>
        </is>
      </c>
    </row>
    <row r="25">
      <c r="A25" s="113" t="inlineStr">
        <is>
          <t>'----------------------------------------------------------------------------------</t>
        </is>
      </c>
    </row>
    <row r="26">
      <c r="A26" s="113" t="inlineStr">
        <is>
          <t>Sub RM_VERSION_WITH_SINCE()</t>
        </is>
      </c>
    </row>
    <row r="27">
      <c r="A27" s="113" t="inlineStr">
        <is>
          <t xml:space="preserve">    Dim answer As VbMsgBoxResult</t>
        </is>
      </c>
    </row>
    <row r="28">
      <c r="A28" s="113" t="inlineStr"/>
    </row>
    <row r="29">
      <c r="A29" s="113" t="inlineStr">
        <is>
          <t xml:space="preserve">    answer = MsgBox("This will refresh Bonds_list_hard from Formulas (columns A:AA) " &amp; _</t>
        </is>
      </c>
    </row>
    <row r="30">
      <c r="A30" s="113" t="inlineStr">
        <is>
          <t xml:space="preserve">                    "and rebuild every ranking sheet, including """ &amp; SINCE_SHEET &amp; """." &amp; vbCrLf &amp; vbCrLf &amp; _</t>
        </is>
      </c>
    </row>
    <row r="31">
      <c r="A31" s="113" t="inlineStr">
        <is>
          <t xml:space="preserve">                    "Make sure the Bloomberg add-in is connected and the Formulas sheet has finished " &amp; _</t>
        </is>
      </c>
    </row>
    <row r="32">
      <c r="A32" s="113" t="inlineStr">
        <is>
          <t xml:space="preserve">                    "calculating before continuing." &amp; vbCrLf &amp; vbCrLf &amp; "Continue?", _</t>
        </is>
      </c>
    </row>
    <row r="33">
      <c r="A33" s="113" t="inlineStr">
        <is>
          <t xml:space="preserve">                    vbYesNo + vbExclamation, "Warning")</t>
        </is>
      </c>
    </row>
    <row r="34">
      <c r="A34" s="113" t="inlineStr">
        <is>
          <t xml:space="preserve">    If answer = vbNo Then Exit Sub</t>
        </is>
      </c>
    </row>
    <row r="35">
      <c r="A35" s="113" t="inlineStr"/>
    </row>
    <row r="36">
      <c r="A36" s="113" t="inlineStr">
        <is>
          <t xml:space="preserve">    Call ActualiserDonneesBonsFull(False)</t>
        </is>
      </c>
    </row>
    <row r="37">
      <c r="A37" s="113" t="inlineStr"/>
    </row>
    <row r="38">
      <c r="A38" s="113" t="inlineStr">
        <is>
          <t xml:space="preserve">    With ThisWorkbook.Sheets("Bonds_list_hard")</t>
        </is>
      </c>
    </row>
    <row r="39">
      <c r="A39" s="113" t="inlineStr">
        <is>
          <t xml:space="preserve">        .Columns("K").NumberFormat = "0.00"</t>
        </is>
      </c>
    </row>
    <row r="40">
      <c r="A40" s="113" t="inlineStr">
        <is>
          <t xml:space="preserve">        .Columns("L").NumberFormat = "0.00"</t>
        </is>
      </c>
    </row>
    <row r="41">
      <c r="A41" s="113" t="inlineStr">
        <is>
          <t xml:space="preserve">        .Columns("M").NumberFormat = "0.00"</t>
        </is>
      </c>
    </row>
    <row r="42">
      <c r="A42" s="113" t="inlineStr">
        <is>
          <t xml:space="preserve">        .Columns("N").NumberFormat = "0"</t>
        </is>
      </c>
    </row>
    <row r="43">
      <c r="A43" s="113" t="inlineStr">
        <is>
          <t xml:space="preserve">        .Columns("W").NumberFormat = "0"</t>
        </is>
      </c>
    </row>
    <row r="44">
      <c r="A44" s="113" t="inlineStr">
        <is>
          <t xml:space="preserve">        .Columns("X").NumberFormat = "0"</t>
        </is>
      </c>
    </row>
    <row r="45">
      <c r="A45" s="113" t="inlineStr">
        <is>
          <t xml:space="preserve">        .Columns("Y").NumberFormat = "0"</t>
        </is>
      </c>
    </row>
    <row r="46">
      <c r="A46" s="113" t="inlineStr">
        <is>
          <t xml:space="preserve">        .Columns("Z").NumberFormat = "0.00"</t>
        </is>
      </c>
    </row>
    <row r="47">
      <c r="A47" s="113" t="inlineStr">
        <is>
          <t xml:space="preserve">        .Columns("AA").NumberFormat = "0"</t>
        </is>
      </c>
    </row>
    <row r="48">
      <c r="A48" s="113" t="inlineStr">
        <is>
          <t xml:space="preserve">    End With</t>
        </is>
      </c>
    </row>
    <row r="49">
      <c r="A49" s="113" t="inlineStr"/>
    </row>
    <row r="50">
      <c r="A50" s="113" t="inlineStr">
        <is>
          <t xml:space="preserve">    Call Grouping                       ' SPREAD module</t>
        </is>
      </c>
    </row>
    <row r="51">
      <c r="A51" s="113" t="inlineStr">
        <is>
          <t xml:space="preserve">    Call PROCESSTABLEADVANCED           ' SPREAD module</t>
        </is>
      </c>
    </row>
    <row r="52">
      <c r="A52" s="113" t="inlineStr">
        <is>
          <t xml:space="preserve">    Call TOC                            ' SPREAD module</t>
        </is>
      </c>
    </row>
    <row r="53">
      <c r="A53" s="113" t="inlineStr">
        <is>
          <t xml:space="preserve">    Call AddSinceNavLink                ' adds the 4th link under "Ranking Sheets"</t>
        </is>
      </c>
    </row>
    <row r="54">
      <c r="A54" s="113" t="inlineStr">
        <is>
          <t xml:space="preserve">    Call MacroSPREADWEEK                ' SPREAD module</t>
        </is>
      </c>
    </row>
    <row r="55">
      <c r="A55" s="113" t="inlineStr">
        <is>
          <t xml:space="preserve">    Call MacroSPREADMONTH               ' SPREAD module</t>
        </is>
      </c>
    </row>
    <row r="56">
      <c r="A56" s="113" t="inlineStr">
        <is>
          <t xml:space="preserve">    Call MacroSPREADSINCE               ' this module</t>
        </is>
      </c>
    </row>
    <row r="57">
      <c r="A57" s="113" t="inlineStr"/>
    </row>
    <row r="58">
      <c r="A58" s="113" t="inlineStr">
        <is>
          <t xml:space="preserve">    MsgBox "!Done! The macro has finished running.", vbInformation, "Completed"</t>
        </is>
      </c>
    </row>
    <row r="59">
      <c r="A59" s="113" t="inlineStr">
        <is>
          <t>End Sub</t>
        </is>
      </c>
    </row>
    <row r="60">
      <c r="A60" s="113" t="inlineStr"/>
    </row>
    <row r="61">
      <c r="A61" s="113" t="inlineStr">
        <is>
          <t>'----------------------------------------------------------------------------------</t>
        </is>
      </c>
    </row>
    <row r="62">
      <c r="A62" s="113" t="inlineStr">
        <is>
          <t>' Same as ActualiserDonneesBons but copies A:AA instead of A:X</t>
        </is>
      </c>
    </row>
    <row r="63">
      <c r="A63" s="113" t="inlineStr">
        <is>
          <t>'----------------------------------------------------------------------------------</t>
        </is>
      </c>
    </row>
    <row r="64">
      <c r="A64" s="113" t="inlineStr">
        <is>
          <t>Sub ActualiserDonneesBonsFull(Optional ByVal showMessage As Boolean = True)</t>
        </is>
      </c>
    </row>
    <row r="65">
      <c r="A65" s="113" t="inlineStr">
        <is>
          <t xml:space="preserve">    Dim wsSource As Worksheet</t>
        </is>
      </c>
    </row>
    <row r="66">
      <c r="A66" s="113" t="inlineStr">
        <is>
          <t xml:space="preserve">    Dim wsTarget As Worksheet</t>
        </is>
      </c>
    </row>
    <row r="67">
      <c r="A67" s="113" t="inlineStr">
        <is>
          <t xml:space="preserve">    Dim tblRange As Range</t>
        </is>
      </c>
    </row>
    <row r="68">
      <c r="A68" s="113" t="inlineStr">
        <is>
          <t xml:space="preserve">    Dim tbl      As ListObject</t>
        </is>
      </c>
    </row>
    <row r="69">
      <c r="A69" s="113" t="inlineStr">
        <is>
          <t xml:space="preserve">    Dim lastRow  As Long</t>
        </is>
      </c>
    </row>
    <row r="70">
      <c r="A70" s="113" t="inlineStr"/>
    </row>
    <row r="71">
      <c r="A71" s="113" t="inlineStr">
        <is>
          <t xml:space="preserve">    Set wsSource = ThisWorkbook.Sheets("Formulas")</t>
        </is>
      </c>
    </row>
    <row r="72">
      <c r="A72" s="113" t="inlineStr">
        <is>
          <t xml:space="preserve">    Set wsTarget = ThisWorkbook.Sheets("Bonds_list_hard")</t>
        </is>
      </c>
    </row>
    <row r="73">
      <c r="A73" s="113" t="inlineStr"/>
    </row>
    <row r="74">
      <c r="A74" s="113" t="inlineStr">
        <is>
          <t xml:space="preserve">    On Error Resume Next</t>
        </is>
      </c>
    </row>
    <row r="75">
      <c r="A75" s="113" t="inlineStr">
        <is>
          <t xml:space="preserve">    For Each tbl In wsTarget.ListObjects</t>
        </is>
      </c>
    </row>
    <row r="76">
      <c r="A76" s="113" t="inlineStr">
        <is>
          <t xml:space="preserve">        tbl.Delete</t>
        </is>
      </c>
    </row>
    <row r="77">
      <c r="A77" s="113" t="inlineStr">
        <is>
          <t xml:space="preserve">    Next tbl</t>
        </is>
      </c>
    </row>
    <row r="78">
      <c r="A78" s="113" t="inlineStr">
        <is>
          <t xml:space="preserve">    On Error GoTo 0</t>
        </is>
      </c>
    </row>
    <row r="79">
      <c r="A79" s="113" t="inlineStr">
        <is>
          <t xml:space="preserve">    wsTarget.Cells.Clear</t>
        </is>
      </c>
    </row>
    <row r="80">
      <c r="A80" s="113" t="inlineStr"/>
    </row>
    <row r="81">
      <c r="A81" s="113" t="inlineStr">
        <is>
          <t xml:space="preserve">    lastRow = wsSource.Cells(wsSource.Rows.Count, "A").End(xlUp).Row</t>
        </is>
      </c>
    </row>
    <row r="82">
      <c r="A82" s="113" t="inlineStr">
        <is>
          <t xml:space="preserve">    If lastRow &lt; 2 Then</t>
        </is>
      </c>
    </row>
    <row r="83">
      <c r="A83" s="113" t="inlineStr">
        <is>
          <t xml:space="preserve">        MsgBox "Aucune donnee trouvee dans la feuille Formulas.", vbExclamation</t>
        </is>
      </c>
    </row>
    <row r="84">
      <c r="A84" s="113" t="inlineStr">
        <is>
          <t xml:space="preserve">        Exit Sub</t>
        </is>
      </c>
    </row>
    <row r="85">
      <c r="A85" s="113" t="inlineStr">
        <is>
          <t xml:space="preserve">    End If</t>
        </is>
      </c>
    </row>
    <row r="86">
      <c r="A86" s="113" t="inlineStr"/>
    </row>
    <row r="87">
      <c r="A87" s="113" t="inlineStr">
        <is>
          <t xml:space="preserve">    Set tblRange = wsTarget.Range("A1").Resize(lastRow, LAST_DATA_COL)</t>
        </is>
      </c>
    </row>
    <row r="88">
      <c r="A88" s="113" t="inlineStr">
        <is>
          <t xml:space="preserve">    tblRange.Value = wsSource.Range("A1").Resize(lastRow, LAST_DATA_COL).Value</t>
        </is>
      </c>
    </row>
    <row r="89">
      <c r="A89" s="113" t="inlineStr"/>
    </row>
    <row r="90">
      <c r="A90" s="113" t="inlineStr">
        <is>
          <t xml:space="preserve">    Set tbl = wsTarget.ListObjects.Add(xlSrcRange, tblRange, , xlYes)</t>
        </is>
      </c>
    </row>
    <row r="91">
      <c r="A91" s="113" t="inlineStr">
        <is>
          <t xml:space="preserve">    With tbl</t>
        </is>
      </c>
    </row>
    <row r="92">
      <c r="A92" s="113" t="inlineStr">
        <is>
          <t xml:space="preserve">        .Name = "Tableau_Bonds_Final"</t>
        </is>
      </c>
    </row>
    <row r="93">
      <c r="A93" s="113" t="inlineStr">
        <is>
          <t xml:space="preserve">        .TableStyle = "TableStyleMedium2"</t>
        </is>
      </c>
    </row>
    <row r="94">
      <c r="A94" s="113" t="inlineStr">
        <is>
          <t xml:space="preserve">    End With</t>
        </is>
      </c>
    </row>
    <row r="95">
      <c r="A95" s="113" t="inlineStr"/>
    </row>
    <row r="96">
      <c r="A96" s="113" t="inlineStr">
        <is>
          <t xml:space="preserve">    If showMessage Then MsgBox "Mise a jour terminee avec succes !", vbInformation</t>
        </is>
      </c>
    </row>
    <row r="97">
      <c r="A97" s="113" t="inlineStr">
        <is>
          <t>End Sub</t>
        </is>
      </c>
    </row>
    <row r="98">
      <c r="A98" s="113" t="inlineStr"/>
    </row>
    <row r="99">
      <c r="A99" s="113" t="inlineStr">
        <is>
          <t>'----------------------------------------------------------------------------------</t>
        </is>
      </c>
    </row>
    <row r="100">
      <c r="A100" s="113" t="inlineStr">
        <is>
          <t>' WORST 10 / TOP 10 spread movers since the anchor date, one pair per currency</t>
        </is>
      </c>
    </row>
    <row r="101">
      <c r="A101" s="113" t="inlineStr">
        <is>
          <t>'----------------------------------------------------------------------------------</t>
        </is>
      </c>
    </row>
    <row r="102">
      <c r="A102" s="113" t="inlineStr">
        <is>
          <t>Sub MacroSPREADSINCE()</t>
        </is>
      </c>
    </row>
    <row r="103">
      <c r="A103" s="113" t="inlineStr">
        <is>
          <t xml:space="preserve">    Dim wsSource      As Worksheet</t>
        </is>
      </c>
    </row>
    <row r="104">
      <c r="A104" s="113" t="inlineStr">
        <is>
          <t xml:space="preserve">    Dim wsDest        As Worksheet</t>
        </is>
      </c>
    </row>
    <row r="105">
      <c r="A105" s="113" t="inlineStr">
        <is>
          <t xml:space="preserve">    Dim lastRow       As Long</t>
        </is>
      </c>
    </row>
    <row r="106">
      <c r="A106" s="113" t="inlineStr">
        <is>
          <t xml:space="preserve">    Dim lastCol       As Long</t>
        </is>
      </c>
    </row>
    <row r="107">
      <c r="A107" s="113" t="inlineStr">
        <is>
          <t xml:space="preserve">    Dim i             As Long</t>
        </is>
      </c>
    </row>
    <row r="108">
      <c r="A108" s="113" t="inlineStr">
        <is>
          <t xml:space="preserve">    Dim j             As Long</t>
        </is>
      </c>
    </row>
    <row r="109">
      <c r="A109" s="113" t="inlineStr">
        <is>
          <t xml:space="preserve">    Dim k             As Long</t>
        </is>
      </c>
    </row>
    <row r="110">
      <c r="A110" s="113" t="inlineStr">
        <is>
          <t xml:space="preserve">    Dim dict          As Object</t>
        </is>
      </c>
    </row>
    <row r="111">
      <c r="A111" s="113" t="inlineStr">
        <is>
          <t xml:space="preserve">    Dim col           As Collection</t>
        </is>
      </c>
    </row>
    <row r="112">
      <c r="A112" s="113" t="inlineStr">
        <is>
          <t xml:space="preserve">    Dim arr           As Variant</t>
        </is>
      </c>
    </row>
    <row r="113">
      <c r="A113" s="113" t="inlineStr">
        <is>
          <t xml:space="preserve">    Dim arrWidening   As Variant</t>
        </is>
      </c>
    </row>
    <row r="114">
      <c r="A114" s="113" t="inlineStr">
        <is>
          <t xml:space="preserve">    Dim arrTightening As Variant</t>
        </is>
      </c>
    </row>
    <row r="115">
      <c r="A115" s="113" t="inlineStr">
        <is>
          <t xml:space="preserve">    Dim wideCount     As Long</t>
        </is>
      </c>
    </row>
    <row r="116">
      <c r="A116" s="113" t="inlineStr">
        <is>
          <t xml:space="preserve">    Dim tightCount    As Long</t>
        </is>
      </c>
    </row>
    <row r="117">
      <c r="A117" s="113" t="inlineStr">
        <is>
          <t xml:space="preserve">    Dim destRow       As Long</t>
        </is>
      </c>
    </row>
    <row r="118">
      <c r="A118" s="113" t="inlineStr">
        <is>
          <t xml:space="preserve">    Dim tableStartRow As Long</t>
        </is>
      </c>
    </row>
    <row r="119">
      <c r="A119" s="113" t="inlineStr">
        <is>
          <t xml:space="preserve">    Dim lo            As ListObject</t>
        </is>
      </c>
    </row>
    <row r="120">
      <c r="A120" s="113" t="inlineStr">
        <is>
          <t xml:space="preserve">    Dim tableName     As String</t>
        </is>
      </c>
    </row>
    <row r="121">
      <c r="A121" s="113" t="inlineStr">
        <is>
          <t xml:space="preserve">    Dim suffix        As Integer</t>
        </is>
      </c>
    </row>
    <row r="122">
      <c r="A122" s="113" t="inlineStr">
        <is>
          <t xml:space="preserve">    Dim tblRange      As Range</t>
        </is>
      </c>
    </row>
    <row r="123">
      <c r="A123" s="113" t="inlineStr">
        <is>
          <t xml:space="preserve">    Dim colOrder()    As Long</t>
        </is>
      </c>
    </row>
    <row r="124">
      <c r="A124" s="113" t="inlineStr">
        <is>
          <t xml:space="preserve">    Dim idx           As Long</t>
        </is>
      </c>
    </row>
    <row r="125">
      <c r="A125" s="113" t="inlineStr">
        <is>
          <t xml:space="preserve">    Dim sortPos       As Long</t>
        </is>
      </c>
    </row>
    <row r="126">
      <c r="A126" s="113" t="inlineStr">
        <is>
          <t xml:space="preserve">    Dim a             As Long</t>
        </is>
      </c>
    </row>
    <row r="127">
      <c r="A127" s="113" t="inlineStr">
        <is>
          <t xml:space="preserve">    Dim b             As Long</t>
        </is>
      </c>
    </row>
    <row r="128">
      <c r="A128" s="113" t="inlineStr">
        <is>
          <t xml:space="preserve">    Dim temp          As Variant</t>
        </is>
      </c>
    </row>
    <row r="129">
      <c r="A129" s="113" t="inlineStr">
        <is>
          <t xml:space="preserve">    Dim validRows     As Collection</t>
        </is>
      </c>
    </row>
    <row r="130">
      <c r="A130" s="113" t="inlineStr">
        <is>
          <t xml:space="preserve">    Dim ki            As Long</t>
        </is>
      </c>
    </row>
    <row r="131">
      <c r="A131" s="113" t="inlineStr">
        <is>
          <t xml:space="preserve">    Dim currKey       As String</t>
        </is>
      </c>
    </row>
    <row r="132">
      <c r="A132" s="113" t="inlineStr">
        <is>
          <t xml:space="preserve">    Dim anchorTxt     As String</t>
        </is>
      </c>
    </row>
    <row r="133">
      <c r="A133" s="113" t="inlineStr"/>
    </row>
    <row r="134">
      <c r="A134" s="113" t="inlineStr">
        <is>
          <t xml:space="preserve">    Dim orderedKeys(1 To 4) As String</t>
        </is>
      </c>
    </row>
    <row r="135">
      <c r="A135" s="113" t="inlineStr">
        <is>
          <t xml:space="preserve">    orderedKeys(1) = "USD"</t>
        </is>
      </c>
    </row>
    <row r="136">
      <c r="A136" s="113" t="inlineStr">
        <is>
          <t xml:space="preserve">    orderedKeys(2) = "EUR"</t>
        </is>
      </c>
    </row>
    <row r="137">
      <c r="A137" s="113" t="inlineStr">
        <is>
          <t xml:space="preserve">    orderedKeys(3) = "GBP"</t>
        </is>
      </c>
    </row>
    <row r="138">
      <c r="A138" s="113" t="inlineStr">
        <is>
          <t xml:space="preserve">    orderedKeys(4) = "CHF"</t>
        </is>
      </c>
    </row>
    <row r="139">
      <c r="A139" s="113" t="inlineStr"/>
    </row>
    <row r="140">
      <c r="A140" s="113" t="inlineStr">
        <is>
          <t xml:space="preserve">    Application.ScreenUpdating = False</t>
        </is>
      </c>
    </row>
    <row r="141">
      <c r="A141" s="113" t="inlineStr">
        <is>
          <t xml:space="preserve">    Application.Calculation = xlCalculationManual</t>
        </is>
      </c>
    </row>
    <row r="142">
      <c r="A142" s="113" t="inlineStr">
        <is>
          <t xml:space="preserve">    Application.EnableEvents = False</t>
        </is>
      </c>
    </row>
    <row r="143">
      <c r="A143" s="113" t="inlineStr"/>
    </row>
    <row r="144">
      <c r="A144" s="113" t="inlineStr">
        <is>
          <t xml:space="preserve">    Set wsSource = ThisWorkbook.Sheets("Bonds_list_hard")</t>
        </is>
      </c>
    </row>
    <row r="145">
      <c r="A145" s="113" t="inlineStr"/>
    </row>
    <row r="146">
      <c r="A146" s="113" t="inlineStr">
        <is>
          <t xml:space="preserve">    anchorTxt = "the anchor date"</t>
        </is>
      </c>
    </row>
    <row r="147">
      <c r="A147" s="113" t="inlineStr">
        <is>
          <t xml:space="preserve">    On Error Resume Next</t>
        </is>
      </c>
    </row>
    <row r="148">
      <c r="A148" s="113" t="inlineStr">
        <is>
          <t xml:space="preserve">    anchorTxt = Format(ThisWorkbook.Sheets("Company_desc").Range("D1").Value, "dd.mm.yyyy")</t>
        </is>
      </c>
    </row>
    <row r="149">
      <c r="A149" s="113" t="inlineStr">
        <is>
          <t xml:space="preserve">    On Error GoTo 0</t>
        </is>
      </c>
    </row>
    <row r="150">
      <c r="A150" s="113" t="inlineStr"/>
    </row>
    <row r="151">
      <c r="A151" s="113" t="inlineStr">
        <is>
          <t xml:space="preserve">    On Error Resume Next</t>
        </is>
      </c>
    </row>
    <row r="152">
      <c r="A152" s="113" t="inlineStr">
        <is>
          <t xml:space="preserve">    Set wsDest = ThisWorkbook.Sheets(SINCE_SHEET)</t>
        </is>
      </c>
    </row>
    <row r="153">
      <c r="A153" s="113" t="inlineStr">
        <is>
          <t xml:space="preserve">    On Error GoTo 0</t>
        </is>
      </c>
    </row>
    <row r="154">
      <c r="A154" s="113" t="inlineStr">
        <is>
          <t xml:space="preserve">    If wsDest Is Nothing Then</t>
        </is>
      </c>
    </row>
    <row r="155">
      <c r="A155" s="113" t="inlineStr">
        <is>
          <t xml:space="preserve">        Set wsDest = ThisWorkbook.Sheets.Add(After:=ThisWorkbook.Sheets(ThisWorkbook.Sheets.Count))</t>
        </is>
      </c>
    </row>
    <row r="156">
      <c r="A156" s="113" t="inlineStr">
        <is>
          <t xml:space="preserve">        wsDest.Name = SINCE_SHEET</t>
        </is>
      </c>
    </row>
    <row r="157">
      <c r="A157" s="113" t="inlineStr">
        <is>
          <t xml:space="preserve">    End If</t>
        </is>
      </c>
    </row>
    <row r="158">
      <c r="A158" s="113" t="inlineStr">
        <is>
          <t xml:space="preserve">    wsDest.Cells.Clear</t>
        </is>
      </c>
    </row>
    <row r="159">
      <c r="A159" s="113" t="inlineStr"/>
    </row>
    <row r="160">
      <c r="A160" s="113" t="inlineStr">
        <is>
          <t xml:space="preserve">    lastCol = wsSource.Cells(1, wsSource.Columns.Count).End(xlToLeft).Column</t>
        </is>
      </c>
    </row>
    <row r="161">
      <c r="A161" s="113" t="inlineStr">
        <is>
          <t xml:space="preserve">    If lastCol &lt; SINCE_SRC_COL Then</t>
        </is>
      </c>
    </row>
    <row r="162">
      <c r="A162" s="113" t="inlineStr">
        <is>
          <t xml:space="preserve">        MsgBox "Bonds_list_hard stops at column " &amp; lastCol &amp; ". Run ActualiserDonneesBonsFull first " &amp; _</t>
        </is>
      </c>
    </row>
    <row r="163">
      <c r="A163" s="113" t="inlineStr">
        <is>
          <t xml:space="preserve">               "so columns Y:AA are copied across.", vbExclamation</t>
        </is>
      </c>
    </row>
    <row r="164">
      <c r="A164" s="113" t="inlineStr">
        <is>
          <t xml:space="preserve">        GoTo CleanExit</t>
        </is>
      </c>
    </row>
    <row r="165">
      <c r="A165" s="113" t="inlineStr">
        <is>
          <t xml:space="preserve">    End If</t>
        </is>
      </c>
    </row>
    <row r="166">
      <c r="A166" s="113" t="inlineStr"/>
    </row>
    <row r="167">
      <c r="A167" s="113" t="inlineStr">
        <is>
          <t xml:space="preserve">    ' Same column selection as the 1-week / 1-month tables:</t>
        </is>
      </c>
    </row>
    <row r="168">
      <c r="A168" s="113" t="inlineStr">
        <is>
          <t xml:space="preserve">    ' 1-14 (identity + price/yield/spread), 18-20 (currency, classification, rating),</t>
        </is>
      </c>
    </row>
    <row r="169">
      <c r="A169" s="113" t="inlineStr">
        <is>
          <t xml:space="preserve">    ' 23-24 (1w / 1m spread change) and 25 onwards (the "since" columns).</t>
        </is>
      </c>
    </row>
    <row r="170">
      <c r="A170" s="113" t="inlineStr">
        <is>
          <t xml:space="preserve">    ReDim colOrder(1 To lastCol)</t>
        </is>
      </c>
    </row>
    <row r="171">
      <c r="A171" s="113" t="inlineStr">
        <is>
          <t xml:space="preserve">    idx = 1</t>
        </is>
      </c>
    </row>
    <row r="172">
      <c r="A172" s="113" t="inlineStr">
        <is>
          <t xml:space="preserve">    For k = 1 To 13:      colOrder(idx) = k: idx = idx + 1: Next k</t>
        </is>
      </c>
    </row>
    <row r="173">
      <c r="A173" s="113" t="inlineStr">
        <is>
          <t xml:space="preserve">    colOrder(idx) = 14:   idx = idx + 1</t>
        </is>
      </c>
    </row>
    <row r="174">
      <c r="A174" s="113" t="inlineStr">
        <is>
          <t xml:space="preserve">    For k = 18 To 20:     colOrder(idx) = k: idx = idx + 1: Next k</t>
        </is>
      </c>
    </row>
    <row r="175">
      <c r="A175" s="113" t="inlineStr">
        <is>
          <t xml:space="preserve">    colOrder(idx) = 23:   idx = idx + 1</t>
        </is>
      </c>
    </row>
    <row r="176">
      <c r="A176" s="113" t="inlineStr">
        <is>
          <t xml:space="preserve">    colOrder(idx) = 24:   idx = idx + 1</t>
        </is>
      </c>
    </row>
    <row r="177">
      <c r="A177" s="113" t="inlineStr">
        <is>
          <t xml:space="preserve">    For k = 25 To lastCol: colOrder(idx) = k: idx = idx + 1: Next k</t>
        </is>
      </c>
    </row>
    <row r="178">
      <c r="A178" s="113" t="inlineStr">
        <is>
          <t xml:space="preserve">    ReDim Preserve colOrder(1 To idx - 1)</t>
        </is>
      </c>
    </row>
    <row r="179">
      <c r="A179" s="113" t="inlineStr"/>
    </row>
    <row r="180">
      <c r="A180" s="113" t="inlineStr">
        <is>
          <t xml:space="preserve">    sortPos = 0</t>
        </is>
      </c>
    </row>
    <row r="181">
      <c r="A181" s="113" t="inlineStr">
        <is>
          <t xml:space="preserve">    For k = 1 To UBound(colOrder)</t>
        </is>
      </c>
    </row>
    <row r="182">
      <c r="A182" s="113" t="inlineStr">
        <is>
          <t xml:space="preserve">        If colOrder(k) = SINCE_SRC_COL Then</t>
        </is>
      </c>
    </row>
    <row r="183">
      <c r="A183" s="113" t="inlineStr">
        <is>
          <t xml:space="preserve">            sortPos = k</t>
        </is>
      </c>
    </row>
    <row r="184">
      <c r="A184" s="113" t="inlineStr">
        <is>
          <t xml:space="preserve">            Exit For</t>
        </is>
      </c>
    </row>
    <row r="185">
      <c r="A185" s="113" t="inlineStr">
        <is>
          <t xml:space="preserve">        End If</t>
        </is>
      </c>
    </row>
    <row r="186">
      <c r="A186" s="113" t="inlineStr">
        <is>
          <t xml:space="preserve">    Next k</t>
        </is>
      </c>
    </row>
    <row r="187">
      <c r="A187" s="113" t="inlineStr">
        <is>
          <t xml:space="preserve">    If sortPos = 0 Then</t>
        </is>
      </c>
    </row>
    <row r="188">
      <c r="A188" s="113" t="inlineStr">
        <is>
          <t xml:space="preserve">        MsgBox "Column " &amp; SINCE_SRC_COL &amp; " is not part of the output layout.", vbExclamation</t>
        </is>
      </c>
    </row>
    <row r="189">
      <c r="A189" s="113" t="inlineStr">
        <is>
          <t xml:space="preserve">        GoTo CleanExit</t>
        </is>
      </c>
    </row>
    <row r="190">
      <c r="A190" s="113" t="inlineStr">
        <is>
          <t xml:space="preserve">    End If</t>
        </is>
      </c>
    </row>
    <row r="191">
      <c r="A191" s="113" t="inlineStr"/>
    </row>
    <row r="192">
      <c r="A192" s="113" t="inlineStr">
        <is>
          <t xml:space="preserve">    Set dict = CreateObject("Scripting.Dictionary")</t>
        </is>
      </c>
    </row>
    <row r="193">
      <c r="A193" s="113" t="inlineStr">
        <is>
          <t xml:space="preserve">    lastRow = wsSource.Cells(wsSource.Rows.Count, SINCE_SRC_COL).End(xlUp).Row</t>
        </is>
      </c>
    </row>
    <row r="194">
      <c r="A194" s="113" t="inlineStr"/>
    </row>
    <row r="195">
      <c r="A195" s="113" t="inlineStr">
        <is>
          <t xml:space="preserve">    For i = 2 To lastRow</t>
        </is>
      </c>
    </row>
    <row r="196">
      <c r="A196" s="113" t="inlineStr">
        <is>
          <t xml:space="preserve">        currKey = SafeTrim(wsSource.Cells(i, "R").Value)</t>
        </is>
      </c>
    </row>
    <row r="197">
      <c r="A197" s="113" t="inlineStr">
        <is>
          <t xml:space="preserve">        If currKey &lt;&gt; "" Then</t>
        </is>
      </c>
    </row>
    <row r="198">
      <c r="A198" s="113" t="inlineStr">
        <is>
          <t xml:space="preserve">            If Not dict.Exists(currKey) Then Set dict(currKey) = New Collection</t>
        </is>
      </c>
    </row>
    <row r="199">
      <c r="A199" s="113" t="inlineStr">
        <is>
          <t xml:space="preserve">            dict(currKey).Add i</t>
        </is>
      </c>
    </row>
    <row r="200">
      <c r="A200" s="113" t="inlineStr">
        <is>
          <t xml:space="preserve">        End If</t>
        </is>
      </c>
    </row>
    <row r="201">
      <c r="A201" s="113" t="inlineStr">
        <is>
          <t xml:space="preserve">    Next i</t>
        </is>
      </c>
    </row>
    <row r="202">
      <c r="A202" s="113" t="inlineStr"/>
    </row>
    <row r="203">
      <c r="A203" s="113" t="inlineStr">
        <is>
          <t xml:space="preserve">    destRow = 1</t>
        </is>
      </c>
    </row>
    <row r="204">
      <c r="A204" s="113" t="inlineStr"/>
    </row>
    <row r="205">
      <c r="A205" s="113" t="inlineStr">
        <is>
          <t xml:space="preserve">    For ki = 1 To 4</t>
        </is>
      </c>
    </row>
    <row r="206">
      <c r="A206" s="113" t="inlineStr">
        <is>
          <t xml:space="preserve">        currKey = orderedKeys(ki)</t>
        </is>
      </c>
    </row>
    <row r="207">
      <c r="A207" s="113" t="inlineStr">
        <is>
          <t xml:space="preserve">        If dict.Exists(currKey) Then</t>
        </is>
      </c>
    </row>
    <row r="208">
      <c r="A208" s="113" t="inlineStr">
        <is>
          <t xml:space="preserve">            Set col = dict(currKey)</t>
        </is>
      </c>
    </row>
    <row r="209">
      <c r="A209" s="113" t="inlineStr">
        <is>
          <t xml:space="preserve">            ReDim arr(1 To col.Count, 1 To UBound(colOrder))</t>
        </is>
      </c>
    </row>
    <row r="210">
      <c r="A210" s="113" t="inlineStr">
        <is>
          <t xml:space="preserve">            For j = 1 To col.Count</t>
        </is>
      </c>
    </row>
    <row r="211">
      <c r="A211" s="113" t="inlineStr">
        <is>
          <t xml:space="preserve">                For k = 1 To UBound(colOrder)</t>
        </is>
      </c>
    </row>
    <row r="212">
      <c r="A212" s="113" t="inlineStr">
        <is>
          <t xml:space="preserve">                    arr(j, k) = wsSource.Cells(col(j), colOrder(k)).Value</t>
        </is>
      </c>
    </row>
    <row r="213">
      <c r="A213" s="113" t="inlineStr">
        <is>
          <t xml:space="preserve">                Next k</t>
        </is>
      </c>
    </row>
    <row r="214">
      <c r="A214" s="113" t="inlineStr">
        <is>
          <t xml:space="preserve">            Next j</t>
        </is>
      </c>
    </row>
    <row r="215">
      <c r="A215" s="113" t="inlineStr"/>
    </row>
    <row r="216">
      <c r="A216" s="113" t="inlineStr">
        <is>
          <t xml:space="preserve">            Set validRows = New Collection</t>
        </is>
      </c>
    </row>
    <row r="217">
      <c r="A217" s="113" t="inlineStr">
        <is>
          <t xml:space="preserve">            For j = 1 To UBound(arr, 1)</t>
        </is>
      </c>
    </row>
    <row r="218">
      <c r="A218" s="113" t="inlineStr">
        <is>
          <t xml:space="preserve">                If Not IsError(arr(j, sortPos)) Then</t>
        </is>
      </c>
    </row>
    <row r="219">
      <c r="A219" s="113" t="inlineStr">
        <is>
          <t xml:space="preserve">                    If IsNumeric(arr(j, sortPos)) And Not IsEmpty(arr(j, sortPos)) Then</t>
        </is>
      </c>
    </row>
    <row r="220">
      <c r="A220" s="113" t="inlineStr">
        <is>
          <t xml:space="preserve">                        If Trim(CStr(arr(j, sortPos))) &lt;&gt; "" Then validRows.Add j</t>
        </is>
      </c>
    </row>
    <row r="221">
      <c r="A221" s="113" t="inlineStr">
        <is>
          <t xml:space="preserve">                    End If</t>
        </is>
      </c>
    </row>
    <row r="222">
      <c r="A222" s="113" t="inlineStr">
        <is>
          <t xml:space="preserve">                End If</t>
        </is>
      </c>
    </row>
    <row r="223">
      <c r="A223" s="113" t="inlineStr">
        <is>
          <t xml:space="preserve">            Next j</t>
        </is>
      </c>
    </row>
    <row r="224">
      <c r="A224" s="113" t="inlineStr"/>
    </row>
    <row r="225">
      <c r="A225" s="113" t="inlineStr">
        <is>
          <t xml:space="preserve">            If validRows.Count &gt; 0 Then</t>
        </is>
      </c>
    </row>
    <row r="226">
      <c r="A226" s="113" t="inlineStr">
        <is>
          <t xml:space="preserve">                ReDim arrWidening(1 To validRows.Count, 1 To UBound(colOrder))</t>
        </is>
      </c>
    </row>
    <row r="227">
      <c r="A227" s="113" t="inlineStr">
        <is>
          <t xml:space="preserve">                ReDim arrTightening(1 To validRows.Count, 1 To UBound(colOrder))</t>
        </is>
      </c>
    </row>
    <row r="228">
      <c r="A228" s="113" t="inlineStr">
        <is>
          <t xml:space="preserve">                For j = 1 To validRows.Count</t>
        </is>
      </c>
    </row>
    <row r="229">
      <c r="A229" s="113" t="inlineStr">
        <is>
          <t xml:space="preserve">                    For k = 1 To UBound(colOrder)</t>
        </is>
      </c>
    </row>
    <row r="230">
      <c r="A230" s="113" t="inlineStr">
        <is>
          <t xml:space="preserve">                        arrWidening(j, k) = arr(validRows(j), k)</t>
        </is>
      </c>
    </row>
    <row r="231">
      <c r="A231" s="113" t="inlineStr">
        <is>
          <t xml:space="preserve">                        arrTightening(j, k) = arr(validRows(j), k)</t>
        </is>
      </c>
    </row>
    <row r="232">
      <c r="A232" s="113" t="inlineStr">
        <is>
          <t xml:space="preserve">                    Next k</t>
        </is>
      </c>
    </row>
    <row r="233">
      <c r="A233" s="113" t="inlineStr">
        <is>
          <t xml:space="preserve">                Next j</t>
        </is>
      </c>
    </row>
    <row r="234">
      <c r="A234" s="113" t="inlineStr"/>
    </row>
    <row r="235">
      <c r="A235" s="113" t="inlineStr">
        <is>
          <t xml:space="preserve">                ' Descending: biggest widening since the anchor date</t>
        </is>
      </c>
    </row>
    <row r="236">
      <c r="A236" s="113" t="inlineStr">
        <is>
          <t xml:space="preserve">                For a = 1 To UBound(arrWidening, 1) - 1</t>
        </is>
      </c>
    </row>
    <row r="237">
      <c r="A237" s="113" t="inlineStr">
        <is>
          <t xml:space="preserve">                    For b = a + 1 To UBound(arrWidening, 1)</t>
        </is>
      </c>
    </row>
    <row r="238">
      <c r="A238" s="113" t="inlineStr">
        <is>
          <t xml:space="preserve">                        If arrWidening(a, sortPos) &lt; arrWidening(b, sortPos) Then</t>
        </is>
      </c>
    </row>
    <row r="239">
      <c r="A239" s="113" t="inlineStr">
        <is>
          <t xml:space="preserve">                            For k = 1 To UBound(colOrder)</t>
        </is>
      </c>
    </row>
    <row r="240">
      <c r="A240" s="113" t="inlineStr">
        <is>
          <t xml:space="preserve">                                temp = arrWidening(a, k): arrWidening(a, k) = arrWidening(b, k): arrWidening(b, k) = temp</t>
        </is>
      </c>
    </row>
    <row r="241">
      <c r="A241" s="113" t="inlineStr">
        <is>
          <t xml:space="preserve">                            Next k</t>
        </is>
      </c>
    </row>
    <row r="242">
      <c r="A242" s="113" t="inlineStr">
        <is>
          <t xml:space="preserve">                        End If</t>
        </is>
      </c>
    </row>
    <row r="243">
      <c r="A243" s="113" t="inlineStr">
        <is>
          <t xml:space="preserve">                    Next b</t>
        </is>
      </c>
    </row>
    <row r="244">
      <c r="A244" s="113" t="inlineStr">
        <is>
          <t xml:space="preserve">                Next a</t>
        </is>
      </c>
    </row>
    <row r="245">
      <c r="A245" s="113" t="inlineStr"/>
    </row>
    <row r="246">
      <c r="A246" s="113" t="inlineStr">
        <is>
          <t xml:space="preserve">                ' Ascending: biggest tightening since the anchor date</t>
        </is>
      </c>
    </row>
    <row r="247">
      <c r="A247" s="113" t="inlineStr">
        <is>
          <t xml:space="preserve">                For a = 1 To UBound(arrTightening, 1) - 1</t>
        </is>
      </c>
    </row>
    <row r="248">
      <c r="A248" s="113" t="inlineStr">
        <is>
          <t xml:space="preserve">                    For b = a + 1 To UBound(arrTightening, 1)</t>
        </is>
      </c>
    </row>
    <row r="249">
      <c r="A249" s="113" t="inlineStr">
        <is>
          <t xml:space="preserve">                        If arrTightening(a, sortPos) &gt; arrTightening(b, sortPos) Then</t>
        </is>
      </c>
    </row>
    <row r="250">
      <c r="A250" s="113" t="inlineStr">
        <is>
          <t xml:space="preserve">                            For k = 1 To UBound(colOrder)</t>
        </is>
      </c>
    </row>
    <row r="251">
      <c r="A251" s="113" t="inlineStr">
        <is>
          <t xml:space="preserve">                                temp = arrTightening(a, k): arrTightening(a, k) = arrTightening(b, k): arrTightening(b, k) = temp</t>
        </is>
      </c>
    </row>
    <row r="252">
      <c r="A252" s="113" t="inlineStr">
        <is>
          <t xml:space="preserve">                            Next k</t>
        </is>
      </c>
    </row>
    <row r="253">
      <c r="A253" s="113" t="inlineStr">
        <is>
          <t xml:space="preserve">                        End If</t>
        </is>
      </c>
    </row>
    <row r="254">
      <c r="A254" s="113" t="inlineStr">
        <is>
          <t xml:space="preserve">                    Next b</t>
        </is>
      </c>
    </row>
    <row r="255">
      <c r="A255" s="113" t="inlineStr">
        <is>
          <t xml:space="preserve">                Next a</t>
        </is>
      </c>
    </row>
    <row r="256">
      <c r="A256" s="113" t="inlineStr"/>
    </row>
    <row r="257">
      <c r="A257" s="113" t="inlineStr">
        <is>
          <t xml:space="preserve">                wideCount = Application.WorksheetFunction.Min(10, UBound(arrWidening, 1))</t>
        </is>
      </c>
    </row>
    <row r="258">
      <c r="A258" s="113" t="inlineStr">
        <is>
          <t xml:space="preserve">                tightCount = Application.WorksheetFunction.Min(10, UBound(arrTightening, 1))</t>
        </is>
      </c>
    </row>
    <row r="259">
      <c r="A259" s="113" t="inlineStr"/>
    </row>
    <row r="260">
      <c r="A260" s="113" t="inlineStr">
        <is>
          <t xml:space="preserve">                ' ---- WORST 10 (widest spread move since the anchor date)</t>
        </is>
      </c>
    </row>
    <row r="261">
      <c r="A261" s="113" t="inlineStr">
        <is>
          <t xml:space="preserve">                tableStartRow = destRow</t>
        </is>
      </c>
    </row>
    <row r="262">
      <c r="A262" s="113" t="inlineStr">
        <is>
          <t xml:space="preserve">                wsDest.Cells(destRow, 1).Value = "Currency: " &amp; currKey &amp; " (WORST 10 since " &amp; anchorTxt &amp; ")"</t>
        </is>
      </c>
    </row>
    <row r="263">
      <c r="A263" s="113" t="inlineStr">
        <is>
          <t xml:space="preserve">                For k = 2 To UBound(colOrder)</t>
        </is>
      </c>
    </row>
    <row r="264">
      <c r="A264" s="113" t="inlineStr">
        <is>
          <t xml:space="preserve">                    wsDest.Cells(destRow, k).Value = wsSource.Cells(1, colOrder(k)).Value</t>
        </is>
      </c>
    </row>
    <row r="265">
      <c r="A265" s="113" t="inlineStr">
        <is>
          <t xml:space="preserve">                Next k</t>
        </is>
      </c>
    </row>
    <row r="266">
      <c r="A266" s="113" t="inlineStr">
        <is>
          <t xml:space="preserve">                destRow = destRow + 1</t>
        </is>
      </c>
    </row>
    <row r="267">
      <c r="A267" s="113" t="inlineStr">
        <is>
          <t xml:space="preserve">                For j = 1 To wideCount</t>
        </is>
      </c>
    </row>
    <row r="268">
      <c r="A268" s="113" t="inlineStr">
        <is>
          <t xml:space="preserve">                    For k = 1 To UBound(colOrder)</t>
        </is>
      </c>
    </row>
    <row r="269">
      <c r="A269" s="113" t="inlineStr">
        <is>
          <t xml:space="preserve">                        wsDest.Cells(destRow, k).Value = arrWidening(j, k)</t>
        </is>
      </c>
    </row>
    <row r="270">
      <c r="A270" s="113" t="inlineStr">
        <is>
          <t xml:space="preserve">                    Next k</t>
        </is>
      </c>
    </row>
    <row r="271">
      <c r="A271" s="113" t="inlineStr">
        <is>
          <t xml:space="preserve">                    destRow = destRow + 1</t>
        </is>
      </c>
    </row>
    <row r="272">
      <c r="A272" s="113" t="inlineStr">
        <is>
          <t xml:space="preserve">                Next j</t>
        </is>
      </c>
    </row>
    <row r="273">
      <c r="A273" s="113" t="inlineStr">
        <is>
          <t xml:space="preserve">                Set tblRange = wsDest.Range(wsDest.Cells(tableStartRow, 1), wsDest.Cells(destRow - 1, UBound(colOrder)))</t>
        </is>
      </c>
    </row>
    <row r="274">
      <c r="A274" s="113" t="inlineStr">
        <is>
          <t xml:space="preserve">                tableName = "tbl_SS_" &amp; currKey &amp; "_worst"</t>
        </is>
      </c>
    </row>
    <row r="275">
      <c r="A275" s="113" t="inlineStr">
        <is>
          <t xml:space="preserve">                suffix = 1</t>
        </is>
      </c>
    </row>
    <row r="276">
      <c r="A276" s="113" t="inlineStr">
        <is>
          <t xml:space="preserve">                Do While TableExists(wsDest, tableName)</t>
        </is>
      </c>
    </row>
    <row r="277">
      <c r="A277" s="113" t="inlineStr">
        <is>
          <t xml:space="preserve">                    tableName = "tbl_SS_" &amp; currKey &amp; "_worst_" &amp; suffix</t>
        </is>
      </c>
    </row>
    <row r="278">
      <c r="A278" s="113" t="inlineStr">
        <is>
          <t xml:space="preserve">                    suffix = suffix + 1</t>
        </is>
      </c>
    </row>
    <row r="279">
      <c r="A279" s="113" t="inlineStr">
        <is>
          <t xml:space="preserve">                Loop</t>
        </is>
      </c>
    </row>
    <row r="280">
      <c r="A280" s="113" t="inlineStr">
        <is>
          <t xml:space="preserve">                Set lo = wsDest.ListObjects.Add(xlSrcRange, tblRange, , xlYes)</t>
        </is>
      </c>
    </row>
    <row r="281">
      <c r="A281" s="113" t="inlineStr">
        <is>
          <t xml:space="preserve">                lo.Name = tableName</t>
        </is>
      </c>
    </row>
    <row r="282">
      <c r="A282" s="113" t="inlineStr">
        <is>
          <t xml:space="preserve">                lo.TableStyle = "TableStyleMedium2"</t>
        </is>
      </c>
    </row>
    <row r="283">
      <c r="A283" s="113" t="inlineStr">
        <is>
          <t xml:space="preserve">                lo.ListColumns(sortPos).Range.Font.Bold = True</t>
        </is>
      </c>
    </row>
    <row r="284">
      <c r="A284" s="113" t="inlineStr">
        <is>
          <t xml:space="preserve">                destRow = destRow + 1</t>
        </is>
      </c>
    </row>
    <row r="285">
      <c r="A285" s="113" t="inlineStr"/>
    </row>
    <row r="286">
      <c r="A286" s="113" t="inlineStr">
        <is>
          <t xml:space="preserve">                ' ---- TOP 10 (biggest tightening since the anchor date)</t>
        </is>
      </c>
    </row>
    <row r="287">
      <c r="A287" s="113" t="inlineStr">
        <is>
          <t xml:space="preserve">                tableStartRow = destRow</t>
        </is>
      </c>
    </row>
    <row r="288">
      <c r="A288" s="113" t="inlineStr">
        <is>
          <t xml:space="preserve">                wsDest.Cells(destRow, 1).Value = "Currency: " &amp; currKey &amp; " (TOP 10 since " &amp; anchorTxt &amp; ")"</t>
        </is>
      </c>
    </row>
    <row r="289">
      <c r="A289" s="113" t="inlineStr">
        <is>
          <t xml:space="preserve">                For k = 2 To UBound(colOrder)</t>
        </is>
      </c>
    </row>
    <row r="290">
      <c r="A290" s="113" t="inlineStr">
        <is>
          <t xml:space="preserve">                    wsDest.Cells(destRow, k).Value = wsSource.Cells(1, colOrder(k)).Value</t>
        </is>
      </c>
    </row>
    <row r="291">
      <c r="A291" s="113" t="inlineStr">
        <is>
          <t xml:space="preserve">                Next k</t>
        </is>
      </c>
    </row>
    <row r="292">
      <c r="A292" s="113" t="inlineStr">
        <is>
          <t xml:space="preserve">                destRow = destRow + 1</t>
        </is>
      </c>
    </row>
    <row r="293">
      <c r="A293" s="113" t="inlineStr">
        <is>
          <t xml:space="preserve">                For j = 1 To tightCount</t>
        </is>
      </c>
    </row>
    <row r="294">
      <c r="A294" s="113" t="inlineStr">
        <is>
          <t xml:space="preserve">                    For k = 1 To UBound(colOrder)</t>
        </is>
      </c>
    </row>
    <row r="295">
      <c r="A295" s="113" t="inlineStr">
        <is>
          <t xml:space="preserve">                        wsDest.Cells(destRow, k).Value = arrTightening(j, k)</t>
        </is>
      </c>
    </row>
    <row r="296">
      <c r="A296" s="113" t="inlineStr">
        <is>
          <t xml:space="preserve">                    Next k</t>
        </is>
      </c>
    </row>
    <row r="297">
      <c r="A297" s="113" t="inlineStr">
        <is>
          <t xml:space="preserve">                    destRow = destRow + 1</t>
        </is>
      </c>
    </row>
    <row r="298">
      <c r="A298" s="113" t="inlineStr">
        <is>
          <t xml:space="preserve">                Next j</t>
        </is>
      </c>
    </row>
    <row r="299">
      <c r="A299" s="113" t="inlineStr">
        <is>
          <t xml:space="preserve">                Set tblRange = wsDest.Range(wsDest.Cells(tableStartRow, 1), wsDest.Cells(destRow - 1, UBound(colOrder)))</t>
        </is>
      </c>
    </row>
    <row r="300">
      <c r="A300" s="113" t="inlineStr">
        <is>
          <t xml:space="preserve">                tableName = "tbl_SS_" &amp; currKey &amp; "_top"</t>
        </is>
      </c>
    </row>
    <row r="301">
      <c r="A301" s="113" t="inlineStr">
        <is>
          <t xml:space="preserve">                suffix = 1</t>
        </is>
      </c>
    </row>
    <row r="302">
      <c r="A302" s="113" t="inlineStr">
        <is>
          <t xml:space="preserve">                Do While TableExists(wsDest, tableName)</t>
        </is>
      </c>
    </row>
    <row r="303">
      <c r="A303" s="113" t="inlineStr">
        <is>
          <t xml:space="preserve">                    tableName = "tbl_SS_" &amp; currKey &amp; "_top_" &amp; suffix</t>
        </is>
      </c>
    </row>
    <row r="304">
      <c r="A304" s="113" t="inlineStr">
        <is>
          <t xml:space="preserve">                    suffix = suffix + 1</t>
        </is>
      </c>
    </row>
    <row r="305">
      <c r="A305" s="113" t="inlineStr">
        <is>
          <t xml:space="preserve">                Loop</t>
        </is>
      </c>
    </row>
    <row r="306">
      <c r="A306" s="113" t="inlineStr">
        <is>
          <t xml:space="preserve">                Set lo = wsDest.ListObjects.Add(xlSrcRange, tblRange, , xlYes)</t>
        </is>
      </c>
    </row>
    <row r="307">
      <c r="A307" s="113" t="inlineStr">
        <is>
          <t xml:space="preserve">                lo.Name = tableName</t>
        </is>
      </c>
    </row>
    <row r="308">
      <c r="A308" s="113" t="inlineStr">
        <is>
          <t xml:space="preserve">                lo.TableStyle = "TableStyleMedium2"</t>
        </is>
      </c>
    </row>
    <row r="309">
      <c r="A309" s="113" t="inlineStr">
        <is>
          <t xml:space="preserve">                lo.ListColumns(sortPos).Range.Font.Bold = True</t>
        </is>
      </c>
    </row>
    <row r="310">
      <c r="A310" s="113" t="inlineStr">
        <is>
          <t xml:space="preserve">                destRow = destRow + 2</t>
        </is>
      </c>
    </row>
    <row r="311">
      <c r="A311" s="113" t="inlineStr">
        <is>
          <t xml:space="preserve">            End If</t>
        </is>
      </c>
    </row>
    <row r="312">
      <c r="A312" s="113" t="inlineStr">
        <is>
          <t xml:space="preserve">        End If</t>
        </is>
      </c>
    </row>
    <row r="313">
      <c r="A313" s="113" t="inlineStr">
        <is>
          <t xml:space="preserve">    Next ki</t>
        </is>
      </c>
    </row>
    <row r="314">
      <c r="A314" s="113" t="inlineStr"/>
    </row>
    <row r="315">
      <c r="A315" s="113" t="inlineStr">
        <is>
          <t xml:space="preserve">    ' Output layout: 1-14 -&gt; A:N, 18-20 -&gt; O:Q, 23 -&gt; R, 24 -&gt; S, 25 -&gt; T, 26 -&gt; U, 27 -&gt; V</t>
        </is>
      </c>
    </row>
    <row r="316">
      <c r="A316" s="113" t="inlineStr">
        <is>
          <t xml:space="preserve">    wsDest.Columns("K").NumberFormat = "0.00"</t>
        </is>
      </c>
    </row>
    <row r="317">
      <c r="A317" s="113" t="inlineStr">
        <is>
          <t xml:space="preserve">    wsDest.Columns("L").NumberFormat = "0.00"</t>
        </is>
      </c>
    </row>
    <row r="318">
      <c r="A318" s="113" t="inlineStr">
        <is>
          <t xml:space="preserve">    wsDest.Columns("M").NumberFormat = "0.00"</t>
        </is>
      </c>
    </row>
    <row r="319">
      <c r="A319" s="113" t="inlineStr">
        <is>
          <t xml:space="preserve">    wsDest.Columns("N").NumberFormat = "0"</t>
        </is>
      </c>
    </row>
    <row r="320">
      <c r="A320" s="113" t="inlineStr">
        <is>
          <t xml:space="preserve">    wsDest.Columns("R").NumberFormat = "0"</t>
        </is>
      </c>
    </row>
    <row r="321">
      <c r="A321" s="113" t="inlineStr">
        <is>
          <t xml:space="preserve">    wsDest.Columns("S").NumberFormat = "0"</t>
        </is>
      </c>
    </row>
    <row r="322">
      <c r="A322" s="113" t="inlineStr">
        <is>
          <t xml:space="preserve">    wsDest.Columns("T").NumberFormat = "0"</t>
        </is>
      </c>
    </row>
    <row r="323">
      <c r="A323" s="113" t="inlineStr">
        <is>
          <t xml:space="preserve">    wsDest.Columns("U").NumberFormat = "0.00"</t>
        </is>
      </c>
    </row>
    <row r="324">
      <c r="A324" s="113" t="inlineStr">
        <is>
          <t xml:space="preserve">    wsDest.Columns("V").NumberFormat = "0"</t>
        </is>
      </c>
    </row>
    <row r="325">
      <c r="A325" s="113" t="inlineStr">
        <is>
          <t xml:space="preserve">    wsDest.Columns.AutoFit</t>
        </is>
      </c>
    </row>
    <row r="326">
      <c r="A326" s="113" t="inlineStr"/>
    </row>
    <row r="327">
      <c r="A327" s="113" t="inlineStr">
        <is>
          <t>CleanExit:</t>
        </is>
      </c>
    </row>
    <row r="328">
      <c r="A328" s="113" t="inlineStr">
        <is>
          <t xml:space="preserve">    Application.ScreenUpdating = True</t>
        </is>
      </c>
    </row>
    <row r="329">
      <c r="A329" s="113" t="inlineStr">
        <is>
          <t xml:space="preserve">    Application.Calculation = xlCalculationAutomatic</t>
        </is>
      </c>
    </row>
    <row r="330">
      <c r="A330" s="113" t="inlineStr">
        <is>
          <t xml:space="preserve">    Application.EnableEvents = True</t>
        </is>
      </c>
    </row>
    <row r="331">
      <c r="A331" s="113" t="inlineStr">
        <is>
          <t>End Sub</t>
        </is>
      </c>
    </row>
    <row r="332">
      <c r="A332" s="113" t="inlineStr"/>
    </row>
    <row r="333">
      <c r="A333" s="113" t="inlineStr">
        <is>
          <t>'----------------------------------------------------------------------------------</t>
        </is>
      </c>
    </row>
    <row r="334">
      <c r="A334" s="113" t="inlineStr">
        <is>
          <t>' TOC (SPREAD module) writes three navigation links under a "Ranking Sheets" banner.</t>
        </is>
      </c>
    </row>
    <row r="335">
      <c r="A335" s="113" t="inlineStr">
        <is>
          <t>' This drops the fourth link next to them without touching that procedure.</t>
        </is>
      </c>
    </row>
    <row r="336">
      <c r="A336" s="113" t="inlineStr">
        <is>
          <t>'----------------------------------------------------------------------------------</t>
        </is>
      </c>
    </row>
    <row r="337">
      <c r="A337" s="113" t="inlineStr">
        <is>
          <t>Sub AddSinceNavLink()</t>
        </is>
      </c>
    </row>
    <row r="338">
      <c r="A338" s="113" t="inlineStr">
        <is>
          <t xml:space="preserve">    Dim ws      As Worksheet</t>
        </is>
      </c>
    </row>
    <row r="339">
      <c r="A339" s="113" t="inlineStr">
        <is>
          <t xml:space="preserve">    Dim found   As Range</t>
        </is>
      </c>
    </row>
    <row r="340">
      <c r="A340" s="113" t="inlineStr">
        <is>
          <t xml:space="preserve">    Dim cell    As Range</t>
        </is>
      </c>
    </row>
    <row r="341">
      <c r="A341" s="113" t="inlineStr">
        <is>
          <t xml:space="preserve">    Dim navRow  As Long</t>
        </is>
      </c>
    </row>
    <row r="342">
      <c r="A342" s="113" t="inlineStr"/>
    </row>
    <row r="343">
      <c r="A343" s="113" t="inlineStr">
        <is>
          <t xml:space="preserve">    On Error Resume Next</t>
        </is>
      </c>
    </row>
    <row r="344">
      <c r="A344" s="113" t="inlineStr">
        <is>
          <t xml:space="preserve">    Set ws = ThisWorkbook.Sheets("SpreadRanking")</t>
        </is>
      </c>
    </row>
    <row r="345">
      <c r="A345" s="113" t="inlineStr">
        <is>
          <t xml:space="preserve">    On Error GoTo 0</t>
        </is>
      </c>
    </row>
    <row r="346">
      <c r="A346" s="113" t="inlineStr">
        <is>
          <t xml:space="preserve">    If ws Is Nothing Then Exit Sub</t>
        </is>
      </c>
    </row>
    <row r="347">
      <c r="A347" s="113" t="inlineStr"/>
    </row>
    <row r="348">
      <c r="A348" s="113" t="inlineStr">
        <is>
          <t xml:space="preserve">    Set found = ws.Columns(1).Find(What:="Ranking Sheets", LookIn:=xlValues, LookAt:=xlWhole)</t>
        </is>
      </c>
    </row>
    <row r="349">
      <c r="A349" s="113" t="inlineStr">
        <is>
          <t xml:space="preserve">    If found Is Nothing Then Exit Sub</t>
        </is>
      </c>
    </row>
    <row r="350">
      <c r="A350" s="113" t="inlineStr"/>
    </row>
    <row r="351">
      <c r="A351" s="113" t="inlineStr">
        <is>
          <t xml:space="preserve">    navRow = found.Row + 1</t>
        </is>
      </c>
    </row>
    <row r="352">
      <c r="A352" s="113" t="inlineStr">
        <is>
          <t xml:space="preserve">    Set cell = ws.Cells(navRow, 4)</t>
        </is>
      </c>
    </row>
    <row r="353">
      <c r="A353" s="113" t="inlineStr">
        <is>
          <t xml:space="preserve">    cell.ClearContents</t>
        </is>
      </c>
    </row>
    <row r="354">
      <c r="A354" s="113" t="inlineStr">
        <is>
          <t xml:space="preserve">    ws.Hyperlinks.Add Anchor:=cell, Address:="", _</t>
        </is>
      </c>
    </row>
    <row r="355">
      <c r="A355" s="113" t="inlineStr">
        <is>
          <t xml:space="preserve">        SubAddress:="'" &amp; SINCE_SHEET &amp; "'!A1", TextToDisplay:=SINCE_SHEET</t>
        </is>
      </c>
    </row>
    <row r="356">
      <c r="A356" s="113" t="inlineStr">
        <is>
          <t xml:space="preserve">    With cell</t>
        </is>
      </c>
    </row>
    <row r="357">
      <c r="A357" s="113" t="inlineStr">
        <is>
          <t xml:space="preserve">        .Font.Name = "Calibri"</t>
        </is>
      </c>
    </row>
    <row r="358">
      <c r="A358" s="113" t="inlineStr">
        <is>
          <t xml:space="preserve">        .Font.Size = 12</t>
        </is>
      </c>
    </row>
    <row r="359">
      <c r="A359" s="113" t="inlineStr">
        <is>
          <t xml:space="preserve">        .Borders.Weight = xlThin</t>
        </is>
      </c>
    </row>
    <row r="360">
      <c r="A360" s="113" t="inlineStr">
        <is>
          <t xml:space="preserve">        .HorizontalAlignment = xlCenter</t>
        </is>
      </c>
    </row>
    <row r="361">
      <c r="A361" s="113" t="inlineStr">
        <is>
          <t xml:space="preserve">        .VerticalAlignment = xlCenter</t>
        </is>
      </c>
    </row>
    <row r="362">
      <c r="A362" s="113" t="inlineStr">
        <is>
          <t xml:space="preserve">        .Interior.Color = RGB(220, 240, 255)</t>
        </is>
      </c>
    </row>
    <row r="363">
      <c r="A363" s="113" t="inlineStr">
        <is>
          <t xml:space="preserve">    End With</t>
        </is>
      </c>
    </row>
    <row r="364">
      <c r="A364" s="113" t="inlineStr">
        <is>
          <t xml:space="preserve">    ws.Columns(4).AutoFit</t>
        </is>
      </c>
    </row>
    <row r="365">
      <c r="A365" s="113" t="inlineStr">
        <is>
          <t>End Sub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Favarger.temp Jérémy</dc:creator>
  <dcterms:created xsi:type="dcterms:W3CDTF">2020-10-16T08:22:51Z</dcterms:created>
  <dcterms:modified xsi:type="dcterms:W3CDTF">2026-08-27T16:07:44Z</dcterms:modified>
  <cp:lastModifiedBy>Hugo Morel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83f8944-7006-4c92-9385-d493078a282b_Enabled" fmtid="{D5CDD505-2E9C-101B-9397-08002B2CF9AE}" pid="2">
    <vt:lpwstr>true</vt:lpwstr>
  </property>
  <property name="MSIP_Label_783f8944-7006-4c92-9385-d493078a282b_SetDate" fmtid="{D5CDD505-2E9C-101B-9397-08002B2CF9AE}" pid="3">
    <vt:lpwstr>2022-12-14T10:03:32Z</vt:lpwstr>
  </property>
  <property name="MSIP_Label_783f8944-7006-4c92-9385-d493078a282b_Method" fmtid="{D5CDD505-2E9C-101B-9397-08002B2CF9AE}" pid="4">
    <vt:lpwstr>Standard</vt:lpwstr>
  </property>
  <property name="MSIP_Label_783f8944-7006-4c92-9385-d493078a282b_Name" fmtid="{D5CDD505-2E9C-101B-9397-08002B2CF9AE}" pid="5">
    <vt:lpwstr>C1-Internal</vt:lpwstr>
  </property>
  <property name="MSIP_Label_783f8944-7006-4c92-9385-d493078a282b_SiteId" fmtid="{D5CDD505-2E9C-101B-9397-08002B2CF9AE}" pid="6">
    <vt:lpwstr>7460684c-d2b3-4e8d-b436-2d0df6ff5988</vt:lpwstr>
  </property>
  <property name="MSIP_Label_783f8944-7006-4c92-9385-d493078a282b_ActionId" fmtid="{D5CDD505-2E9C-101B-9397-08002B2CF9AE}" pid="7">
    <vt:lpwstr>e052e3e7-ea0f-4665-8de5-50c13fec8e65</vt:lpwstr>
  </property>
  <property name="MSIP_Label_783f8944-7006-4c92-9385-d493078a282b_ContentBits" fmtid="{D5CDD505-2E9C-101B-9397-08002B2CF9AE}" pid="8">
    <vt:lpwstr>0</vt:lpwstr>
  </property>
  <property name="path" linkTarget="Prop_path" fmtid="{D5CDD505-2E9C-101B-9397-08002B2CF9AE}" pid="9">
    <vt:lpwstr/>
  </property>
  <property name="MSIP_Label_a9e46280-7c6c-48e1-a256-f27a932e76ee_Enabled" fmtid="{D5CDD505-2E9C-101B-9397-08002B2CF9AE}" pid="10">
    <vt:lpwstr>true</vt:lpwstr>
  </property>
  <property name="MSIP_Label_a9e46280-7c6c-48e1-a256-f27a932e76ee_SetDate" fmtid="{D5CDD505-2E9C-101B-9397-08002B2CF9AE}" pid="11">
    <vt:lpwstr>2024-06-10T07:56:50Z</vt:lpwstr>
  </property>
  <property name="MSIP_Label_a9e46280-7c6c-48e1-a256-f27a932e76ee_Method" fmtid="{D5CDD505-2E9C-101B-9397-08002B2CF9AE}" pid="12">
    <vt:lpwstr>Standard</vt:lpwstr>
  </property>
  <property name="MSIP_Label_a9e46280-7c6c-48e1-a256-f27a932e76ee_Name" fmtid="{D5CDD505-2E9C-101B-9397-08002B2CF9AE}" pid="13">
    <vt:lpwstr>C2-Confidential</vt:lpwstr>
  </property>
  <property name="MSIP_Label_a9e46280-7c6c-48e1-a256-f27a932e76ee_SiteId" fmtid="{D5CDD505-2E9C-101B-9397-08002B2CF9AE}" pid="14">
    <vt:lpwstr>00137d3d-3556-4d89-bdd6-8cf30cc386e2</vt:lpwstr>
  </property>
  <property name="MSIP_Label_a9e46280-7c6c-48e1-a256-f27a932e76ee_ActionId" fmtid="{D5CDD505-2E9C-101B-9397-08002B2CF9AE}" pid="15">
    <vt:lpwstr>07652b02-2079-400c-b51e-8a7f1952e11a</vt:lpwstr>
  </property>
  <property name="MSIP_Label_a9e46280-7c6c-48e1-a256-f27a932e76ee_ContentBits" fmtid="{D5CDD505-2E9C-101B-9397-08002B2CF9AE}" pid="16">
    <vt:lpwstr>0</vt:lpwstr>
  </property>
  <property name="ContentTypeId" fmtid="{D5CDD505-2E9C-101B-9397-08002B2CF9AE}" pid="17">
    <vt:lpwstr>0x010100FD43590F2B8F644DA12600D7C14CB149</vt:lpwstr>
  </property>
</Properties>
</file>