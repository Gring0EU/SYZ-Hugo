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ead since 14.07.2026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.MM.YYYY"/>
    <numFmt numFmtId="166" formatCode="0.000"/>
    <numFmt numFmtId="167" formatCode="0.###"/>
    <numFmt numFmtId="168" formatCode="+0;-0;0"/>
    <numFmt numFmtId="169" formatCode="+0.00;-0.00;0.00"/>
    <numFmt numFmtId="170" formatCode="+0.0;-0.0;0.0"/>
  </numFmts>
  <fonts count="15">
    <font>
      <name val="Calibri"/>
      <family val="2"/>
      <color theme="1"/>
      <sz val="11"/>
      <scheme val="minor"/>
    </font>
    <font>
      <name val="Arial"/>
      <b val="1"/>
      <color rgb="FF1F4E79"/>
      <sz val="16"/>
    </font>
    <font>
      <name val="Arial"/>
      <b val="1"/>
      <color rgb="FF1F2933"/>
      <sz val="10"/>
    </font>
    <font>
      <name val="Arial"/>
      <b val="1"/>
      <color rgb="FF0000FF"/>
      <sz val="10"/>
    </font>
    <font>
      <name val="Arial"/>
      <i val="1"/>
      <color rgb="FF6B7280"/>
      <sz val="9"/>
    </font>
    <font>
      <name val="Arial"/>
      <b val="1"/>
      <color rgb="FF1F4E79"/>
      <sz val="13"/>
    </font>
    <font>
      <name val="Arial"/>
      <b val="1"/>
      <color rgb="FFFFFFFF"/>
      <sz val="9"/>
    </font>
    <font>
      <name val="Arial"/>
      <color rgb="FF0000FF"/>
      <sz val="9"/>
    </font>
    <font>
      <name val="Arial"/>
      <color rgb="FF1F2933"/>
      <sz val="9"/>
    </font>
    <font>
      <name val="Arial"/>
      <b val="1"/>
      <color rgb="FF1F4E79"/>
      <sz val="11"/>
    </font>
    <font>
      <name val="Arial"/>
      <b val="1"/>
      <color rgb="FF1F2933"/>
      <sz val="9"/>
    </font>
    <font>
      <name val="Arial"/>
      <b val="1"/>
      <color rgb="FF6B21A8"/>
      <sz val="13"/>
    </font>
    <font>
      <name val="Arial"/>
      <b val="1"/>
      <color rgb="FF6B21A8"/>
      <sz val="11"/>
    </font>
    <font>
      <name val="Arial"/>
      <b val="1"/>
      <color rgb="FF1F4E79"/>
      <sz val="12"/>
    </font>
    <font>
      <name val="Arial"/>
      <color rgb="FF1F2933"/>
      <sz val="10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1F4E79"/>
      </patternFill>
    </fill>
    <fill>
      <patternFill patternType="solid">
        <fgColor rgb="FFF6F8FA"/>
      </patternFill>
    </fill>
  </fills>
  <borders count="6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49" fontId="7" fillId="0" borderId="1" applyAlignment="1" pivotButton="0" quotePrefix="0" xfId="0">
      <alignment horizontal="left" vertical="center"/>
    </xf>
    <xf numFmtId="49" fontId="8" fillId="0" borderId="1" applyAlignment="1" pivotButton="0" quotePrefix="0" xfId="0">
      <alignment horizontal="left" vertical="center"/>
    </xf>
    <xf numFmtId="49" fontId="8" fillId="0" borderId="1" applyAlignment="1" pivotButton="0" quotePrefix="0" xfId="0">
      <alignment horizontal="left" vertical="center" wrapText="1"/>
    </xf>
    <xf numFmtId="166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167" fontId="8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1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49" fontId="7" fillId="4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left" vertical="center"/>
    </xf>
    <xf numFmtId="49" fontId="8" fillId="4" borderId="1" applyAlignment="1" pivotButton="0" quotePrefix="0" xfId="0">
      <alignment horizontal="left" vertical="center" wrapText="1"/>
    </xf>
    <xf numFmtId="166" fontId="8" fillId="4" borderId="1" applyAlignment="1" pivotButton="0" quotePrefix="0" xfId="0">
      <alignment horizontal="right" vertical="center"/>
    </xf>
    <xf numFmtId="165" fontId="8" fillId="4" borderId="1" applyAlignment="1" pivotButton="0" quotePrefix="0" xfId="0">
      <alignment horizontal="right" vertical="center"/>
    </xf>
    <xf numFmtId="167" fontId="8" fillId="4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168" fontId="8" fillId="4" borderId="1" applyAlignment="1" pivotButton="0" quotePrefix="0" xfId="0">
      <alignment horizontal="right" vertical="center"/>
    </xf>
    <xf numFmtId="169" fontId="8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10" fillId="0" borderId="1" pivotButton="0" quotePrefix="0" xfId="0"/>
    <xf numFmtId="49" fontId="8" fillId="0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170" fontId="8" fillId="0" borderId="1" applyAlignment="1" pivotButton="0" quotePrefix="0" xfId="0">
      <alignment horizontal="right"/>
    </xf>
    <xf numFmtId="168" fontId="8" fillId="0" borderId="1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FFB42318"/>
        <sz val="9"/>
      </font>
    </dxf>
    <dxf>
      <font>
        <name val="Arial"/>
        <b val="1"/>
        <color rgb="FF067647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B2" authorId="0" shapeId="0">
      <text>
        <t>The only input cell. Both tables pass it to Bloomberg as SETTLE_DT, and the four
"since" headers derive their labels from it, so changing this date re-bases
everything. Requested value: 14 July 2026.</t>
      </text>
    </comment>
  </commentList>
</comments>
</file>

<file path=xl/tables/table1.xml><?xml version="1.0" encoding="utf-8"?>
<table xmlns="http://schemas.openxmlformats.org/spreadsheetml/2006/main" id="1" name="tblUSD" displayName="tblUSD" ref="A6:U30" headerRowCount="1">
  <autoFilter ref="A6:U30"/>
  <tableColumns count="21">
    <tableColumn id="1" name="ISIN"/>
    <tableColumn id="2" name="Security"/>
    <tableColumn id="3" name="Company"/>
    <tableColumn id="4" name="Company description"/>
    <tableColumn id="5" name="Sector"/>
    <tableColumn id="6" name="Industry group"/>
    <tableColumn id="7" name="Country"/>
    <tableColumn id="8" name="Ccy"/>
    <tableColumn id="9" name="Rating (comp.)"/>
    <tableColumn id="10" name="Structure"/>
    <tableColumn id="11" name="Coupon"/>
    <tableColumn id="12" name="Maturity"/>
    <tableColumn id="13" name="Den. (k)"/>
    <tableColumn id="14" name="Price"/>
    <tableColumn id="15" name="YTW (%)"/>
    <tableColumn id="16" name="Mod. dur."/>
    <tableColumn id="17" name="Spread today (bp)"/>
    <tableColumn id="18" name="Spread @ anchor (bp)"/>
    <tableColumn id="19" name="Spread change (bp)"/>
    <tableColumn id="20" name="YTW @ anchor (%)"/>
    <tableColumn id="21" name="YTW change (%)"/>
  </tableColumns>
  <tableStyleInfo name="TableStyleLight1" showRowStripes="0"/>
</table>
</file>

<file path=xl/tables/table2.xml><?xml version="1.0" encoding="utf-8"?>
<table xmlns="http://schemas.openxmlformats.org/spreadsheetml/2006/main" id="2" name="tblEUR" displayName="tblEUR" ref="A44:U97" headerRowCount="1">
  <autoFilter ref="A44:U97"/>
  <tableColumns count="21">
    <tableColumn id="1" name="ISIN"/>
    <tableColumn id="2" name="Security"/>
    <tableColumn id="3" name="Company"/>
    <tableColumn id="4" name="Company description"/>
    <tableColumn id="5" name="Sector"/>
    <tableColumn id="6" name="Industry group"/>
    <tableColumn id="7" name="Country"/>
    <tableColumn id="8" name="Ccy"/>
    <tableColumn id="9" name="Rating (comp.)"/>
    <tableColumn id="10" name="Structure"/>
    <tableColumn id="11" name="Coupon"/>
    <tableColumn id="12" name="Maturity"/>
    <tableColumn id="13" name="Den. (k)"/>
    <tableColumn id="14" name="Price"/>
    <tableColumn id="15" name="YTW (%)"/>
    <tableColumn id="16" name="Mod. dur."/>
    <tableColumn id="17" name="Spread today (bp)"/>
    <tableColumn id="18" name="Spread @ anchor (bp)"/>
    <tableColumn id="19" name="Spread change (bp)"/>
    <tableColumn id="20" name="YTW @ anchor (%)"/>
    <tableColumn id="21" name="YTW change (%)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U1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6" customWidth="1" min="2" max="2"/>
    <col width="28" customWidth="1" min="3" max="3"/>
    <col width="60" customWidth="1" min="4" max="4"/>
    <col width="20" customWidth="1" min="5" max="5"/>
    <col width="22" customWidth="1" min="6" max="6"/>
    <col width="16" customWidth="1" min="7" max="7"/>
    <col width="6" customWidth="1" min="8" max="8"/>
    <col width="12" customWidth="1" min="9" max="9"/>
    <col width="18" customWidth="1" min="10" max="10"/>
    <col width="9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5" customWidth="1" min="18" max="18"/>
    <col width="15" customWidth="1" min="19" max="19"/>
    <col width="14" customWidth="1" min="20" max="20"/>
    <col width="13" customWidth="1" min="21" max="21"/>
  </cols>
  <sheetData>
    <row r="1">
      <c r="A1" s="1" t="inlineStr">
        <is>
          <t>Spread variation since 14.07.2026 - USD and EUR lists</t>
        </is>
      </c>
    </row>
    <row r="2">
      <c r="A2" s="2" t="inlineStr">
        <is>
          <t>Anchor date</t>
        </is>
      </c>
      <c r="B2" s="3" t="n">
        <v>46217</v>
      </c>
      <c r="C2" s="4" t="inlineStr">
        <is>
          <t>Blue on yellow = the only cell to edit. Every other cell is a formula.</t>
        </is>
      </c>
    </row>
    <row r="3">
      <c r="A3" s="2" t="inlineStr">
        <is>
          <t>Data</t>
        </is>
      </c>
      <c r="B3" s="4" t="inlineStr">
        <is>
          <t>Bloomberg BDP - open with the add-in connected, then Ctrl+Alt+F9 to recalculate.</t>
        </is>
      </c>
    </row>
    <row r="5">
      <c r="A5" s="5">
        <f>"USD bonds (18 ISINs)  -  spread variation since "&amp;TEXT($B$2,"dd.mm.yyyy")</f>
        <v/>
      </c>
    </row>
    <row r="6" ht="30" customHeight="1">
      <c r="A6" s="6" t="inlineStr">
        <is>
          <t>ISIN</t>
        </is>
      </c>
      <c r="B6" s="6" t="inlineStr">
        <is>
          <t>Security</t>
        </is>
      </c>
      <c r="C6" s="6" t="inlineStr">
        <is>
          <t>Company</t>
        </is>
      </c>
      <c r="D6" s="6" t="inlineStr">
        <is>
          <t>Company description</t>
        </is>
      </c>
      <c r="E6" s="6" t="inlineStr">
        <is>
          <t>Sector</t>
        </is>
      </c>
      <c r="F6" s="6" t="inlineStr">
        <is>
          <t>Industry group</t>
        </is>
      </c>
      <c r="G6" s="6" t="inlineStr">
        <is>
          <t>Country</t>
        </is>
      </c>
      <c r="H6" s="6" t="inlineStr">
        <is>
          <t>Ccy</t>
        </is>
      </c>
      <c r="I6" s="6" t="inlineStr">
        <is>
          <t>Rating (comp.)</t>
        </is>
      </c>
      <c r="J6" s="6" t="inlineStr">
        <is>
          <t>Structure</t>
        </is>
      </c>
      <c r="K6" s="6" t="inlineStr">
        <is>
          <t>Coupon</t>
        </is>
      </c>
      <c r="L6" s="6" t="inlineStr">
        <is>
          <t>Maturity</t>
        </is>
      </c>
      <c r="M6" s="6" t="inlineStr">
        <is>
          <t>Den. (k)</t>
        </is>
      </c>
      <c r="N6" s="6" t="inlineStr">
        <is>
          <t>Price</t>
        </is>
      </c>
      <c r="O6" s="6" t="inlineStr">
        <is>
          <t>YTW (%)</t>
        </is>
      </c>
      <c r="P6" s="6" t="inlineStr">
        <is>
          <t>Mod. dur.</t>
        </is>
      </c>
      <c r="Q6" s="6" t="inlineStr">
        <is>
          <t>Spread today (bp)</t>
        </is>
      </c>
      <c r="R6" s="6" t="inlineStr">
        <is>
          <t>Spread @ anchor (bp)</t>
        </is>
      </c>
      <c r="S6" s="6" t="inlineStr">
        <is>
          <t>Spread change (bp)</t>
        </is>
      </c>
      <c r="T6" s="6" t="inlineStr">
        <is>
          <t>YTW @ anchor (%)</t>
        </is>
      </c>
      <c r="U6" s="6" t="inlineStr">
        <is>
          <t>YTW change (%)</t>
        </is>
      </c>
    </row>
    <row r="7">
      <c r="A7" s="7" t="inlineStr">
        <is>
          <t>US25160PAS65</t>
        </is>
      </c>
      <c r="B7" s="8">
        <f>IF($A7="","",_xll.BDP($A7&amp;" Corp","SECURITY_DES"))</f>
        <v/>
      </c>
      <c r="C7" s="8">
        <f>IF($A7="","",PROPER(_xll.BDP($A7&amp;" Corp","NAME")))</f>
        <v/>
      </c>
      <c r="D7" s="9">
        <f>IF($A7="","",IFERROR(_xll.BDP($A7&amp;" Corp","CIE_DES"),""))</f>
        <v/>
      </c>
      <c r="E7" s="8">
        <f>IF($A7="","",_xll.BDP($A7&amp;" Corp","INDUSTRY_SECTOR"))</f>
        <v/>
      </c>
      <c r="F7" s="8">
        <f>IF($A7="","",_xll.BDP($A7&amp;" Corp","INDUSTRY_GROUP"))</f>
        <v/>
      </c>
      <c r="G7" s="8">
        <f>IF($A7="","",PROPER(_xll.BDP($A7&amp;" Corp","COUNTRY_FULL_NAME")))</f>
        <v/>
      </c>
      <c r="H7" s="8">
        <f>IF($A7="","",_xll.BDP($A7&amp;" Corp","CRNCY"))</f>
        <v/>
      </c>
      <c r="I7" s="8">
        <f>IF($A7="","",IFERROR(_xll.BDP($A7&amp;" Corp","BB_COMPOSITE"),_xll.BDP($A7&amp;" Corp","RTG_SP")))</f>
        <v/>
      </c>
      <c r="J7" s="8">
        <f>IF($A7="","",_xll.BDP($A7&amp;" Corp","PAYMENT_RANK"))</f>
        <v/>
      </c>
      <c r="K7" s="10">
        <f>IF($A7="","",_xll.BDP($A7&amp;" Corp","CPN"))</f>
        <v/>
      </c>
      <c r="L7" s="11">
        <f>IF($A7="","",_xll.BDP($A7&amp;" Corp","MATURITY"))</f>
        <v/>
      </c>
      <c r="M7" s="12">
        <f>IF($A7="","",IFERROR(_xll.BDP($A7&amp;" Corp","MIN_PIECE")/1000,""))</f>
        <v/>
      </c>
      <c r="N7" s="13">
        <f>IF($A7="","",_xll.BDP($A7&amp;" Corp","PX_LAST"))</f>
        <v/>
      </c>
      <c r="O7" s="13">
        <f>IF($A7="","",_xll.BDP($A7&amp;" Corp","YAS_BOND_YLD","YAS_YLD_FLAG=15"))</f>
        <v/>
      </c>
      <c r="P7" s="13">
        <f>IF($A7="","",_xll.BDP($A7&amp;" Corp","YAS_MOD_DUR"))</f>
        <v/>
      </c>
      <c r="Q7" s="14">
        <f>IF($A7="","",_xll.BDP($A7&amp;" Corp","YAS_OAS_SPRD"))</f>
        <v/>
      </c>
      <c r="R7" s="14">
        <f>IF($A7="","",_xll.BDP($A7&amp;" Corp","YAS_OAS_SPRD","SETTLE_DT",$B$2))</f>
        <v/>
      </c>
      <c r="S7" s="15">
        <f>IF($A7="","",IF(OR(NOT(ISNUMBER($Q7)),NOT(ISNUMBER($R7))),"",$Q7-$R7))</f>
        <v/>
      </c>
      <c r="T7" s="13">
        <f>IF($A7="","",_xll.BDP($A7&amp;" Corp","YAS_BOND_YLD","YAS_YLD_FLAG=15","SETTLE_DT",$B$2))</f>
        <v/>
      </c>
      <c r="U7" s="16">
        <f>IF($A7="","",IF(OR(NOT(ISNUMBER($O7)),NOT(ISNUMBER($T7))),"",$O7-$T7))</f>
        <v/>
      </c>
    </row>
    <row r="8">
      <c r="A8" s="17" t="inlineStr">
        <is>
          <t>US30303MAC64</t>
        </is>
      </c>
      <c r="B8" s="18">
        <f>IF($A8="","",_xll.BDP($A8&amp;" Corp","SECURITY_DES"))</f>
        <v/>
      </c>
      <c r="C8" s="18">
        <f>IF($A8="","",PROPER(_xll.BDP($A8&amp;" Corp","NAME")))</f>
        <v/>
      </c>
      <c r="D8" s="19">
        <f>IF($A8="","",IFERROR(_xll.BDP($A8&amp;" Corp","CIE_DES"),""))</f>
        <v/>
      </c>
      <c r="E8" s="18">
        <f>IF($A8="","",_xll.BDP($A8&amp;" Corp","INDUSTRY_SECTOR"))</f>
        <v/>
      </c>
      <c r="F8" s="18">
        <f>IF($A8="","",_xll.BDP($A8&amp;" Corp","INDUSTRY_GROUP"))</f>
        <v/>
      </c>
      <c r="G8" s="18">
        <f>IF($A8="","",PROPER(_xll.BDP($A8&amp;" Corp","COUNTRY_FULL_NAME")))</f>
        <v/>
      </c>
      <c r="H8" s="18">
        <f>IF($A8="","",_xll.BDP($A8&amp;" Corp","CRNCY"))</f>
        <v/>
      </c>
      <c r="I8" s="18">
        <f>IF($A8="","",IFERROR(_xll.BDP($A8&amp;" Corp","BB_COMPOSITE"),_xll.BDP($A8&amp;" Corp","RTG_SP")))</f>
        <v/>
      </c>
      <c r="J8" s="18">
        <f>IF($A8="","",_xll.BDP($A8&amp;" Corp","PAYMENT_RANK"))</f>
        <v/>
      </c>
      <c r="K8" s="20">
        <f>IF($A8="","",_xll.BDP($A8&amp;" Corp","CPN"))</f>
        <v/>
      </c>
      <c r="L8" s="21">
        <f>IF($A8="","",_xll.BDP($A8&amp;" Corp","MATURITY"))</f>
        <v/>
      </c>
      <c r="M8" s="22">
        <f>IF($A8="","",IFERROR(_xll.BDP($A8&amp;" Corp","MIN_PIECE")/1000,""))</f>
        <v/>
      </c>
      <c r="N8" s="23">
        <f>IF($A8="","",_xll.BDP($A8&amp;" Corp","PX_LAST"))</f>
        <v/>
      </c>
      <c r="O8" s="23">
        <f>IF($A8="","",_xll.BDP($A8&amp;" Corp","YAS_BOND_YLD","YAS_YLD_FLAG=15"))</f>
        <v/>
      </c>
      <c r="P8" s="23">
        <f>IF($A8="","",_xll.BDP($A8&amp;" Corp","YAS_MOD_DUR"))</f>
        <v/>
      </c>
      <c r="Q8" s="24">
        <f>IF($A8="","",_xll.BDP($A8&amp;" Corp","YAS_OAS_SPRD"))</f>
        <v/>
      </c>
      <c r="R8" s="24">
        <f>IF($A8="","",_xll.BDP($A8&amp;" Corp","YAS_OAS_SPRD","SETTLE_DT",$B$2))</f>
        <v/>
      </c>
      <c r="S8" s="25">
        <f>IF($A8="","",IF(OR(NOT(ISNUMBER($Q8)),NOT(ISNUMBER($R8))),"",$Q8-$R8))</f>
        <v/>
      </c>
      <c r="T8" s="23">
        <f>IF($A8="","",_xll.BDP($A8&amp;" Corp","YAS_BOND_YLD","YAS_YLD_FLAG=15","SETTLE_DT",$B$2))</f>
        <v/>
      </c>
      <c r="U8" s="26">
        <f>IF($A8="","",IF(OR(NOT(ISNUMBER($O8)),NOT(ISNUMBER($T8))),"",$O8-$T8))</f>
        <v/>
      </c>
    </row>
    <row r="9">
      <c r="A9" s="7" t="inlineStr">
        <is>
          <t>US92343VHF40</t>
        </is>
      </c>
      <c r="B9" s="8">
        <f>IF($A9="","",_xll.BDP($A9&amp;" Corp","SECURITY_DES"))</f>
        <v/>
      </c>
      <c r="C9" s="8">
        <f>IF($A9="","",PROPER(_xll.BDP($A9&amp;" Corp","NAME")))</f>
        <v/>
      </c>
      <c r="D9" s="9">
        <f>IF($A9="","",IFERROR(_xll.BDP($A9&amp;" Corp","CIE_DES"),""))</f>
        <v/>
      </c>
      <c r="E9" s="8">
        <f>IF($A9="","",_xll.BDP($A9&amp;" Corp","INDUSTRY_SECTOR"))</f>
        <v/>
      </c>
      <c r="F9" s="8">
        <f>IF($A9="","",_xll.BDP($A9&amp;" Corp","INDUSTRY_GROUP"))</f>
        <v/>
      </c>
      <c r="G9" s="8">
        <f>IF($A9="","",PROPER(_xll.BDP($A9&amp;" Corp","COUNTRY_FULL_NAME")))</f>
        <v/>
      </c>
      <c r="H9" s="8">
        <f>IF($A9="","",_xll.BDP($A9&amp;" Corp","CRNCY"))</f>
        <v/>
      </c>
      <c r="I9" s="8">
        <f>IF($A9="","",IFERROR(_xll.BDP($A9&amp;" Corp","BB_COMPOSITE"),_xll.BDP($A9&amp;" Corp","RTG_SP")))</f>
        <v/>
      </c>
      <c r="J9" s="8">
        <f>IF($A9="","",_xll.BDP($A9&amp;" Corp","PAYMENT_RANK"))</f>
        <v/>
      </c>
      <c r="K9" s="10">
        <f>IF($A9="","",_xll.BDP($A9&amp;" Corp","CPN"))</f>
        <v/>
      </c>
      <c r="L9" s="11">
        <f>IF($A9="","",_xll.BDP($A9&amp;" Corp","MATURITY"))</f>
        <v/>
      </c>
      <c r="M9" s="12">
        <f>IF($A9="","",IFERROR(_xll.BDP($A9&amp;" Corp","MIN_PIECE")/1000,""))</f>
        <v/>
      </c>
      <c r="N9" s="13">
        <f>IF($A9="","",_xll.BDP($A9&amp;" Corp","PX_LAST"))</f>
        <v/>
      </c>
      <c r="O9" s="13">
        <f>IF($A9="","",_xll.BDP($A9&amp;" Corp","YAS_BOND_YLD","YAS_YLD_FLAG=15"))</f>
        <v/>
      </c>
      <c r="P9" s="13">
        <f>IF($A9="","",_xll.BDP($A9&amp;" Corp","YAS_MOD_DUR"))</f>
        <v/>
      </c>
      <c r="Q9" s="14">
        <f>IF($A9="","",_xll.BDP($A9&amp;" Corp","YAS_OAS_SPRD"))</f>
        <v/>
      </c>
      <c r="R9" s="14">
        <f>IF($A9="","",_xll.BDP($A9&amp;" Corp","YAS_OAS_SPRD","SETTLE_DT",$B$2))</f>
        <v/>
      </c>
      <c r="S9" s="15">
        <f>IF($A9="","",IF(OR(NOT(ISNUMBER($Q9)),NOT(ISNUMBER($R9))),"",$Q9-$R9))</f>
        <v/>
      </c>
      <c r="T9" s="13">
        <f>IF($A9="","",_xll.BDP($A9&amp;" Corp","YAS_BOND_YLD","YAS_YLD_FLAG=15","SETTLE_DT",$B$2))</f>
        <v/>
      </c>
      <c r="U9" s="16">
        <f>IF($A9="","",IF(OR(NOT(ISNUMBER($O9)),NOT(ISNUMBER($T9))),"",$O9-$T9))</f>
        <v/>
      </c>
    </row>
    <row r="10">
      <c r="A10" s="17" t="inlineStr">
        <is>
          <t>US456837BU63</t>
        </is>
      </c>
      <c r="B10" s="18">
        <f>IF($A10="","",_xll.BDP($A10&amp;" Corp","SECURITY_DES"))</f>
        <v/>
      </c>
      <c r="C10" s="18">
        <f>IF($A10="","",PROPER(_xll.BDP($A10&amp;" Corp","NAME")))</f>
        <v/>
      </c>
      <c r="D10" s="19">
        <f>IF($A10="","",IFERROR(_xll.BDP($A10&amp;" Corp","CIE_DES"),""))</f>
        <v/>
      </c>
      <c r="E10" s="18">
        <f>IF($A10="","",_xll.BDP($A10&amp;" Corp","INDUSTRY_SECTOR"))</f>
        <v/>
      </c>
      <c r="F10" s="18">
        <f>IF($A10="","",_xll.BDP($A10&amp;" Corp","INDUSTRY_GROUP"))</f>
        <v/>
      </c>
      <c r="G10" s="18">
        <f>IF($A10="","",PROPER(_xll.BDP($A10&amp;" Corp","COUNTRY_FULL_NAME")))</f>
        <v/>
      </c>
      <c r="H10" s="18">
        <f>IF($A10="","",_xll.BDP($A10&amp;" Corp","CRNCY"))</f>
        <v/>
      </c>
      <c r="I10" s="18">
        <f>IF($A10="","",IFERROR(_xll.BDP($A10&amp;" Corp","BB_COMPOSITE"),_xll.BDP($A10&amp;" Corp","RTG_SP")))</f>
        <v/>
      </c>
      <c r="J10" s="18">
        <f>IF($A10="","",_xll.BDP($A10&amp;" Corp","PAYMENT_RANK"))</f>
        <v/>
      </c>
      <c r="K10" s="20">
        <f>IF($A10="","",_xll.BDP($A10&amp;" Corp","CPN"))</f>
        <v/>
      </c>
      <c r="L10" s="21">
        <f>IF($A10="","",_xll.BDP($A10&amp;" Corp","MATURITY"))</f>
        <v/>
      </c>
      <c r="M10" s="22">
        <f>IF($A10="","",IFERROR(_xll.BDP($A10&amp;" Corp","MIN_PIECE")/1000,""))</f>
        <v/>
      </c>
      <c r="N10" s="23">
        <f>IF($A10="","",_xll.BDP($A10&amp;" Corp","PX_LAST"))</f>
        <v/>
      </c>
      <c r="O10" s="23">
        <f>IF($A10="","",_xll.BDP($A10&amp;" Corp","YAS_BOND_YLD","YAS_YLD_FLAG=15"))</f>
        <v/>
      </c>
      <c r="P10" s="23">
        <f>IF($A10="","",_xll.BDP($A10&amp;" Corp","YAS_MOD_DUR"))</f>
        <v/>
      </c>
      <c r="Q10" s="24">
        <f>IF($A10="","",_xll.BDP($A10&amp;" Corp","YAS_OAS_SPRD"))</f>
        <v/>
      </c>
      <c r="R10" s="24">
        <f>IF($A10="","",_xll.BDP($A10&amp;" Corp","YAS_OAS_SPRD","SETTLE_DT",$B$2))</f>
        <v/>
      </c>
      <c r="S10" s="25">
        <f>IF($A10="","",IF(OR(NOT(ISNUMBER($Q10)),NOT(ISNUMBER($R10))),"",$Q10-$R10))</f>
        <v/>
      </c>
      <c r="T10" s="23">
        <f>IF($A10="","",_xll.BDP($A10&amp;" Corp","YAS_BOND_YLD","YAS_YLD_FLAG=15","SETTLE_DT",$B$2))</f>
        <v/>
      </c>
      <c r="U10" s="26">
        <f>IF($A10="","",IF(OR(NOT(ISNUMBER($O10)),NOT(ISNUMBER($T10))),"",$O10-$T10))</f>
        <v/>
      </c>
    </row>
    <row r="11">
      <c r="A11" s="7" t="inlineStr">
        <is>
          <t>US05971KAV17</t>
        </is>
      </c>
      <c r="B11" s="8">
        <f>IF($A11="","",_xll.BDP($A11&amp;" Corp","SECURITY_DES"))</f>
        <v/>
      </c>
      <c r="C11" s="8">
        <f>IF($A11="","",PROPER(_xll.BDP($A11&amp;" Corp","NAME")))</f>
        <v/>
      </c>
      <c r="D11" s="9">
        <f>IF($A11="","",IFERROR(_xll.BDP($A11&amp;" Corp","CIE_DES"),""))</f>
        <v/>
      </c>
      <c r="E11" s="8">
        <f>IF($A11="","",_xll.BDP($A11&amp;" Corp","INDUSTRY_SECTOR"))</f>
        <v/>
      </c>
      <c r="F11" s="8">
        <f>IF($A11="","",_xll.BDP($A11&amp;" Corp","INDUSTRY_GROUP"))</f>
        <v/>
      </c>
      <c r="G11" s="8">
        <f>IF($A11="","",PROPER(_xll.BDP($A11&amp;" Corp","COUNTRY_FULL_NAME")))</f>
        <v/>
      </c>
      <c r="H11" s="8">
        <f>IF($A11="","",_xll.BDP($A11&amp;" Corp","CRNCY"))</f>
        <v/>
      </c>
      <c r="I11" s="8">
        <f>IF($A11="","",IFERROR(_xll.BDP($A11&amp;" Corp","BB_COMPOSITE"),_xll.BDP($A11&amp;" Corp","RTG_SP")))</f>
        <v/>
      </c>
      <c r="J11" s="8">
        <f>IF($A11="","",_xll.BDP($A11&amp;" Corp","PAYMENT_RANK"))</f>
        <v/>
      </c>
      <c r="K11" s="10">
        <f>IF($A11="","",_xll.BDP($A11&amp;" Corp","CPN"))</f>
        <v/>
      </c>
      <c r="L11" s="11">
        <f>IF($A11="","",_xll.BDP($A11&amp;" Corp","MATURITY"))</f>
        <v/>
      </c>
      <c r="M11" s="12">
        <f>IF($A11="","",IFERROR(_xll.BDP($A11&amp;" Corp","MIN_PIECE")/1000,""))</f>
        <v/>
      </c>
      <c r="N11" s="13">
        <f>IF($A11="","",_xll.BDP($A11&amp;" Corp","PX_LAST"))</f>
        <v/>
      </c>
      <c r="O11" s="13">
        <f>IF($A11="","",_xll.BDP($A11&amp;" Corp","YAS_BOND_YLD","YAS_YLD_FLAG=15"))</f>
        <v/>
      </c>
      <c r="P11" s="13">
        <f>IF($A11="","",_xll.BDP($A11&amp;" Corp","YAS_MOD_DUR"))</f>
        <v/>
      </c>
      <c r="Q11" s="14">
        <f>IF($A11="","",_xll.BDP($A11&amp;" Corp","YAS_OAS_SPRD"))</f>
        <v/>
      </c>
      <c r="R11" s="14">
        <f>IF($A11="","",_xll.BDP($A11&amp;" Corp","YAS_OAS_SPRD","SETTLE_DT",$B$2))</f>
        <v/>
      </c>
      <c r="S11" s="15">
        <f>IF($A11="","",IF(OR(NOT(ISNUMBER($Q11)),NOT(ISNUMBER($R11))),"",$Q11-$R11))</f>
        <v/>
      </c>
      <c r="T11" s="13">
        <f>IF($A11="","",_xll.BDP($A11&amp;" Corp","YAS_BOND_YLD","YAS_YLD_FLAG=15","SETTLE_DT",$B$2))</f>
        <v/>
      </c>
      <c r="U11" s="16">
        <f>IF($A11="","",IF(OR(NOT(ISNUMBER($O11)),NOT(ISNUMBER($T11))),"",$O11-$T11))</f>
        <v/>
      </c>
    </row>
    <row r="12">
      <c r="A12" s="17" t="inlineStr">
        <is>
          <t>US24703DBT72</t>
        </is>
      </c>
      <c r="B12" s="18">
        <f>IF($A12="","",_xll.BDP($A12&amp;" Corp","SECURITY_DES"))</f>
        <v/>
      </c>
      <c r="C12" s="18">
        <f>IF($A12="","",PROPER(_xll.BDP($A12&amp;" Corp","NAME")))</f>
        <v/>
      </c>
      <c r="D12" s="19">
        <f>IF($A12="","",IFERROR(_xll.BDP($A12&amp;" Corp","CIE_DES"),""))</f>
        <v/>
      </c>
      <c r="E12" s="18">
        <f>IF($A12="","",_xll.BDP($A12&amp;" Corp","INDUSTRY_SECTOR"))</f>
        <v/>
      </c>
      <c r="F12" s="18">
        <f>IF($A12="","",_xll.BDP($A12&amp;" Corp","INDUSTRY_GROUP"))</f>
        <v/>
      </c>
      <c r="G12" s="18">
        <f>IF($A12="","",PROPER(_xll.BDP($A12&amp;" Corp","COUNTRY_FULL_NAME")))</f>
        <v/>
      </c>
      <c r="H12" s="18">
        <f>IF($A12="","",_xll.BDP($A12&amp;" Corp","CRNCY"))</f>
        <v/>
      </c>
      <c r="I12" s="18">
        <f>IF($A12="","",IFERROR(_xll.BDP($A12&amp;" Corp","BB_COMPOSITE"),_xll.BDP($A12&amp;" Corp","RTG_SP")))</f>
        <v/>
      </c>
      <c r="J12" s="18">
        <f>IF($A12="","",_xll.BDP($A12&amp;" Corp","PAYMENT_RANK"))</f>
        <v/>
      </c>
      <c r="K12" s="20">
        <f>IF($A12="","",_xll.BDP($A12&amp;" Corp","CPN"))</f>
        <v/>
      </c>
      <c r="L12" s="21">
        <f>IF($A12="","",_xll.BDP($A12&amp;" Corp","MATURITY"))</f>
        <v/>
      </c>
      <c r="M12" s="22">
        <f>IF($A12="","",IFERROR(_xll.BDP($A12&amp;" Corp","MIN_PIECE")/1000,""))</f>
        <v/>
      </c>
      <c r="N12" s="23">
        <f>IF($A12="","",_xll.BDP($A12&amp;" Corp","PX_LAST"))</f>
        <v/>
      </c>
      <c r="O12" s="23">
        <f>IF($A12="","",_xll.BDP($A12&amp;" Corp","YAS_BOND_YLD","YAS_YLD_FLAG=15"))</f>
        <v/>
      </c>
      <c r="P12" s="23">
        <f>IF($A12="","",_xll.BDP($A12&amp;" Corp","YAS_MOD_DUR"))</f>
        <v/>
      </c>
      <c r="Q12" s="24">
        <f>IF($A12="","",_xll.BDP($A12&amp;" Corp","YAS_OAS_SPRD"))</f>
        <v/>
      </c>
      <c r="R12" s="24">
        <f>IF($A12="","",_xll.BDP($A12&amp;" Corp","YAS_OAS_SPRD","SETTLE_DT",$B$2))</f>
        <v/>
      </c>
      <c r="S12" s="25">
        <f>IF($A12="","",IF(OR(NOT(ISNUMBER($Q12)),NOT(ISNUMBER($R12))),"",$Q12-$R12))</f>
        <v/>
      </c>
      <c r="T12" s="23">
        <f>IF($A12="","",_xll.BDP($A12&amp;" Corp","YAS_BOND_YLD","YAS_YLD_FLAG=15","SETTLE_DT",$B$2))</f>
        <v/>
      </c>
      <c r="U12" s="26">
        <f>IF($A12="","",IF(OR(NOT(ISNUMBER($O12)),NOT(ISNUMBER($T12))),"",$O12-$T12))</f>
        <v/>
      </c>
    </row>
    <row r="13">
      <c r="A13" s="7" t="inlineStr">
        <is>
          <t>USE2428RAL99</t>
        </is>
      </c>
      <c r="B13" s="8">
        <f>IF($A13="","",_xll.BDP($A13&amp;" Corp","SECURITY_DES"))</f>
        <v/>
      </c>
      <c r="C13" s="8">
        <f>IF($A13="","",PROPER(_xll.BDP($A13&amp;" Corp","NAME")))</f>
        <v/>
      </c>
      <c r="D13" s="9">
        <f>IF($A13="","",IFERROR(_xll.BDP($A13&amp;" Corp","CIE_DES"),""))</f>
        <v/>
      </c>
      <c r="E13" s="8">
        <f>IF($A13="","",_xll.BDP($A13&amp;" Corp","INDUSTRY_SECTOR"))</f>
        <v/>
      </c>
      <c r="F13" s="8">
        <f>IF($A13="","",_xll.BDP($A13&amp;" Corp","INDUSTRY_GROUP"))</f>
        <v/>
      </c>
      <c r="G13" s="8">
        <f>IF($A13="","",PROPER(_xll.BDP($A13&amp;" Corp","COUNTRY_FULL_NAME")))</f>
        <v/>
      </c>
      <c r="H13" s="8">
        <f>IF($A13="","",_xll.BDP($A13&amp;" Corp","CRNCY"))</f>
        <v/>
      </c>
      <c r="I13" s="8">
        <f>IF($A13="","",IFERROR(_xll.BDP($A13&amp;" Corp","BB_COMPOSITE"),_xll.BDP($A13&amp;" Corp","RTG_SP")))</f>
        <v/>
      </c>
      <c r="J13" s="8">
        <f>IF($A13="","",_xll.BDP($A13&amp;" Corp","PAYMENT_RANK"))</f>
        <v/>
      </c>
      <c r="K13" s="10">
        <f>IF($A13="","",_xll.BDP($A13&amp;" Corp","CPN"))</f>
        <v/>
      </c>
      <c r="L13" s="11">
        <f>IF($A13="","",_xll.BDP($A13&amp;" Corp","MATURITY"))</f>
        <v/>
      </c>
      <c r="M13" s="12">
        <f>IF($A13="","",IFERROR(_xll.BDP($A13&amp;" Corp","MIN_PIECE")/1000,""))</f>
        <v/>
      </c>
      <c r="N13" s="13">
        <f>IF($A13="","",_xll.BDP($A13&amp;" Corp","PX_LAST"))</f>
        <v/>
      </c>
      <c r="O13" s="13">
        <f>IF($A13="","",_xll.BDP($A13&amp;" Corp","YAS_BOND_YLD","YAS_YLD_FLAG=15"))</f>
        <v/>
      </c>
      <c r="P13" s="13">
        <f>IF($A13="","",_xll.BDP($A13&amp;" Corp","YAS_MOD_DUR"))</f>
        <v/>
      </c>
      <c r="Q13" s="14">
        <f>IF($A13="","",_xll.BDP($A13&amp;" Corp","YAS_OAS_SPRD"))</f>
        <v/>
      </c>
      <c r="R13" s="14">
        <f>IF($A13="","",_xll.BDP($A13&amp;" Corp","YAS_OAS_SPRD","SETTLE_DT",$B$2))</f>
        <v/>
      </c>
      <c r="S13" s="15">
        <f>IF($A13="","",IF(OR(NOT(ISNUMBER($Q13)),NOT(ISNUMBER($R13))),"",$Q13-$R13))</f>
        <v/>
      </c>
      <c r="T13" s="13">
        <f>IF($A13="","",_xll.BDP($A13&amp;" Corp","YAS_BOND_YLD","YAS_YLD_FLAG=15","SETTLE_DT",$B$2))</f>
        <v/>
      </c>
      <c r="U13" s="16">
        <f>IF($A13="","",IF(OR(NOT(ISNUMBER($O13)),NOT(ISNUMBER($T13))),"",$O13-$T13))</f>
        <v/>
      </c>
    </row>
    <row r="14">
      <c r="A14" s="17" t="inlineStr">
        <is>
          <t>US404280FE46</t>
        </is>
      </c>
      <c r="B14" s="18">
        <f>IF($A14="","",_xll.BDP($A14&amp;" Corp","SECURITY_DES"))</f>
        <v/>
      </c>
      <c r="C14" s="18">
        <f>IF($A14="","",PROPER(_xll.BDP($A14&amp;" Corp","NAME")))</f>
        <v/>
      </c>
      <c r="D14" s="19">
        <f>IF($A14="","",IFERROR(_xll.BDP($A14&amp;" Corp","CIE_DES"),""))</f>
        <v/>
      </c>
      <c r="E14" s="18">
        <f>IF($A14="","",_xll.BDP($A14&amp;" Corp","INDUSTRY_SECTOR"))</f>
        <v/>
      </c>
      <c r="F14" s="18">
        <f>IF($A14="","",_xll.BDP($A14&amp;" Corp","INDUSTRY_GROUP"))</f>
        <v/>
      </c>
      <c r="G14" s="18">
        <f>IF($A14="","",PROPER(_xll.BDP($A14&amp;" Corp","COUNTRY_FULL_NAME")))</f>
        <v/>
      </c>
      <c r="H14" s="18">
        <f>IF($A14="","",_xll.BDP($A14&amp;" Corp","CRNCY"))</f>
        <v/>
      </c>
      <c r="I14" s="18">
        <f>IF($A14="","",IFERROR(_xll.BDP($A14&amp;" Corp","BB_COMPOSITE"),_xll.BDP($A14&amp;" Corp","RTG_SP")))</f>
        <v/>
      </c>
      <c r="J14" s="18">
        <f>IF($A14="","",_xll.BDP($A14&amp;" Corp","PAYMENT_RANK"))</f>
        <v/>
      </c>
      <c r="K14" s="20">
        <f>IF($A14="","",_xll.BDP($A14&amp;" Corp","CPN"))</f>
        <v/>
      </c>
      <c r="L14" s="21">
        <f>IF($A14="","",_xll.BDP($A14&amp;" Corp","MATURITY"))</f>
        <v/>
      </c>
      <c r="M14" s="22">
        <f>IF($A14="","",IFERROR(_xll.BDP($A14&amp;" Corp","MIN_PIECE")/1000,""))</f>
        <v/>
      </c>
      <c r="N14" s="23">
        <f>IF($A14="","",_xll.BDP($A14&amp;" Corp","PX_LAST"))</f>
        <v/>
      </c>
      <c r="O14" s="23">
        <f>IF($A14="","",_xll.BDP($A14&amp;" Corp","YAS_BOND_YLD","YAS_YLD_FLAG=15"))</f>
        <v/>
      </c>
      <c r="P14" s="23">
        <f>IF($A14="","",_xll.BDP($A14&amp;" Corp","YAS_MOD_DUR"))</f>
        <v/>
      </c>
      <c r="Q14" s="24">
        <f>IF($A14="","",_xll.BDP($A14&amp;" Corp","YAS_OAS_SPRD"))</f>
        <v/>
      </c>
      <c r="R14" s="24">
        <f>IF($A14="","",_xll.BDP($A14&amp;" Corp","YAS_OAS_SPRD","SETTLE_DT",$B$2))</f>
        <v/>
      </c>
      <c r="S14" s="25">
        <f>IF($A14="","",IF(OR(NOT(ISNUMBER($Q14)),NOT(ISNUMBER($R14))),"",$Q14-$R14))</f>
        <v/>
      </c>
      <c r="T14" s="23">
        <f>IF($A14="","",_xll.BDP($A14&amp;" Corp","YAS_BOND_YLD","YAS_YLD_FLAG=15","SETTLE_DT",$B$2))</f>
        <v/>
      </c>
      <c r="U14" s="26">
        <f>IF($A14="","",IF(OR(NOT(ISNUMBER($O14)),NOT(ISNUMBER($T14))),"",$O14-$T14))</f>
        <v/>
      </c>
    </row>
    <row r="15">
      <c r="A15" s="7" t="inlineStr">
        <is>
          <t>US61748UAM45</t>
        </is>
      </c>
      <c r="B15" s="8">
        <f>IF($A15="","",_xll.BDP($A15&amp;" Corp","SECURITY_DES"))</f>
        <v/>
      </c>
      <c r="C15" s="8">
        <f>IF($A15="","",PROPER(_xll.BDP($A15&amp;" Corp","NAME")))</f>
        <v/>
      </c>
      <c r="D15" s="9">
        <f>IF($A15="","",IFERROR(_xll.BDP($A15&amp;" Corp","CIE_DES"),""))</f>
        <v/>
      </c>
      <c r="E15" s="8">
        <f>IF($A15="","",_xll.BDP($A15&amp;" Corp","INDUSTRY_SECTOR"))</f>
        <v/>
      </c>
      <c r="F15" s="8">
        <f>IF($A15="","",_xll.BDP($A15&amp;" Corp","INDUSTRY_GROUP"))</f>
        <v/>
      </c>
      <c r="G15" s="8">
        <f>IF($A15="","",PROPER(_xll.BDP($A15&amp;" Corp","COUNTRY_FULL_NAME")))</f>
        <v/>
      </c>
      <c r="H15" s="8">
        <f>IF($A15="","",_xll.BDP($A15&amp;" Corp","CRNCY"))</f>
        <v/>
      </c>
      <c r="I15" s="8">
        <f>IF($A15="","",IFERROR(_xll.BDP($A15&amp;" Corp","BB_COMPOSITE"),_xll.BDP($A15&amp;" Corp","RTG_SP")))</f>
        <v/>
      </c>
      <c r="J15" s="8">
        <f>IF($A15="","",_xll.BDP($A15&amp;" Corp","PAYMENT_RANK"))</f>
        <v/>
      </c>
      <c r="K15" s="10">
        <f>IF($A15="","",_xll.BDP($A15&amp;" Corp","CPN"))</f>
        <v/>
      </c>
      <c r="L15" s="11">
        <f>IF($A15="","",_xll.BDP($A15&amp;" Corp","MATURITY"))</f>
        <v/>
      </c>
      <c r="M15" s="12">
        <f>IF($A15="","",IFERROR(_xll.BDP($A15&amp;" Corp","MIN_PIECE")/1000,""))</f>
        <v/>
      </c>
      <c r="N15" s="13">
        <f>IF($A15="","",_xll.BDP($A15&amp;" Corp","PX_LAST"))</f>
        <v/>
      </c>
      <c r="O15" s="13">
        <f>IF($A15="","",_xll.BDP($A15&amp;" Corp","YAS_BOND_YLD","YAS_YLD_FLAG=15"))</f>
        <v/>
      </c>
      <c r="P15" s="13">
        <f>IF($A15="","",_xll.BDP($A15&amp;" Corp","YAS_MOD_DUR"))</f>
        <v/>
      </c>
      <c r="Q15" s="14">
        <f>IF($A15="","",_xll.BDP($A15&amp;" Corp","YAS_OAS_SPRD"))</f>
        <v/>
      </c>
      <c r="R15" s="14">
        <f>IF($A15="","",_xll.BDP($A15&amp;" Corp","YAS_OAS_SPRD","SETTLE_DT",$B$2))</f>
        <v/>
      </c>
      <c r="S15" s="15">
        <f>IF($A15="","",IF(OR(NOT(ISNUMBER($Q15)),NOT(ISNUMBER($R15))),"",$Q15-$R15))</f>
        <v/>
      </c>
      <c r="T15" s="13">
        <f>IF($A15="","",_xll.BDP($A15&amp;" Corp","YAS_BOND_YLD","YAS_YLD_FLAG=15","SETTLE_DT",$B$2))</f>
        <v/>
      </c>
      <c r="U15" s="16">
        <f>IF($A15="","",IF(OR(NOT(ISNUMBER($O15)),NOT(ISNUMBER($T15))),"",$O15-$T15))</f>
        <v/>
      </c>
    </row>
    <row r="16">
      <c r="A16" s="17" t="inlineStr">
        <is>
          <t>XS3074432959</t>
        </is>
      </c>
      <c r="B16" s="18">
        <f>IF($A16="","",_xll.BDP($A16&amp;" Corp","SECURITY_DES"))</f>
        <v/>
      </c>
      <c r="C16" s="18">
        <f>IF($A16="","",PROPER(_xll.BDP($A16&amp;" Corp","NAME")))</f>
        <v/>
      </c>
      <c r="D16" s="19">
        <f>IF($A16="","",IFERROR(_xll.BDP($A16&amp;" Corp","CIE_DES"),""))</f>
        <v/>
      </c>
      <c r="E16" s="18">
        <f>IF($A16="","",_xll.BDP($A16&amp;" Corp","INDUSTRY_SECTOR"))</f>
        <v/>
      </c>
      <c r="F16" s="18">
        <f>IF($A16="","",_xll.BDP($A16&amp;" Corp","INDUSTRY_GROUP"))</f>
        <v/>
      </c>
      <c r="G16" s="18">
        <f>IF($A16="","",PROPER(_xll.BDP($A16&amp;" Corp","COUNTRY_FULL_NAME")))</f>
        <v/>
      </c>
      <c r="H16" s="18">
        <f>IF($A16="","",_xll.BDP($A16&amp;" Corp","CRNCY"))</f>
        <v/>
      </c>
      <c r="I16" s="18">
        <f>IF($A16="","",IFERROR(_xll.BDP($A16&amp;" Corp","BB_COMPOSITE"),_xll.BDP($A16&amp;" Corp","RTG_SP")))</f>
        <v/>
      </c>
      <c r="J16" s="18">
        <f>IF($A16="","",_xll.BDP($A16&amp;" Corp","PAYMENT_RANK"))</f>
        <v/>
      </c>
      <c r="K16" s="20">
        <f>IF($A16="","",_xll.BDP($A16&amp;" Corp","CPN"))</f>
        <v/>
      </c>
      <c r="L16" s="21">
        <f>IF($A16="","",_xll.BDP($A16&amp;" Corp","MATURITY"))</f>
        <v/>
      </c>
      <c r="M16" s="22">
        <f>IF($A16="","",IFERROR(_xll.BDP($A16&amp;" Corp","MIN_PIECE")/1000,""))</f>
        <v/>
      </c>
      <c r="N16" s="23">
        <f>IF($A16="","",_xll.BDP($A16&amp;" Corp","PX_LAST"))</f>
        <v/>
      </c>
      <c r="O16" s="23">
        <f>IF($A16="","",_xll.BDP($A16&amp;" Corp","YAS_BOND_YLD","YAS_YLD_FLAG=15"))</f>
        <v/>
      </c>
      <c r="P16" s="23">
        <f>IF($A16="","",_xll.BDP($A16&amp;" Corp","YAS_MOD_DUR"))</f>
        <v/>
      </c>
      <c r="Q16" s="24">
        <f>IF($A16="","",_xll.BDP($A16&amp;" Corp","YAS_OAS_SPRD"))</f>
        <v/>
      </c>
      <c r="R16" s="24">
        <f>IF($A16="","",_xll.BDP($A16&amp;" Corp","YAS_OAS_SPRD","SETTLE_DT",$B$2))</f>
        <v/>
      </c>
      <c r="S16" s="25">
        <f>IF($A16="","",IF(OR(NOT(ISNUMBER($Q16)),NOT(ISNUMBER($R16))),"",$Q16-$R16))</f>
        <v/>
      </c>
      <c r="T16" s="23">
        <f>IF($A16="","",_xll.BDP($A16&amp;" Corp","YAS_BOND_YLD","YAS_YLD_FLAG=15","SETTLE_DT",$B$2))</f>
        <v/>
      </c>
      <c r="U16" s="26">
        <f>IF($A16="","",IF(OR(NOT(ISNUMBER($O16)),NOT(ISNUMBER($T16))),"",$O16-$T16))</f>
        <v/>
      </c>
    </row>
    <row r="17">
      <c r="A17" s="7" t="inlineStr">
        <is>
          <t>USU7603CAB29</t>
        </is>
      </c>
      <c r="B17" s="8">
        <f>IF($A17="","",_xll.BDP($A17&amp;" Corp","SECURITY_DES"))</f>
        <v/>
      </c>
      <c r="C17" s="8">
        <f>IF($A17="","",PROPER(_xll.BDP($A17&amp;" Corp","NAME")))</f>
        <v/>
      </c>
      <c r="D17" s="9">
        <f>IF($A17="","",IFERROR(_xll.BDP($A17&amp;" Corp","CIE_DES"),""))</f>
        <v/>
      </c>
      <c r="E17" s="8">
        <f>IF($A17="","",_xll.BDP($A17&amp;" Corp","INDUSTRY_SECTOR"))</f>
        <v/>
      </c>
      <c r="F17" s="8">
        <f>IF($A17="","",_xll.BDP($A17&amp;" Corp","INDUSTRY_GROUP"))</f>
        <v/>
      </c>
      <c r="G17" s="8">
        <f>IF($A17="","",PROPER(_xll.BDP($A17&amp;" Corp","COUNTRY_FULL_NAME")))</f>
        <v/>
      </c>
      <c r="H17" s="8">
        <f>IF($A17="","",_xll.BDP($A17&amp;" Corp","CRNCY"))</f>
        <v/>
      </c>
      <c r="I17" s="8">
        <f>IF($A17="","",IFERROR(_xll.BDP($A17&amp;" Corp","BB_COMPOSITE"),_xll.BDP($A17&amp;" Corp","RTG_SP")))</f>
        <v/>
      </c>
      <c r="J17" s="8">
        <f>IF($A17="","",_xll.BDP($A17&amp;" Corp","PAYMENT_RANK"))</f>
        <v/>
      </c>
      <c r="K17" s="10">
        <f>IF($A17="","",_xll.BDP($A17&amp;" Corp","CPN"))</f>
        <v/>
      </c>
      <c r="L17" s="11">
        <f>IF($A17="","",_xll.BDP($A17&amp;" Corp","MATURITY"))</f>
        <v/>
      </c>
      <c r="M17" s="12">
        <f>IF($A17="","",IFERROR(_xll.BDP($A17&amp;" Corp","MIN_PIECE")/1000,""))</f>
        <v/>
      </c>
      <c r="N17" s="13">
        <f>IF($A17="","",_xll.BDP($A17&amp;" Corp","PX_LAST"))</f>
        <v/>
      </c>
      <c r="O17" s="13">
        <f>IF($A17="","",_xll.BDP($A17&amp;" Corp","YAS_BOND_YLD","YAS_YLD_FLAG=15"))</f>
        <v/>
      </c>
      <c r="P17" s="13">
        <f>IF($A17="","",_xll.BDP($A17&amp;" Corp","YAS_MOD_DUR"))</f>
        <v/>
      </c>
      <c r="Q17" s="14">
        <f>IF($A17="","",_xll.BDP($A17&amp;" Corp","YAS_OAS_SPRD"))</f>
        <v/>
      </c>
      <c r="R17" s="14">
        <f>IF($A17="","",_xll.BDP($A17&amp;" Corp","YAS_OAS_SPRD","SETTLE_DT",$B$2))</f>
        <v/>
      </c>
      <c r="S17" s="15">
        <f>IF($A17="","",IF(OR(NOT(ISNUMBER($Q17)),NOT(ISNUMBER($R17))),"",$Q17-$R17))</f>
        <v/>
      </c>
      <c r="T17" s="13">
        <f>IF($A17="","",_xll.BDP($A17&amp;" Corp","YAS_BOND_YLD","YAS_YLD_FLAG=15","SETTLE_DT",$B$2))</f>
        <v/>
      </c>
      <c r="U17" s="16">
        <f>IF($A17="","",IF(OR(NOT(ISNUMBER($O17)),NOT(ISNUMBER($T17))),"",$O17-$T17))</f>
        <v/>
      </c>
    </row>
    <row r="18">
      <c r="A18" s="17" t="inlineStr">
        <is>
          <t>USU37818BY30</t>
        </is>
      </c>
      <c r="B18" s="18">
        <f>IF($A18="","",_xll.BDP($A18&amp;" Corp","SECURITY_DES"))</f>
        <v/>
      </c>
      <c r="C18" s="18">
        <f>IF($A18="","",PROPER(_xll.BDP($A18&amp;" Corp","NAME")))</f>
        <v/>
      </c>
      <c r="D18" s="19">
        <f>IF($A18="","",IFERROR(_xll.BDP($A18&amp;" Corp","CIE_DES"),""))</f>
        <v/>
      </c>
      <c r="E18" s="18">
        <f>IF($A18="","",_xll.BDP($A18&amp;" Corp","INDUSTRY_SECTOR"))</f>
        <v/>
      </c>
      <c r="F18" s="18">
        <f>IF($A18="","",_xll.BDP($A18&amp;" Corp","INDUSTRY_GROUP"))</f>
        <v/>
      </c>
      <c r="G18" s="18">
        <f>IF($A18="","",PROPER(_xll.BDP($A18&amp;" Corp","COUNTRY_FULL_NAME")))</f>
        <v/>
      </c>
      <c r="H18" s="18">
        <f>IF($A18="","",_xll.BDP($A18&amp;" Corp","CRNCY"))</f>
        <v/>
      </c>
      <c r="I18" s="18">
        <f>IF($A18="","",IFERROR(_xll.BDP($A18&amp;" Corp","BB_COMPOSITE"),_xll.BDP($A18&amp;" Corp","RTG_SP")))</f>
        <v/>
      </c>
      <c r="J18" s="18">
        <f>IF($A18="","",_xll.BDP($A18&amp;" Corp","PAYMENT_RANK"))</f>
        <v/>
      </c>
      <c r="K18" s="20">
        <f>IF($A18="","",_xll.BDP($A18&amp;" Corp","CPN"))</f>
        <v/>
      </c>
      <c r="L18" s="21">
        <f>IF($A18="","",_xll.BDP($A18&amp;" Corp","MATURITY"))</f>
        <v/>
      </c>
      <c r="M18" s="22">
        <f>IF($A18="","",IFERROR(_xll.BDP($A18&amp;" Corp","MIN_PIECE")/1000,""))</f>
        <v/>
      </c>
      <c r="N18" s="23">
        <f>IF($A18="","",_xll.BDP($A18&amp;" Corp","PX_LAST"))</f>
        <v/>
      </c>
      <c r="O18" s="23">
        <f>IF($A18="","",_xll.BDP($A18&amp;" Corp","YAS_BOND_YLD","YAS_YLD_FLAG=15"))</f>
        <v/>
      </c>
      <c r="P18" s="23">
        <f>IF($A18="","",_xll.BDP($A18&amp;" Corp","YAS_MOD_DUR"))</f>
        <v/>
      </c>
      <c r="Q18" s="24">
        <f>IF($A18="","",_xll.BDP($A18&amp;" Corp","YAS_OAS_SPRD"))</f>
        <v/>
      </c>
      <c r="R18" s="24">
        <f>IF($A18="","",_xll.BDP($A18&amp;" Corp","YAS_OAS_SPRD","SETTLE_DT",$B$2))</f>
        <v/>
      </c>
      <c r="S18" s="25">
        <f>IF($A18="","",IF(OR(NOT(ISNUMBER($Q18)),NOT(ISNUMBER($R18))),"",$Q18-$R18))</f>
        <v/>
      </c>
      <c r="T18" s="23">
        <f>IF($A18="","",_xll.BDP($A18&amp;" Corp","YAS_BOND_YLD","YAS_YLD_FLAG=15","SETTLE_DT",$B$2))</f>
        <v/>
      </c>
      <c r="U18" s="26">
        <f>IF($A18="","",IF(OR(NOT(ISNUMBER($O18)),NOT(ISNUMBER($T18))),"",$O18-$T18))</f>
        <v/>
      </c>
    </row>
    <row r="19">
      <c r="A19" s="7" t="inlineStr">
        <is>
          <t>US06051GNA30</t>
        </is>
      </c>
      <c r="B19" s="8">
        <f>IF($A19="","",_xll.BDP($A19&amp;" Corp","SECURITY_DES"))</f>
        <v/>
      </c>
      <c r="C19" s="8">
        <f>IF($A19="","",PROPER(_xll.BDP($A19&amp;" Corp","NAME")))</f>
        <v/>
      </c>
      <c r="D19" s="9">
        <f>IF($A19="","",IFERROR(_xll.BDP($A19&amp;" Corp","CIE_DES"),""))</f>
        <v/>
      </c>
      <c r="E19" s="8">
        <f>IF($A19="","",_xll.BDP($A19&amp;" Corp","INDUSTRY_SECTOR"))</f>
        <v/>
      </c>
      <c r="F19" s="8">
        <f>IF($A19="","",_xll.BDP($A19&amp;" Corp","INDUSTRY_GROUP"))</f>
        <v/>
      </c>
      <c r="G19" s="8">
        <f>IF($A19="","",PROPER(_xll.BDP($A19&amp;" Corp","COUNTRY_FULL_NAME")))</f>
        <v/>
      </c>
      <c r="H19" s="8">
        <f>IF($A19="","",_xll.BDP($A19&amp;" Corp","CRNCY"))</f>
        <v/>
      </c>
      <c r="I19" s="8">
        <f>IF($A19="","",IFERROR(_xll.BDP($A19&amp;" Corp","BB_COMPOSITE"),_xll.BDP($A19&amp;" Corp","RTG_SP")))</f>
        <v/>
      </c>
      <c r="J19" s="8">
        <f>IF($A19="","",_xll.BDP($A19&amp;" Corp","PAYMENT_RANK"))</f>
        <v/>
      </c>
      <c r="K19" s="10">
        <f>IF($A19="","",_xll.BDP($A19&amp;" Corp","CPN"))</f>
        <v/>
      </c>
      <c r="L19" s="11">
        <f>IF($A19="","",_xll.BDP($A19&amp;" Corp","MATURITY"))</f>
        <v/>
      </c>
      <c r="M19" s="12">
        <f>IF($A19="","",IFERROR(_xll.BDP($A19&amp;" Corp","MIN_PIECE")/1000,""))</f>
        <v/>
      </c>
      <c r="N19" s="13">
        <f>IF($A19="","",_xll.BDP($A19&amp;" Corp","PX_LAST"))</f>
        <v/>
      </c>
      <c r="O19" s="13">
        <f>IF($A19="","",_xll.BDP($A19&amp;" Corp","YAS_BOND_YLD","YAS_YLD_FLAG=15"))</f>
        <v/>
      </c>
      <c r="P19" s="13">
        <f>IF($A19="","",_xll.BDP($A19&amp;" Corp","YAS_MOD_DUR"))</f>
        <v/>
      </c>
      <c r="Q19" s="14">
        <f>IF($A19="","",_xll.BDP($A19&amp;" Corp","YAS_OAS_SPRD"))</f>
        <v/>
      </c>
      <c r="R19" s="14">
        <f>IF($A19="","",_xll.BDP($A19&amp;" Corp","YAS_OAS_SPRD","SETTLE_DT",$B$2))</f>
        <v/>
      </c>
      <c r="S19" s="15">
        <f>IF($A19="","",IF(OR(NOT(ISNUMBER($Q19)),NOT(ISNUMBER($R19))),"",$Q19-$R19))</f>
        <v/>
      </c>
      <c r="T19" s="13">
        <f>IF($A19="","",_xll.BDP($A19&amp;" Corp","YAS_BOND_YLD","YAS_YLD_FLAG=15","SETTLE_DT",$B$2))</f>
        <v/>
      </c>
      <c r="U19" s="16">
        <f>IF($A19="","",IF(OR(NOT(ISNUMBER($O19)),NOT(ISNUMBER($T19))),"",$O19-$T19))</f>
        <v/>
      </c>
    </row>
    <row r="20">
      <c r="A20" s="17" t="inlineStr">
        <is>
          <t>XS3270992640</t>
        </is>
      </c>
      <c r="B20" s="18">
        <f>IF($A20="","",_xll.BDP($A20&amp;" Corp","SECURITY_DES"))</f>
        <v/>
      </c>
      <c r="C20" s="18">
        <f>IF($A20="","",PROPER(_xll.BDP($A20&amp;" Corp","NAME")))</f>
        <v/>
      </c>
      <c r="D20" s="19">
        <f>IF($A20="","",IFERROR(_xll.BDP($A20&amp;" Corp","CIE_DES"),""))</f>
        <v/>
      </c>
      <c r="E20" s="18">
        <f>IF($A20="","",_xll.BDP($A20&amp;" Corp","INDUSTRY_SECTOR"))</f>
        <v/>
      </c>
      <c r="F20" s="18">
        <f>IF($A20="","",_xll.BDP($A20&amp;" Corp","INDUSTRY_GROUP"))</f>
        <v/>
      </c>
      <c r="G20" s="18">
        <f>IF($A20="","",PROPER(_xll.BDP($A20&amp;" Corp","COUNTRY_FULL_NAME")))</f>
        <v/>
      </c>
      <c r="H20" s="18">
        <f>IF($A20="","",_xll.BDP($A20&amp;" Corp","CRNCY"))</f>
        <v/>
      </c>
      <c r="I20" s="18">
        <f>IF($A20="","",IFERROR(_xll.BDP($A20&amp;" Corp","BB_COMPOSITE"),_xll.BDP($A20&amp;" Corp","RTG_SP")))</f>
        <v/>
      </c>
      <c r="J20" s="18">
        <f>IF($A20="","",_xll.BDP($A20&amp;" Corp","PAYMENT_RANK"))</f>
        <v/>
      </c>
      <c r="K20" s="20">
        <f>IF($A20="","",_xll.BDP($A20&amp;" Corp","CPN"))</f>
        <v/>
      </c>
      <c r="L20" s="21">
        <f>IF($A20="","",_xll.BDP($A20&amp;" Corp","MATURITY"))</f>
        <v/>
      </c>
      <c r="M20" s="22">
        <f>IF($A20="","",IFERROR(_xll.BDP($A20&amp;" Corp","MIN_PIECE")/1000,""))</f>
        <v/>
      </c>
      <c r="N20" s="23">
        <f>IF($A20="","",_xll.BDP($A20&amp;" Corp","PX_LAST"))</f>
        <v/>
      </c>
      <c r="O20" s="23">
        <f>IF($A20="","",_xll.BDP($A20&amp;" Corp","YAS_BOND_YLD","YAS_YLD_FLAG=15"))</f>
        <v/>
      </c>
      <c r="P20" s="23">
        <f>IF($A20="","",_xll.BDP($A20&amp;" Corp","YAS_MOD_DUR"))</f>
        <v/>
      </c>
      <c r="Q20" s="24">
        <f>IF($A20="","",_xll.BDP($A20&amp;" Corp","YAS_OAS_SPRD"))</f>
        <v/>
      </c>
      <c r="R20" s="24">
        <f>IF($A20="","",_xll.BDP($A20&amp;" Corp","YAS_OAS_SPRD","SETTLE_DT",$B$2))</f>
        <v/>
      </c>
      <c r="S20" s="25">
        <f>IF($A20="","",IF(OR(NOT(ISNUMBER($Q20)),NOT(ISNUMBER($R20))),"",$Q20-$R20))</f>
        <v/>
      </c>
      <c r="T20" s="23">
        <f>IF($A20="","",_xll.BDP($A20&amp;" Corp","YAS_BOND_YLD","YAS_YLD_FLAG=15","SETTLE_DT",$B$2))</f>
        <v/>
      </c>
      <c r="U20" s="26">
        <f>IF($A20="","",IF(OR(NOT(ISNUMBER($O20)),NOT(ISNUMBER($T20))),"",$O20-$T20))</f>
        <v/>
      </c>
    </row>
    <row r="21">
      <c r="A21" s="7" t="inlineStr">
        <is>
          <t>XS3282974933</t>
        </is>
      </c>
      <c r="B21" s="8">
        <f>IF($A21="","",_xll.BDP($A21&amp;" Corp","SECURITY_DES"))</f>
        <v/>
      </c>
      <c r="C21" s="8">
        <f>IF($A21="","",PROPER(_xll.BDP($A21&amp;" Corp","NAME")))</f>
        <v/>
      </c>
      <c r="D21" s="9">
        <f>IF($A21="","",IFERROR(_xll.BDP($A21&amp;" Corp","CIE_DES"),""))</f>
        <v/>
      </c>
      <c r="E21" s="8">
        <f>IF($A21="","",_xll.BDP($A21&amp;" Corp","INDUSTRY_SECTOR"))</f>
        <v/>
      </c>
      <c r="F21" s="8">
        <f>IF($A21="","",_xll.BDP($A21&amp;" Corp","INDUSTRY_GROUP"))</f>
        <v/>
      </c>
      <c r="G21" s="8">
        <f>IF($A21="","",PROPER(_xll.BDP($A21&amp;" Corp","COUNTRY_FULL_NAME")))</f>
        <v/>
      </c>
      <c r="H21" s="8">
        <f>IF($A21="","",_xll.BDP($A21&amp;" Corp","CRNCY"))</f>
        <v/>
      </c>
      <c r="I21" s="8">
        <f>IF($A21="","",IFERROR(_xll.BDP($A21&amp;" Corp","BB_COMPOSITE"),_xll.BDP($A21&amp;" Corp","RTG_SP")))</f>
        <v/>
      </c>
      <c r="J21" s="8">
        <f>IF($A21="","",_xll.BDP($A21&amp;" Corp","PAYMENT_RANK"))</f>
        <v/>
      </c>
      <c r="K21" s="10">
        <f>IF($A21="","",_xll.BDP($A21&amp;" Corp","CPN"))</f>
        <v/>
      </c>
      <c r="L21" s="11">
        <f>IF($A21="","",_xll.BDP($A21&amp;" Corp","MATURITY"))</f>
        <v/>
      </c>
      <c r="M21" s="12">
        <f>IF($A21="","",IFERROR(_xll.BDP($A21&amp;" Corp","MIN_PIECE")/1000,""))</f>
        <v/>
      </c>
      <c r="N21" s="13">
        <f>IF($A21="","",_xll.BDP($A21&amp;" Corp","PX_LAST"))</f>
        <v/>
      </c>
      <c r="O21" s="13">
        <f>IF($A21="","",_xll.BDP($A21&amp;" Corp","YAS_BOND_YLD","YAS_YLD_FLAG=15"))</f>
        <v/>
      </c>
      <c r="P21" s="13">
        <f>IF($A21="","",_xll.BDP($A21&amp;" Corp","YAS_MOD_DUR"))</f>
        <v/>
      </c>
      <c r="Q21" s="14">
        <f>IF($A21="","",_xll.BDP($A21&amp;" Corp","YAS_OAS_SPRD"))</f>
        <v/>
      </c>
      <c r="R21" s="14">
        <f>IF($A21="","",_xll.BDP($A21&amp;" Corp","YAS_OAS_SPRD","SETTLE_DT",$B$2))</f>
        <v/>
      </c>
      <c r="S21" s="15">
        <f>IF($A21="","",IF(OR(NOT(ISNUMBER($Q21)),NOT(ISNUMBER($R21))),"",$Q21-$R21))</f>
        <v/>
      </c>
      <c r="T21" s="13">
        <f>IF($A21="","",_xll.BDP($A21&amp;" Corp","YAS_BOND_YLD","YAS_YLD_FLAG=15","SETTLE_DT",$B$2))</f>
        <v/>
      </c>
      <c r="U21" s="16">
        <f>IF($A21="","",IF(OR(NOT(ISNUMBER($O21)),NOT(ISNUMBER($T21))),"",$O21-$T21))</f>
        <v/>
      </c>
    </row>
    <row r="22">
      <c r="A22" s="17" t="inlineStr">
        <is>
          <t>US29250NCQ60</t>
        </is>
      </c>
      <c r="B22" s="18">
        <f>IF($A22="","",_xll.BDP($A22&amp;" Corp","SECURITY_DES"))</f>
        <v/>
      </c>
      <c r="C22" s="18">
        <f>IF($A22="","",PROPER(_xll.BDP($A22&amp;" Corp","NAME")))</f>
        <v/>
      </c>
      <c r="D22" s="19">
        <f>IF($A22="","",IFERROR(_xll.BDP($A22&amp;" Corp","CIE_DES"),""))</f>
        <v/>
      </c>
      <c r="E22" s="18">
        <f>IF($A22="","",_xll.BDP($A22&amp;" Corp","INDUSTRY_SECTOR"))</f>
        <v/>
      </c>
      <c r="F22" s="18">
        <f>IF($A22="","",_xll.BDP($A22&amp;" Corp","INDUSTRY_GROUP"))</f>
        <v/>
      </c>
      <c r="G22" s="18">
        <f>IF($A22="","",PROPER(_xll.BDP($A22&amp;" Corp","COUNTRY_FULL_NAME")))</f>
        <v/>
      </c>
      <c r="H22" s="18">
        <f>IF($A22="","",_xll.BDP($A22&amp;" Corp","CRNCY"))</f>
        <v/>
      </c>
      <c r="I22" s="18">
        <f>IF($A22="","",IFERROR(_xll.BDP($A22&amp;" Corp","BB_COMPOSITE"),_xll.BDP($A22&amp;" Corp","RTG_SP")))</f>
        <v/>
      </c>
      <c r="J22" s="18">
        <f>IF($A22="","",_xll.BDP($A22&amp;" Corp","PAYMENT_RANK"))</f>
        <v/>
      </c>
      <c r="K22" s="20">
        <f>IF($A22="","",_xll.BDP($A22&amp;" Corp","CPN"))</f>
        <v/>
      </c>
      <c r="L22" s="21">
        <f>IF($A22="","",_xll.BDP($A22&amp;" Corp","MATURITY"))</f>
        <v/>
      </c>
      <c r="M22" s="22">
        <f>IF($A22="","",IFERROR(_xll.BDP($A22&amp;" Corp","MIN_PIECE")/1000,""))</f>
        <v/>
      </c>
      <c r="N22" s="23">
        <f>IF($A22="","",_xll.BDP($A22&amp;" Corp","PX_LAST"))</f>
        <v/>
      </c>
      <c r="O22" s="23">
        <f>IF($A22="","",_xll.BDP($A22&amp;" Corp","YAS_BOND_YLD","YAS_YLD_FLAG=15"))</f>
        <v/>
      </c>
      <c r="P22" s="23">
        <f>IF($A22="","",_xll.BDP($A22&amp;" Corp","YAS_MOD_DUR"))</f>
        <v/>
      </c>
      <c r="Q22" s="24">
        <f>IF($A22="","",_xll.BDP($A22&amp;" Corp","YAS_OAS_SPRD"))</f>
        <v/>
      </c>
      <c r="R22" s="24">
        <f>IF($A22="","",_xll.BDP($A22&amp;" Corp","YAS_OAS_SPRD","SETTLE_DT",$B$2))</f>
        <v/>
      </c>
      <c r="S22" s="25">
        <f>IF($A22="","",IF(OR(NOT(ISNUMBER($Q22)),NOT(ISNUMBER($R22))),"",$Q22-$R22))</f>
        <v/>
      </c>
      <c r="T22" s="23">
        <f>IF($A22="","",_xll.BDP($A22&amp;" Corp","YAS_BOND_YLD","YAS_YLD_FLAG=15","SETTLE_DT",$B$2))</f>
        <v/>
      </c>
      <c r="U22" s="26">
        <f>IF($A22="","",IF(OR(NOT(ISNUMBER($O22)),NOT(ISNUMBER($T22))),"",$O22-$T22))</f>
        <v/>
      </c>
    </row>
    <row r="23">
      <c r="A23" s="7" t="inlineStr">
        <is>
          <t>US04636NAR44</t>
        </is>
      </c>
      <c r="B23" s="8">
        <f>IF($A23="","",_xll.BDP($A23&amp;" Corp","SECURITY_DES"))</f>
        <v/>
      </c>
      <c r="C23" s="8">
        <f>IF($A23="","",PROPER(_xll.BDP($A23&amp;" Corp","NAME")))</f>
        <v/>
      </c>
      <c r="D23" s="9">
        <f>IF($A23="","",IFERROR(_xll.BDP($A23&amp;" Corp","CIE_DES"),""))</f>
        <v/>
      </c>
      <c r="E23" s="8">
        <f>IF($A23="","",_xll.BDP($A23&amp;" Corp","INDUSTRY_SECTOR"))</f>
        <v/>
      </c>
      <c r="F23" s="8">
        <f>IF($A23="","",_xll.BDP($A23&amp;" Corp","INDUSTRY_GROUP"))</f>
        <v/>
      </c>
      <c r="G23" s="8">
        <f>IF($A23="","",PROPER(_xll.BDP($A23&amp;" Corp","COUNTRY_FULL_NAME")))</f>
        <v/>
      </c>
      <c r="H23" s="8">
        <f>IF($A23="","",_xll.BDP($A23&amp;" Corp","CRNCY"))</f>
        <v/>
      </c>
      <c r="I23" s="8">
        <f>IF($A23="","",IFERROR(_xll.BDP($A23&amp;" Corp","BB_COMPOSITE"),_xll.BDP($A23&amp;" Corp","RTG_SP")))</f>
        <v/>
      </c>
      <c r="J23" s="8">
        <f>IF($A23="","",_xll.BDP($A23&amp;" Corp","PAYMENT_RANK"))</f>
        <v/>
      </c>
      <c r="K23" s="10">
        <f>IF($A23="","",_xll.BDP($A23&amp;" Corp","CPN"))</f>
        <v/>
      </c>
      <c r="L23" s="11">
        <f>IF($A23="","",_xll.BDP($A23&amp;" Corp","MATURITY"))</f>
        <v/>
      </c>
      <c r="M23" s="12">
        <f>IF($A23="","",IFERROR(_xll.BDP($A23&amp;" Corp","MIN_PIECE")/1000,""))</f>
        <v/>
      </c>
      <c r="N23" s="13">
        <f>IF($A23="","",_xll.BDP($A23&amp;" Corp","PX_LAST"))</f>
        <v/>
      </c>
      <c r="O23" s="13">
        <f>IF($A23="","",_xll.BDP($A23&amp;" Corp","YAS_BOND_YLD","YAS_YLD_FLAG=15"))</f>
        <v/>
      </c>
      <c r="P23" s="13">
        <f>IF($A23="","",_xll.BDP($A23&amp;" Corp","YAS_MOD_DUR"))</f>
        <v/>
      </c>
      <c r="Q23" s="14">
        <f>IF($A23="","",_xll.BDP($A23&amp;" Corp","YAS_OAS_SPRD"))</f>
        <v/>
      </c>
      <c r="R23" s="14">
        <f>IF($A23="","",_xll.BDP($A23&amp;" Corp","YAS_OAS_SPRD","SETTLE_DT",$B$2))</f>
        <v/>
      </c>
      <c r="S23" s="15">
        <f>IF($A23="","",IF(OR(NOT(ISNUMBER($Q23)),NOT(ISNUMBER($R23))),"",$Q23-$R23))</f>
        <v/>
      </c>
      <c r="T23" s="13">
        <f>IF($A23="","",_xll.BDP($A23&amp;" Corp","YAS_BOND_YLD","YAS_YLD_FLAG=15","SETTLE_DT",$B$2))</f>
        <v/>
      </c>
      <c r="U23" s="16">
        <f>IF($A23="","",IF(OR(NOT(ISNUMBER($O23)),NOT(ISNUMBER($T23))),"",$O23-$T23))</f>
        <v/>
      </c>
    </row>
    <row r="24">
      <c r="A24" s="17" t="inlineStr">
        <is>
          <t>US718172DP15</t>
        </is>
      </c>
      <c r="B24" s="18">
        <f>IF($A24="","",_xll.BDP($A24&amp;" Corp","SECURITY_DES"))</f>
        <v/>
      </c>
      <c r="C24" s="18">
        <f>IF($A24="","",PROPER(_xll.BDP($A24&amp;" Corp","NAME")))</f>
        <v/>
      </c>
      <c r="D24" s="19">
        <f>IF($A24="","",IFERROR(_xll.BDP($A24&amp;" Corp","CIE_DES"),""))</f>
        <v/>
      </c>
      <c r="E24" s="18">
        <f>IF($A24="","",_xll.BDP($A24&amp;" Corp","INDUSTRY_SECTOR"))</f>
        <v/>
      </c>
      <c r="F24" s="18">
        <f>IF($A24="","",_xll.BDP($A24&amp;" Corp","INDUSTRY_GROUP"))</f>
        <v/>
      </c>
      <c r="G24" s="18">
        <f>IF($A24="","",PROPER(_xll.BDP($A24&amp;" Corp","COUNTRY_FULL_NAME")))</f>
        <v/>
      </c>
      <c r="H24" s="18">
        <f>IF($A24="","",_xll.BDP($A24&amp;" Corp","CRNCY"))</f>
        <v/>
      </c>
      <c r="I24" s="18">
        <f>IF($A24="","",IFERROR(_xll.BDP($A24&amp;" Corp","BB_COMPOSITE"),_xll.BDP($A24&amp;" Corp","RTG_SP")))</f>
        <v/>
      </c>
      <c r="J24" s="18">
        <f>IF($A24="","",_xll.BDP($A24&amp;" Corp","PAYMENT_RANK"))</f>
        <v/>
      </c>
      <c r="K24" s="20">
        <f>IF($A24="","",_xll.BDP($A24&amp;" Corp","CPN"))</f>
        <v/>
      </c>
      <c r="L24" s="21">
        <f>IF($A24="","",_xll.BDP($A24&amp;" Corp","MATURITY"))</f>
        <v/>
      </c>
      <c r="M24" s="22">
        <f>IF($A24="","",IFERROR(_xll.BDP($A24&amp;" Corp","MIN_PIECE")/1000,""))</f>
        <v/>
      </c>
      <c r="N24" s="23">
        <f>IF($A24="","",_xll.BDP($A24&amp;" Corp","PX_LAST"))</f>
        <v/>
      </c>
      <c r="O24" s="23">
        <f>IF($A24="","",_xll.BDP($A24&amp;" Corp","YAS_BOND_YLD","YAS_YLD_FLAG=15"))</f>
        <v/>
      </c>
      <c r="P24" s="23">
        <f>IF($A24="","",_xll.BDP($A24&amp;" Corp","YAS_MOD_DUR"))</f>
        <v/>
      </c>
      <c r="Q24" s="24">
        <f>IF($A24="","",_xll.BDP($A24&amp;" Corp","YAS_OAS_SPRD"))</f>
        <v/>
      </c>
      <c r="R24" s="24">
        <f>IF($A24="","",_xll.BDP($A24&amp;" Corp","YAS_OAS_SPRD","SETTLE_DT",$B$2))</f>
        <v/>
      </c>
      <c r="S24" s="25">
        <f>IF($A24="","",IF(OR(NOT(ISNUMBER($Q24)),NOT(ISNUMBER($R24))),"",$Q24-$R24))</f>
        <v/>
      </c>
      <c r="T24" s="23">
        <f>IF($A24="","",_xll.BDP($A24&amp;" Corp","YAS_BOND_YLD","YAS_YLD_FLAG=15","SETTLE_DT",$B$2))</f>
        <v/>
      </c>
      <c r="U24" s="26">
        <f>IF($A24="","",IF(OR(NOT(ISNUMBER($O24)),NOT(ISNUMBER($T24))),"",$O24-$T24))</f>
        <v/>
      </c>
    </row>
    <row r="25">
      <c r="A25" s="7" t="n"/>
      <c r="B25" s="8">
        <f>IF($A25="","",_xll.BDP($A25&amp;" Corp","SECURITY_DES"))</f>
        <v/>
      </c>
      <c r="C25" s="8">
        <f>IF($A25="","",PROPER(_xll.BDP($A25&amp;" Corp","NAME")))</f>
        <v/>
      </c>
      <c r="D25" s="9">
        <f>IF($A25="","",IFERROR(_xll.BDP($A25&amp;" Corp","CIE_DES"),""))</f>
        <v/>
      </c>
      <c r="E25" s="8">
        <f>IF($A25="","",_xll.BDP($A25&amp;" Corp","INDUSTRY_SECTOR"))</f>
        <v/>
      </c>
      <c r="F25" s="8">
        <f>IF($A25="","",_xll.BDP($A25&amp;" Corp","INDUSTRY_GROUP"))</f>
        <v/>
      </c>
      <c r="G25" s="8">
        <f>IF($A25="","",PROPER(_xll.BDP($A25&amp;" Corp","COUNTRY_FULL_NAME")))</f>
        <v/>
      </c>
      <c r="H25" s="8">
        <f>IF($A25="","",_xll.BDP($A25&amp;" Corp","CRNCY"))</f>
        <v/>
      </c>
      <c r="I25" s="8">
        <f>IF($A25="","",IFERROR(_xll.BDP($A25&amp;" Corp","BB_COMPOSITE"),_xll.BDP($A25&amp;" Corp","RTG_SP")))</f>
        <v/>
      </c>
      <c r="J25" s="8">
        <f>IF($A25="","",_xll.BDP($A25&amp;" Corp","PAYMENT_RANK"))</f>
        <v/>
      </c>
      <c r="K25" s="10">
        <f>IF($A25="","",_xll.BDP($A25&amp;" Corp","CPN"))</f>
        <v/>
      </c>
      <c r="L25" s="11">
        <f>IF($A25="","",_xll.BDP($A25&amp;" Corp","MATURITY"))</f>
        <v/>
      </c>
      <c r="M25" s="12">
        <f>IF($A25="","",IFERROR(_xll.BDP($A25&amp;" Corp","MIN_PIECE")/1000,""))</f>
        <v/>
      </c>
      <c r="N25" s="13">
        <f>IF($A25="","",_xll.BDP($A25&amp;" Corp","PX_LAST"))</f>
        <v/>
      </c>
      <c r="O25" s="13">
        <f>IF($A25="","",_xll.BDP($A25&amp;" Corp","YAS_BOND_YLD","YAS_YLD_FLAG=15"))</f>
        <v/>
      </c>
      <c r="P25" s="13">
        <f>IF($A25="","",_xll.BDP($A25&amp;" Corp","YAS_MOD_DUR"))</f>
        <v/>
      </c>
      <c r="Q25" s="14">
        <f>IF($A25="","",_xll.BDP($A25&amp;" Corp","YAS_OAS_SPRD"))</f>
        <v/>
      </c>
      <c r="R25" s="14">
        <f>IF($A25="","",_xll.BDP($A25&amp;" Corp","YAS_OAS_SPRD","SETTLE_DT",$B$2))</f>
        <v/>
      </c>
      <c r="S25" s="15">
        <f>IF($A25="","",IF(OR(NOT(ISNUMBER($Q25)),NOT(ISNUMBER($R25))),"",$Q25-$R25))</f>
        <v/>
      </c>
      <c r="T25" s="13">
        <f>IF($A25="","",_xll.BDP($A25&amp;" Corp","YAS_BOND_YLD","YAS_YLD_FLAG=15","SETTLE_DT",$B$2))</f>
        <v/>
      </c>
      <c r="U25" s="16">
        <f>IF($A25="","",IF(OR(NOT(ISNUMBER($O25)),NOT(ISNUMBER($T25))),"",$O25-$T25))</f>
        <v/>
      </c>
    </row>
    <row r="26">
      <c r="A26" s="17" t="n"/>
      <c r="B26" s="18">
        <f>IF($A26="","",_xll.BDP($A26&amp;" Corp","SECURITY_DES"))</f>
        <v/>
      </c>
      <c r="C26" s="18">
        <f>IF($A26="","",PROPER(_xll.BDP($A26&amp;" Corp","NAME")))</f>
        <v/>
      </c>
      <c r="D26" s="19">
        <f>IF($A26="","",IFERROR(_xll.BDP($A26&amp;" Corp","CIE_DES"),""))</f>
        <v/>
      </c>
      <c r="E26" s="18">
        <f>IF($A26="","",_xll.BDP($A26&amp;" Corp","INDUSTRY_SECTOR"))</f>
        <v/>
      </c>
      <c r="F26" s="18">
        <f>IF($A26="","",_xll.BDP($A26&amp;" Corp","INDUSTRY_GROUP"))</f>
        <v/>
      </c>
      <c r="G26" s="18">
        <f>IF($A26="","",PROPER(_xll.BDP($A26&amp;" Corp","COUNTRY_FULL_NAME")))</f>
        <v/>
      </c>
      <c r="H26" s="18">
        <f>IF($A26="","",_xll.BDP($A26&amp;" Corp","CRNCY"))</f>
        <v/>
      </c>
      <c r="I26" s="18">
        <f>IF($A26="","",IFERROR(_xll.BDP($A26&amp;" Corp","BB_COMPOSITE"),_xll.BDP($A26&amp;" Corp","RTG_SP")))</f>
        <v/>
      </c>
      <c r="J26" s="18">
        <f>IF($A26="","",_xll.BDP($A26&amp;" Corp","PAYMENT_RANK"))</f>
        <v/>
      </c>
      <c r="K26" s="20">
        <f>IF($A26="","",_xll.BDP($A26&amp;" Corp","CPN"))</f>
        <v/>
      </c>
      <c r="L26" s="21">
        <f>IF($A26="","",_xll.BDP($A26&amp;" Corp","MATURITY"))</f>
        <v/>
      </c>
      <c r="M26" s="22">
        <f>IF($A26="","",IFERROR(_xll.BDP($A26&amp;" Corp","MIN_PIECE")/1000,""))</f>
        <v/>
      </c>
      <c r="N26" s="23">
        <f>IF($A26="","",_xll.BDP($A26&amp;" Corp","PX_LAST"))</f>
        <v/>
      </c>
      <c r="O26" s="23">
        <f>IF($A26="","",_xll.BDP($A26&amp;" Corp","YAS_BOND_YLD","YAS_YLD_FLAG=15"))</f>
        <v/>
      </c>
      <c r="P26" s="23">
        <f>IF($A26="","",_xll.BDP($A26&amp;" Corp","YAS_MOD_DUR"))</f>
        <v/>
      </c>
      <c r="Q26" s="24">
        <f>IF($A26="","",_xll.BDP($A26&amp;" Corp","YAS_OAS_SPRD"))</f>
        <v/>
      </c>
      <c r="R26" s="24">
        <f>IF($A26="","",_xll.BDP($A26&amp;" Corp","YAS_OAS_SPRD","SETTLE_DT",$B$2))</f>
        <v/>
      </c>
      <c r="S26" s="25">
        <f>IF($A26="","",IF(OR(NOT(ISNUMBER($Q26)),NOT(ISNUMBER($R26))),"",$Q26-$R26))</f>
        <v/>
      </c>
      <c r="T26" s="23">
        <f>IF($A26="","",_xll.BDP($A26&amp;" Corp","YAS_BOND_YLD","YAS_YLD_FLAG=15","SETTLE_DT",$B$2))</f>
        <v/>
      </c>
      <c r="U26" s="26">
        <f>IF($A26="","",IF(OR(NOT(ISNUMBER($O26)),NOT(ISNUMBER($T26))),"",$O26-$T26))</f>
        <v/>
      </c>
    </row>
    <row r="27">
      <c r="A27" s="7" t="n"/>
      <c r="B27" s="8">
        <f>IF($A27="","",_xll.BDP($A27&amp;" Corp","SECURITY_DES"))</f>
        <v/>
      </c>
      <c r="C27" s="8">
        <f>IF($A27="","",PROPER(_xll.BDP($A27&amp;" Corp","NAME")))</f>
        <v/>
      </c>
      <c r="D27" s="9">
        <f>IF($A27="","",IFERROR(_xll.BDP($A27&amp;" Corp","CIE_DES"),""))</f>
        <v/>
      </c>
      <c r="E27" s="8">
        <f>IF($A27="","",_xll.BDP($A27&amp;" Corp","INDUSTRY_SECTOR"))</f>
        <v/>
      </c>
      <c r="F27" s="8">
        <f>IF($A27="","",_xll.BDP($A27&amp;" Corp","INDUSTRY_GROUP"))</f>
        <v/>
      </c>
      <c r="G27" s="8">
        <f>IF($A27="","",PROPER(_xll.BDP($A27&amp;" Corp","COUNTRY_FULL_NAME")))</f>
        <v/>
      </c>
      <c r="H27" s="8">
        <f>IF($A27="","",_xll.BDP($A27&amp;" Corp","CRNCY"))</f>
        <v/>
      </c>
      <c r="I27" s="8">
        <f>IF($A27="","",IFERROR(_xll.BDP($A27&amp;" Corp","BB_COMPOSITE"),_xll.BDP($A27&amp;" Corp","RTG_SP")))</f>
        <v/>
      </c>
      <c r="J27" s="8">
        <f>IF($A27="","",_xll.BDP($A27&amp;" Corp","PAYMENT_RANK"))</f>
        <v/>
      </c>
      <c r="K27" s="10">
        <f>IF($A27="","",_xll.BDP($A27&amp;" Corp","CPN"))</f>
        <v/>
      </c>
      <c r="L27" s="11">
        <f>IF($A27="","",_xll.BDP($A27&amp;" Corp","MATURITY"))</f>
        <v/>
      </c>
      <c r="M27" s="12">
        <f>IF($A27="","",IFERROR(_xll.BDP($A27&amp;" Corp","MIN_PIECE")/1000,""))</f>
        <v/>
      </c>
      <c r="N27" s="13">
        <f>IF($A27="","",_xll.BDP($A27&amp;" Corp","PX_LAST"))</f>
        <v/>
      </c>
      <c r="O27" s="13">
        <f>IF($A27="","",_xll.BDP($A27&amp;" Corp","YAS_BOND_YLD","YAS_YLD_FLAG=15"))</f>
        <v/>
      </c>
      <c r="P27" s="13">
        <f>IF($A27="","",_xll.BDP($A27&amp;" Corp","YAS_MOD_DUR"))</f>
        <v/>
      </c>
      <c r="Q27" s="14">
        <f>IF($A27="","",_xll.BDP($A27&amp;" Corp","YAS_OAS_SPRD"))</f>
        <v/>
      </c>
      <c r="R27" s="14">
        <f>IF($A27="","",_xll.BDP($A27&amp;" Corp","YAS_OAS_SPRD","SETTLE_DT",$B$2))</f>
        <v/>
      </c>
      <c r="S27" s="15">
        <f>IF($A27="","",IF(OR(NOT(ISNUMBER($Q27)),NOT(ISNUMBER($R27))),"",$Q27-$R27))</f>
        <v/>
      </c>
      <c r="T27" s="13">
        <f>IF($A27="","",_xll.BDP($A27&amp;" Corp","YAS_BOND_YLD","YAS_YLD_FLAG=15","SETTLE_DT",$B$2))</f>
        <v/>
      </c>
      <c r="U27" s="16">
        <f>IF($A27="","",IF(OR(NOT(ISNUMBER($O27)),NOT(ISNUMBER($T27))),"",$O27-$T27))</f>
        <v/>
      </c>
    </row>
    <row r="28">
      <c r="A28" s="17" t="n"/>
      <c r="B28" s="18">
        <f>IF($A28="","",_xll.BDP($A28&amp;" Corp","SECURITY_DES"))</f>
        <v/>
      </c>
      <c r="C28" s="18">
        <f>IF($A28="","",PROPER(_xll.BDP($A28&amp;" Corp","NAME")))</f>
        <v/>
      </c>
      <c r="D28" s="19">
        <f>IF($A28="","",IFERROR(_xll.BDP($A28&amp;" Corp","CIE_DES"),""))</f>
        <v/>
      </c>
      <c r="E28" s="18">
        <f>IF($A28="","",_xll.BDP($A28&amp;" Corp","INDUSTRY_SECTOR"))</f>
        <v/>
      </c>
      <c r="F28" s="18">
        <f>IF($A28="","",_xll.BDP($A28&amp;" Corp","INDUSTRY_GROUP"))</f>
        <v/>
      </c>
      <c r="G28" s="18">
        <f>IF($A28="","",PROPER(_xll.BDP($A28&amp;" Corp","COUNTRY_FULL_NAME")))</f>
        <v/>
      </c>
      <c r="H28" s="18">
        <f>IF($A28="","",_xll.BDP($A28&amp;" Corp","CRNCY"))</f>
        <v/>
      </c>
      <c r="I28" s="18">
        <f>IF($A28="","",IFERROR(_xll.BDP($A28&amp;" Corp","BB_COMPOSITE"),_xll.BDP($A28&amp;" Corp","RTG_SP")))</f>
        <v/>
      </c>
      <c r="J28" s="18">
        <f>IF($A28="","",_xll.BDP($A28&amp;" Corp","PAYMENT_RANK"))</f>
        <v/>
      </c>
      <c r="K28" s="20">
        <f>IF($A28="","",_xll.BDP($A28&amp;" Corp","CPN"))</f>
        <v/>
      </c>
      <c r="L28" s="21">
        <f>IF($A28="","",_xll.BDP($A28&amp;" Corp","MATURITY"))</f>
        <v/>
      </c>
      <c r="M28" s="22">
        <f>IF($A28="","",IFERROR(_xll.BDP($A28&amp;" Corp","MIN_PIECE")/1000,""))</f>
        <v/>
      </c>
      <c r="N28" s="23">
        <f>IF($A28="","",_xll.BDP($A28&amp;" Corp","PX_LAST"))</f>
        <v/>
      </c>
      <c r="O28" s="23">
        <f>IF($A28="","",_xll.BDP($A28&amp;" Corp","YAS_BOND_YLD","YAS_YLD_FLAG=15"))</f>
        <v/>
      </c>
      <c r="P28" s="23">
        <f>IF($A28="","",_xll.BDP($A28&amp;" Corp","YAS_MOD_DUR"))</f>
        <v/>
      </c>
      <c r="Q28" s="24">
        <f>IF($A28="","",_xll.BDP($A28&amp;" Corp","YAS_OAS_SPRD"))</f>
        <v/>
      </c>
      <c r="R28" s="24">
        <f>IF($A28="","",_xll.BDP($A28&amp;" Corp","YAS_OAS_SPRD","SETTLE_DT",$B$2))</f>
        <v/>
      </c>
      <c r="S28" s="25">
        <f>IF($A28="","",IF(OR(NOT(ISNUMBER($Q28)),NOT(ISNUMBER($R28))),"",$Q28-$R28))</f>
        <v/>
      </c>
      <c r="T28" s="23">
        <f>IF($A28="","",_xll.BDP($A28&amp;" Corp","YAS_BOND_YLD","YAS_YLD_FLAG=15","SETTLE_DT",$B$2))</f>
        <v/>
      </c>
      <c r="U28" s="26">
        <f>IF($A28="","",IF(OR(NOT(ISNUMBER($O28)),NOT(ISNUMBER($T28))),"",$O28-$T28))</f>
        <v/>
      </c>
    </row>
    <row r="29">
      <c r="A29" s="7" t="n"/>
      <c r="B29" s="8">
        <f>IF($A29="","",_xll.BDP($A29&amp;" Corp","SECURITY_DES"))</f>
        <v/>
      </c>
      <c r="C29" s="8">
        <f>IF($A29="","",PROPER(_xll.BDP($A29&amp;" Corp","NAME")))</f>
        <v/>
      </c>
      <c r="D29" s="9">
        <f>IF($A29="","",IFERROR(_xll.BDP($A29&amp;" Corp","CIE_DES"),""))</f>
        <v/>
      </c>
      <c r="E29" s="8">
        <f>IF($A29="","",_xll.BDP($A29&amp;" Corp","INDUSTRY_SECTOR"))</f>
        <v/>
      </c>
      <c r="F29" s="8">
        <f>IF($A29="","",_xll.BDP($A29&amp;" Corp","INDUSTRY_GROUP"))</f>
        <v/>
      </c>
      <c r="G29" s="8">
        <f>IF($A29="","",PROPER(_xll.BDP($A29&amp;" Corp","COUNTRY_FULL_NAME")))</f>
        <v/>
      </c>
      <c r="H29" s="8">
        <f>IF($A29="","",_xll.BDP($A29&amp;" Corp","CRNCY"))</f>
        <v/>
      </c>
      <c r="I29" s="8">
        <f>IF($A29="","",IFERROR(_xll.BDP($A29&amp;" Corp","BB_COMPOSITE"),_xll.BDP($A29&amp;" Corp","RTG_SP")))</f>
        <v/>
      </c>
      <c r="J29" s="8">
        <f>IF($A29="","",_xll.BDP($A29&amp;" Corp","PAYMENT_RANK"))</f>
        <v/>
      </c>
      <c r="K29" s="10">
        <f>IF($A29="","",_xll.BDP($A29&amp;" Corp","CPN"))</f>
        <v/>
      </c>
      <c r="L29" s="11">
        <f>IF($A29="","",_xll.BDP($A29&amp;" Corp","MATURITY"))</f>
        <v/>
      </c>
      <c r="M29" s="12">
        <f>IF($A29="","",IFERROR(_xll.BDP($A29&amp;" Corp","MIN_PIECE")/1000,""))</f>
        <v/>
      </c>
      <c r="N29" s="13">
        <f>IF($A29="","",_xll.BDP($A29&amp;" Corp","PX_LAST"))</f>
        <v/>
      </c>
      <c r="O29" s="13">
        <f>IF($A29="","",_xll.BDP($A29&amp;" Corp","YAS_BOND_YLD","YAS_YLD_FLAG=15"))</f>
        <v/>
      </c>
      <c r="P29" s="13">
        <f>IF($A29="","",_xll.BDP($A29&amp;" Corp","YAS_MOD_DUR"))</f>
        <v/>
      </c>
      <c r="Q29" s="14">
        <f>IF($A29="","",_xll.BDP($A29&amp;" Corp","YAS_OAS_SPRD"))</f>
        <v/>
      </c>
      <c r="R29" s="14">
        <f>IF($A29="","",_xll.BDP($A29&amp;" Corp","YAS_OAS_SPRD","SETTLE_DT",$B$2))</f>
        <v/>
      </c>
      <c r="S29" s="15">
        <f>IF($A29="","",IF(OR(NOT(ISNUMBER($Q29)),NOT(ISNUMBER($R29))),"",$Q29-$R29))</f>
        <v/>
      </c>
      <c r="T29" s="13">
        <f>IF($A29="","",_xll.BDP($A29&amp;" Corp","YAS_BOND_YLD","YAS_YLD_FLAG=15","SETTLE_DT",$B$2))</f>
        <v/>
      </c>
      <c r="U29" s="16">
        <f>IF($A29="","",IF(OR(NOT(ISNUMBER($O29)),NOT(ISNUMBER($T29))),"",$O29-$T29))</f>
        <v/>
      </c>
    </row>
    <row r="30">
      <c r="A30" s="17" t="n"/>
      <c r="B30" s="18">
        <f>IF($A30="","",_xll.BDP($A30&amp;" Corp","SECURITY_DES"))</f>
        <v/>
      </c>
      <c r="C30" s="18">
        <f>IF($A30="","",PROPER(_xll.BDP($A30&amp;" Corp","NAME")))</f>
        <v/>
      </c>
      <c r="D30" s="19">
        <f>IF($A30="","",IFERROR(_xll.BDP($A30&amp;" Corp","CIE_DES"),""))</f>
        <v/>
      </c>
      <c r="E30" s="18">
        <f>IF($A30="","",_xll.BDP($A30&amp;" Corp","INDUSTRY_SECTOR"))</f>
        <v/>
      </c>
      <c r="F30" s="18">
        <f>IF($A30="","",_xll.BDP($A30&amp;" Corp","INDUSTRY_GROUP"))</f>
        <v/>
      </c>
      <c r="G30" s="18">
        <f>IF($A30="","",PROPER(_xll.BDP($A30&amp;" Corp","COUNTRY_FULL_NAME")))</f>
        <v/>
      </c>
      <c r="H30" s="18">
        <f>IF($A30="","",_xll.BDP($A30&amp;" Corp","CRNCY"))</f>
        <v/>
      </c>
      <c r="I30" s="18">
        <f>IF($A30="","",IFERROR(_xll.BDP($A30&amp;" Corp","BB_COMPOSITE"),_xll.BDP($A30&amp;" Corp","RTG_SP")))</f>
        <v/>
      </c>
      <c r="J30" s="18">
        <f>IF($A30="","",_xll.BDP($A30&amp;" Corp","PAYMENT_RANK"))</f>
        <v/>
      </c>
      <c r="K30" s="20">
        <f>IF($A30="","",_xll.BDP($A30&amp;" Corp","CPN"))</f>
        <v/>
      </c>
      <c r="L30" s="21">
        <f>IF($A30="","",_xll.BDP($A30&amp;" Corp","MATURITY"))</f>
        <v/>
      </c>
      <c r="M30" s="22">
        <f>IF($A30="","",IFERROR(_xll.BDP($A30&amp;" Corp","MIN_PIECE")/1000,""))</f>
        <v/>
      </c>
      <c r="N30" s="23">
        <f>IF($A30="","",_xll.BDP($A30&amp;" Corp","PX_LAST"))</f>
        <v/>
      </c>
      <c r="O30" s="23">
        <f>IF($A30="","",_xll.BDP($A30&amp;" Corp","YAS_BOND_YLD","YAS_YLD_FLAG=15"))</f>
        <v/>
      </c>
      <c r="P30" s="23">
        <f>IF($A30="","",_xll.BDP($A30&amp;" Corp","YAS_MOD_DUR"))</f>
        <v/>
      </c>
      <c r="Q30" s="24">
        <f>IF($A30="","",_xll.BDP($A30&amp;" Corp","YAS_OAS_SPRD"))</f>
        <v/>
      </c>
      <c r="R30" s="24">
        <f>IF($A30="","",_xll.BDP($A30&amp;" Corp","YAS_OAS_SPRD","SETTLE_DT",$B$2))</f>
        <v/>
      </c>
      <c r="S30" s="25">
        <f>IF($A30="","",IF(OR(NOT(ISNUMBER($Q30)),NOT(ISNUMBER($R30))),"",$Q30-$R30))</f>
        <v/>
      </c>
      <c r="T30" s="23">
        <f>IF($A30="","",_xll.BDP($A30&amp;" Corp","YAS_BOND_YLD","YAS_YLD_FLAG=15","SETTLE_DT",$B$2))</f>
        <v/>
      </c>
      <c r="U30" s="26">
        <f>IF($A30="","",IF(OR(NOT(ISNUMBER($O30)),NOT(ISNUMBER($T30))),"",$O30-$T30))</f>
        <v/>
      </c>
    </row>
    <row r="31">
      <c r="A31" s="27" t="inlineStr">
        <is>
          <t>USD summary</t>
        </is>
      </c>
    </row>
    <row r="32">
      <c r="A32" s="28" t="inlineStr">
        <is>
          <t>Bonds priced</t>
        </is>
      </c>
      <c r="B32" s="29">
        <f>COUNT($S$7:$S$30)&amp;" of "&amp;COUNTA($A$7:$A$30)</f>
        <v/>
      </c>
      <c r="C32" s="30" t="n"/>
      <c r="D32" s="31" t="n"/>
    </row>
    <row r="33">
      <c r="A33" s="28" t="inlineStr">
        <is>
          <t>Average spread change</t>
        </is>
      </c>
      <c r="B33" s="32">
        <f>IFERROR(AVERAGE($S$7:$S$30),"")</f>
        <v/>
      </c>
      <c r="C33" s="30" t="n"/>
      <c r="D33" s="31" t="n"/>
    </row>
    <row r="34">
      <c r="A34" s="28" t="inlineStr">
        <is>
          <t>Median spread change</t>
        </is>
      </c>
      <c r="B34" s="32">
        <f>IFERROR(MEDIAN($S$7:$S$30),"")</f>
        <v/>
      </c>
      <c r="C34" s="30" t="n"/>
      <c r="D34" s="31" t="n"/>
    </row>
    <row r="35">
      <c r="A35" s="28" t="inlineStr">
        <is>
          <t>Widened / tightened</t>
        </is>
      </c>
      <c r="B35" s="29">
        <f>COUNTIF($S$7:$S$30,"&gt;0")&amp;" wider / "&amp;COUNTIF($S$7:$S$30,"&lt;0")&amp;" tighter"</f>
        <v/>
      </c>
      <c r="C35" s="30" t="n"/>
      <c r="D35" s="31" t="n"/>
    </row>
    <row r="36">
      <c r="A36" s="28" t="inlineStr">
        <is>
          <t>Biggest widening</t>
        </is>
      </c>
      <c r="B36" s="33">
        <f>IFERROR(MAX($S$7:$S$30),"")</f>
        <v/>
      </c>
      <c r="C36" s="30" t="n"/>
      <c r="D36" s="31" t="n"/>
    </row>
    <row r="37">
      <c r="A37" s="28" t="inlineStr">
        <is>
          <t xml:space="preserve">  ... which bond</t>
        </is>
      </c>
      <c r="B37" s="29">
        <f>IFERROR(INDEX($A$7:$A$30,MATCH(MAX($S$7:$S$30),$S$7:$S$30,0))&amp;" - "&amp;INDEX($C$7:$C$30,MATCH(MAX($S$7:$S$30),$S$7:$S$30,0)),"")</f>
        <v/>
      </c>
      <c r="C37" s="30" t="n"/>
      <c r="D37" s="31" t="n"/>
    </row>
    <row r="38">
      <c r="A38" s="28" t="inlineStr">
        <is>
          <t>Biggest tightening</t>
        </is>
      </c>
      <c r="B38" s="33">
        <f>IFERROR(MIN($S$7:$S$30),"")</f>
        <v/>
      </c>
      <c r="C38" s="30" t="n"/>
      <c r="D38" s="31" t="n"/>
    </row>
    <row r="39">
      <c r="A39" s="28" t="inlineStr">
        <is>
          <t xml:space="preserve">  ... which bond</t>
        </is>
      </c>
      <c r="B39" s="29">
        <f>IFERROR(INDEX($A$7:$A$30,MATCH(MIN($S$7:$S$30),$S$7:$S$30,0))&amp;" - "&amp;INDEX($C$7:$C$30,MATCH(MIN($S$7:$S$30),$S$7:$S$30,0)),"")</f>
        <v/>
      </c>
      <c r="C39" s="30" t="n"/>
      <c r="D39" s="31" t="n"/>
    </row>
    <row r="43">
      <c r="A43" s="34">
        <f>"EUR bonds (47 ISINs)  -  spread variation since "&amp;TEXT($B$2,"dd.mm.yyyy")</f>
        <v/>
      </c>
    </row>
    <row r="44" ht="30" customHeight="1">
      <c r="A44" s="6" t="inlineStr">
        <is>
          <t>ISIN</t>
        </is>
      </c>
      <c r="B44" s="6" t="inlineStr">
        <is>
          <t>Security</t>
        </is>
      </c>
      <c r="C44" s="6" t="inlineStr">
        <is>
          <t>Company</t>
        </is>
      </c>
      <c r="D44" s="6" t="inlineStr">
        <is>
          <t>Company description</t>
        </is>
      </c>
      <c r="E44" s="6" t="inlineStr">
        <is>
          <t>Sector</t>
        </is>
      </c>
      <c r="F44" s="6" t="inlineStr">
        <is>
          <t>Industry group</t>
        </is>
      </c>
      <c r="G44" s="6" t="inlineStr">
        <is>
          <t>Country</t>
        </is>
      </c>
      <c r="H44" s="6" t="inlineStr">
        <is>
          <t>Ccy</t>
        </is>
      </c>
      <c r="I44" s="6" t="inlineStr">
        <is>
          <t>Rating (comp.)</t>
        </is>
      </c>
      <c r="J44" s="6" t="inlineStr">
        <is>
          <t>Structure</t>
        </is>
      </c>
      <c r="K44" s="6" t="inlineStr">
        <is>
          <t>Coupon</t>
        </is>
      </c>
      <c r="L44" s="6" t="inlineStr">
        <is>
          <t>Maturity</t>
        </is>
      </c>
      <c r="M44" s="6" t="inlineStr">
        <is>
          <t>Den. (k)</t>
        </is>
      </c>
      <c r="N44" s="6" t="inlineStr">
        <is>
          <t>Price</t>
        </is>
      </c>
      <c r="O44" s="6" t="inlineStr">
        <is>
          <t>YTW (%)</t>
        </is>
      </c>
      <c r="P44" s="6" t="inlineStr">
        <is>
          <t>Mod. dur.</t>
        </is>
      </c>
      <c r="Q44" s="6" t="inlineStr">
        <is>
          <t>Spread today (bp)</t>
        </is>
      </c>
      <c r="R44" s="6" t="inlineStr">
        <is>
          <t>Spread @ anchor (bp)</t>
        </is>
      </c>
      <c r="S44" s="6" t="inlineStr">
        <is>
          <t>Spread change (bp)</t>
        </is>
      </c>
      <c r="T44" s="6" t="inlineStr">
        <is>
          <t>YTW @ anchor (%)</t>
        </is>
      </c>
      <c r="U44" s="6" t="inlineStr">
        <is>
          <t>YTW change (%)</t>
        </is>
      </c>
    </row>
    <row r="45">
      <c r="A45" s="7" t="inlineStr">
        <is>
          <t>FR001400YPL4</t>
        </is>
      </c>
      <c r="B45" s="8">
        <f>IF($A45="","",_xll.BDP($A45&amp;" Corp","SECURITY_DES"))</f>
        <v/>
      </c>
      <c r="C45" s="8">
        <f>IF($A45="","",PROPER(_xll.BDP($A45&amp;" Corp","NAME")))</f>
        <v/>
      </c>
      <c r="D45" s="9">
        <f>IF($A45="","",IFERROR(_xll.BDP($A45&amp;" Corp","CIE_DES"),""))</f>
        <v/>
      </c>
      <c r="E45" s="8">
        <f>IF($A45="","",_xll.BDP($A45&amp;" Corp","INDUSTRY_SECTOR"))</f>
        <v/>
      </c>
      <c r="F45" s="8">
        <f>IF($A45="","",_xll.BDP($A45&amp;" Corp","INDUSTRY_GROUP"))</f>
        <v/>
      </c>
      <c r="G45" s="8">
        <f>IF($A45="","",PROPER(_xll.BDP($A45&amp;" Corp","COUNTRY_FULL_NAME")))</f>
        <v/>
      </c>
      <c r="H45" s="8">
        <f>IF($A45="","",_xll.BDP($A45&amp;" Corp","CRNCY"))</f>
        <v/>
      </c>
      <c r="I45" s="8">
        <f>IF($A45="","",IFERROR(_xll.BDP($A45&amp;" Corp","BB_COMPOSITE"),_xll.BDP($A45&amp;" Corp","RTG_SP")))</f>
        <v/>
      </c>
      <c r="J45" s="8">
        <f>IF($A45="","",_xll.BDP($A45&amp;" Corp","PAYMENT_RANK"))</f>
        <v/>
      </c>
      <c r="K45" s="10">
        <f>IF($A45="","",_xll.BDP($A45&amp;" Corp","CPN"))</f>
        <v/>
      </c>
      <c r="L45" s="11">
        <f>IF($A45="","",_xll.BDP($A45&amp;" Corp","MATURITY"))</f>
        <v/>
      </c>
      <c r="M45" s="12">
        <f>IF($A45="","",IFERROR(_xll.BDP($A45&amp;" Corp","MIN_PIECE")/1000,""))</f>
        <v/>
      </c>
      <c r="N45" s="13">
        <f>IF($A45="","",_xll.BDP($A45&amp;" Corp","PX_LAST"))</f>
        <v/>
      </c>
      <c r="O45" s="13">
        <f>IF($A45="","",_xll.BDP($A45&amp;" Corp","YAS_BOND_YLD","YAS_YLD_FLAG=15"))</f>
        <v/>
      </c>
      <c r="P45" s="13">
        <f>IF($A45="","",_xll.BDP($A45&amp;" Corp","YAS_MOD_DUR"))</f>
        <v/>
      </c>
      <c r="Q45" s="14">
        <f>IF($A45="","",_xll.BDP($A45&amp;" Corp","YAS_OAS_SPRD"))</f>
        <v/>
      </c>
      <c r="R45" s="14">
        <f>IF($A45="","",_xll.BDP($A45&amp;" Corp","YAS_OAS_SPRD","SETTLE_DT",$B$2))</f>
        <v/>
      </c>
      <c r="S45" s="15">
        <f>IF($A45="","",IF(OR(NOT(ISNUMBER($Q45)),NOT(ISNUMBER($R45))),"",$Q45-$R45))</f>
        <v/>
      </c>
      <c r="T45" s="13">
        <f>IF($A45="","",_xll.BDP($A45&amp;" Corp","YAS_BOND_YLD","YAS_YLD_FLAG=15","SETTLE_DT",$B$2))</f>
        <v/>
      </c>
      <c r="U45" s="16">
        <f>IF($A45="","",IF(OR(NOT(ISNUMBER($O45)),NOT(ISNUMBER($T45))),"",$O45-$T45))</f>
        <v/>
      </c>
    </row>
    <row r="46">
      <c r="A46" s="17" t="inlineStr">
        <is>
          <t>XS2597110027</t>
        </is>
      </c>
      <c r="B46" s="18">
        <f>IF($A46="","",_xll.BDP($A46&amp;" Corp","SECURITY_DES"))</f>
        <v/>
      </c>
      <c r="C46" s="18">
        <f>IF($A46="","",PROPER(_xll.BDP($A46&amp;" Corp","NAME")))</f>
        <v/>
      </c>
      <c r="D46" s="19">
        <f>IF($A46="","",IFERROR(_xll.BDP($A46&amp;" Corp","CIE_DES"),""))</f>
        <v/>
      </c>
      <c r="E46" s="18">
        <f>IF($A46="","",_xll.BDP($A46&amp;" Corp","INDUSTRY_SECTOR"))</f>
        <v/>
      </c>
      <c r="F46" s="18">
        <f>IF($A46="","",_xll.BDP($A46&amp;" Corp","INDUSTRY_GROUP"))</f>
        <v/>
      </c>
      <c r="G46" s="18">
        <f>IF($A46="","",PROPER(_xll.BDP($A46&amp;" Corp","COUNTRY_FULL_NAME")))</f>
        <v/>
      </c>
      <c r="H46" s="18">
        <f>IF($A46="","",_xll.BDP($A46&amp;" Corp","CRNCY"))</f>
        <v/>
      </c>
      <c r="I46" s="18">
        <f>IF($A46="","",IFERROR(_xll.BDP($A46&amp;" Corp","BB_COMPOSITE"),_xll.BDP($A46&amp;" Corp","RTG_SP")))</f>
        <v/>
      </c>
      <c r="J46" s="18">
        <f>IF($A46="","",_xll.BDP($A46&amp;" Corp","PAYMENT_RANK"))</f>
        <v/>
      </c>
      <c r="K46" s="20">
        <f>IF($A46="","",_xll.BDP($A46&amp;" Corp","CPN"))</f>
        <v/>
      </c>
      <c r="L46" s="21">
        <f>IF($A46="","",_xll.BDP($A46&amp;" Corp","MATURITY"))</f>
        <v/>
      </c>
      <c r="M46" s="22">
        <f>IF($A46="","",IFERROR(_xll.BDP($A46&amp;" Corp","MIN_PIECE")/1000,""))</f>
        <v/>
      </c>
      <c r="N46" s="23">
        <f>IF($A46="","",_xll.BDP($A46&amp;" Corp","PX_LAST"))</f>
        <v/>
      </c>
      <c r="O46" s="23">
        <f>IF($A46="","",_xll.BDP($A46&amp;" Corp","YAS_BOND_YLD","YAS_YLD_FLAG=15"))</f>
        <v/>
      </c>
      <c r="P46" s="23">
        <f>IF($A46="","",_xll.BDP($A46&amp;" Corp","YAS_MOD_DUR"))</f>
        <v/>
      </c>
      <c r="Q46" s="24">
        <f>IF($A46="","",_xll.BDP($A46&amp;" Corp","YAS_OAS_SPRD"))</f>
        <v/>
      </c>
      <c r="R46" s="24">
        <f>IF($A46="","",_xll.BDP($A46&amp;" Corp","YAS_OAS_SPRD","SETTLE_DT",$B$2))</f>
        <v/>
      </c>
      <c r="S46" s="25">
        <f>IF($A46="","",IF(OR(NOT(ISNUMBER($Q46)),NOT(ISNUMBER($R46))),"",$Q46-$R46))</f>
        <v/>
      </c>
      <c r="T46" s="23">
        <f>IF($A46="","",_xll.BDP($A46&amp;" Corp","YAS_BOND_YLD","YAS_YLD_FLAG=15","SETTLE_DT",$B$2))</f>
        <v/>
      </c>
      <c r="U46" s="26">
        <f>IF($A46="","",IF(OR(NOT(ISNUMBER($O46)),NOT(ISNUMBER($T46))),"",$O46-$T46))</f>
        <v/>
      </c>
    </row>
    <row r="47">
      <c r="A47" s="7" t="inlineStr">
        <is>
          <t>XS3000561566</t>
        </is>
      </c>
      <c r="B47" s="8">
        <f>IF($A47="","",_xll.BDP($A47&amp;" Corp","SECURITY_DES"))</f>
        <v/>
      </c>
      <c r="C47" s="8">
        <f>IF($A47="","",PROPER(_xll.BDP($A47&amp;" Corp","NAME")))</f>
        <v/>
      </c>
      <c r="D47" s="9">
        <f>IF($A47="","",IFERROR(_xll.BDP($A47&amp;" Corp","CIE_DES"),""))</f>
        <v/>
      </c>
      <c r="E47" s="8">
        <f>IF($A47="","",_xll.BDP($A47&amp;" Corp","INDUSTRY_SECTOR"))</f>
        <v/>
      </c>
      <c r="F47" s="8">
        <f>IF($A47="","",_xll.BDP($A47&amp;" Corp","INDUSTRY_GROUP"))</f>
        <v/>
      </c>
      <c r="G47" s="8">
        <f>IF($A47="","",PROPER(_xll.BDP($A47&amp;" Corp","COUNTRY_FULL_NAME")))</f>
        <v/>
      </c>
      <c r="H47" s="8">
        <f>IF($A47="","",_xll.BDP($A47&amp;" Corp","CRNCY"))</f>
        <v/>
      </c>
      <c r="I47" s="8">
        <f>IF($A47="","",IFERROR(_xll.BDP($A47&amp;" Corp","BB_COMPOSITE"),_xll.BDP($A47&amp;" Corp","RTG_SP")))</f>
        <v/>
      </c>
      <c r="J47" s="8">
        <f>IF($A47="","",_xll.BDP($A47&amp;" Corp","PAYMENT_RANK"))</f>
        <v/>
      </c>
      <c r="K47" s="10">
        <f>IF($A47="","",_xll.BDP($A47&amp;" Corp","CPN"))</f>
        <v/>
      </c>
      <c r="L47" s="11">
        <f>IF($A47="","",_xll.BDP($A47&amp;" Corp","MATURITY"))</f>
        <v/>
      </c>
      <c r="M47" s="12">
        <f>IF($A47="","",IFERROR(_xll.BDP($A47&amp;" Corp","MIN_PIECE")/1000,""))</f>
        <v/>
      </c>
      <c r="N47" s="13">
        <f>IF($A47="","",_xll.BDP($A47&amp;" Corp","PX_LAST"))</f>
        <v/>
      </c>
      <c r="O47" s="13">
        <f>IF($A47="","",_xll.BDP($A47&amp;" Corp","YAS_BOND_YLD","YAS_YLD_FLAG=15"))</f>
        <v/>
      </c>
      <c r="P47" s="13">
        <f>IF($A47="","",_xll.BDP($A47&amp;" Corp","YAS_MOD_DUR"))</f>
        <v/>
      </c>
      <c r="Q47" s="14">
        <f>IF($A47="","",_xll.BDP($A47&amp;" Corp","YAS_OAS_SPRD"))</f>
        <v/>
      </c>
      <c r="R47" s="14">
        <f>IF($A47="","",_xll.BDP($A47&amp;" Corp","YAS_OAS_SPRD","SETTLE_DT",$B$2))</f>
        <v/>
      </c>
      <c r="S47" s="15">
        <f>IF($A47="","",IF(OR(NOT(ISNUMBER($Q47)),NOT(ISNUMBER($R47))),"",$Q47-$R47))</f>
        <v/>
      </c>
      <c r="T47" s="13">
        <f>IF($A47="","",_xll.BDP($A47&amp;" Corp","YAS_BOND_YLD","YAS_YLD_FLAG=15","SETTLE_DT",$B$2))</f>
        <v/>
      </c>
      <c r="U47" s="16">
        <f>IF($A47="","",IF(OR(NOT(ISNUMBER($O47)),NOT(ISNUMBER($T47))),"",$O47-$T47))</f>
        <v/>
      </c>
    </row>
    <row r="48">
      <c r="A48" s="17" t="inlineStr">
        <is>
          <t>XS3174780893</t>
        </is>
      </c>
      <c r="B48" s="18">
        <f>IF($A48="","",_xll.BDP($A48&amp;" Corp","SECURITY_DES"))</f>
        <v/>
      </c>
      <c r="C48" s="18">
        <f>IF($A48="","",PROPER(_xll.BDP($A48&amp;" Corp","NAME")))</f>
        <v/>
      </c>
      <c r="D48" s="19">
        <f>IF($A48="","",IFERROR(_xll.BDP($A48&amp;" Corp","CIE_DES"),""))</f>
        <v/>
      </c>
      <c r="E48" s="18">
        <f>IF($A48="","",_xll.BDP($A48&amp;" Corp","INDUSTRY_SECTOR"))</f>
        <v/>
      </c>
      <c r="F48" s="18">
        <f>IF($A48="","",_xll.BDP($A48&amp;" Corp","INDUSTRY_GROUP"))</f>
        <v/>
      </c>
      <c r="G48" s="18">
        <f>IF($A48="","",PROPER(_xll.BDP($A48&amp;" Corp","COUNTRY_FULL_NAME")))</f>
        <v/>
      </c>
      <c r="H48" s="18">
        <f>IF($A48="","",_xll.BDP($A48&amp;" Corp","CRNCY"))</f>
        <v/>
      </c>
      <c r="I48" s="18">
        <f>IF($A48="","",IFERROR(_xll.BDP($A48&amp;" Corp","BB_COMPOSITE"),_xll.BDP($A48&amp;" Corp","RTG_SP")))</f>
        <v/>
      </c>
      <c r="J48" s="18">
        <f>IF($A48="","",_xll.BDP($A48&amp;" Corp","PAYMENT_RANK"))</f>
        <v/>
      </c>
      <c r="K48" s="20">
        <f>IF($A48="","",_xll.BDP($A48&amp;" Corp","CPN"))</f>
        <v/>
      </c>
      <c r="L48" s="21">
        <f>IF($A48="","",_xll.BDP($A48&amp;" Corp","MATURITY"))</f>
        <v/>
      </c>
      <c r="M48" s="22">
        <f>IF($A48="","",IFERROR(_xll.BDP($A48&amp;" Corp","MIN_PIECE")/1000,""))</f>
        <v/>
      </c>
      <c r="N48" s="23">
        <f>IF($A48="","",_xll.BDP($A48&amp;" Corp","PX_LAST"))</f>
        <v/>
      </c>
      <c r="O48" s="23">
        <f>IF($A48="","",_xll.BDP($A48&amp;" Corp","YAS_BOND_YLD","YAS_YLD_FLAG=15"))</f>
        <v/>
      </c>
      <c r="P48" s="23">
        <f>IF($A48="","",_xll.BDP($A48&amp;" Corp","YAS_MOD_DUR"))</f>
        <v/>
      </c>
      <c r="Q48" s="24">
        <f>IF($A48="","",_xll.BDP($A48&amp;" Corp","YAS_OAS_SPRD"))</f>
        <v/>
      </c>
      <c r="R48" s="24">
        <f>IF($A48="","",_xll.BDP($A48&amp;" Corp","YAS_OAS_SPRD","SETTLE_DT",$B$2))</f>
        <v/>
      </c>
      <c r="S48" s="25">
        <f>IF($A48="","",IF(OR(NOT(ISNUMBER($Q48)),NOT(ISNUMBER($R48))),"",$Q48-$R48))</f>
        <v/>
      </c>
      <c r="T48" s="23">
        <f>IF($A48="","",_xll.BDP($A48&amp;" Corp","YAS_BOND_YLD","YAS_YLD_FLAG=15","SETTLE_DT",$B$2))</f>
        <v/>
      </c>
      <c r="U48" s="26">
        <f>IF($A48="","",IF(OR(NOT(ISNUMBER($O48)),NOT(ISNUMBER($T48))),"",$O48-$T48))</f>
        <v/>
      </c>
    </row>
    <row r="49">
      <c r="A49" s="7" t="inlineStr">
        <is>
          <t>XS3386742285</t>
        </is>
      </c>
      <c r="B49" s="8">
        <f>IF($A49="","",_xll.BDP($A49&amp;" Corp","SECURITY_DES"))</f>
        <v/>
      </c>
      <c r="C49" s="8">
        <f>IF($A49="","",PROPER(_xll.BDP($A49&amp;" Corp","NAME")))</f>
        <v/>
      </c>
      <c r="D49" s="9">
        <f>IF($A49="","",IFERROR(_xll.BDP($A49&amp;" Corp","CIE_DES"),""))</f>
        <v/>
      </c>
      <c r="E49" s="8">
        <f>IF($A49="","",_xll.BDP($A49&amp;" Corp","INDUSTRY_SECTOR"))</f>
        <v/>
      </c>
      <c r="F49" s="8">
        <f>IF($A49="","",_xll.BDP($A49&amp;" Corp","INDUSTRY_GROUP"))</f>
        <v/>
      </c>
      <c r="G49" s="8">
        <f>IF($A49="","",PROPER(_xll.BDP($A49&amp;" Corp","COUNTRY_FULL_NAME")))</f>
        <v/>
      </c>
      <c r="H49" s="8">
        <f>IF($A49="","",_xll.BDP($A49&amp;" Corp","CRNCY"))</f>
        <v/>
      </c>
      <c r="I49" s="8">
        <f>IF($A49="","",IFERROR(_xll.BDP($A49&amp;" Corp","BB_COMPOSITE"),_xll.BDP($A49&amp;" Corp","RTG_SP")))</f>
        <v/>
      </c>
      <c r="J49" s="8">
        <f>IF($A49="","",_xll.BDP($A49&amp;" Corp","PAYMENT_RANK"))</f>
        <v/>
      </c>
      <c r="K49" s="10">
        <f>IF($A49="","",_xll.BDP($A49&amp;" Corp","CPN"))</f>
        <v/>
      </c>
      <c r="L49" s="11">
        <f>IF($A49="","",_xll.BDP($A49&amp;" Corp","MATURITY"))</f>
        <v/>
      </c>
      <c r="M49" s="12">
        <f>IF($A49="","",IFERROR(_xll.BDP($A49&amp;" Corp","MIN_PIECE")/1000,""))</f>
        <v/>
      </c>
      <c r="N49" s="13">
        <f>IF($A49="","",_xll.BDP($A49&amp;" Corp","PX_LAST"))</f>
        <v/>
      </c>
      <c r="O49" s="13">
        <f>IF($A49="","",_xll.BDP($A49&amp;" Corp","YAS_BOND_YLD","YAS_YLD_FLAG=15"))</f>
        <v/>
      </c>
      <c r="P49" s="13">
        <f>IF($A49="","",_xll.BDP($A49&amp;" Corp","YAS_MOD_DUR"))</f>
        <v/>
      </c>
      <c r="Q49" s="14">
        <f>IF($A49="","",_xll.BDP($A49&amp;" Corp","YAS_OAS_SPRD"))</f>
        <v/>
      </c>
      <c r="R49" s="14">
        <f>IF($A49="","",_xll.BDP($A49&amp;" Corp","YAS_OAS_SPRD","SETTLE_DT",$B$2))</f>
        <v/>
      </c>
      <c r="S49" s="15">
        <f>IF($A49="","",IF(OR(NOT(ISNUMBER($Q49)),NOT(ISNUMBER($R49))),"",$Q49-$R49))</f>
        <v/>
      </c>
      <c r="T49" s="13">
        <f>IF($A49="","",_xll.BDP($A49&amp;" Corp","YAS_BOND_YLD","YAS_YLD_FLAG=15","SETTLE_DT",$B$2))</f>
        <v/>
      </c>
      <c r="U49" s="16">
        <f>IF($A49="","",IF(OR(NOT(ISNUMBER($O49)),NOT(ISNUMBER($T49))),"",$O49-$T49))</f>
        <v/>
      </c>
    </row>
    <row r="50">
      <c r="A50" s="17" t="inlineStr">
        <is>
          <t>XS3175869737</t>
        </is>
      </c>
      <c r="B50" s="18">
        <f>IF($A50="","",_xll.BDP($A50&amp;" Corp","SECURITY_DES"))</f>
        <v/>
      </c>
      <c r="C50" s="18">
        <f>IF($A50="","",PROPER(_xll.BDP($A50&amp;" Corp","NAME")))</f>
        <v/>
      </c>
      <c r="D50" s="19">
        <f>IF($A50="","",IFERROR(_xll.BDP($A50&amp;" Corp","CIE_DES"),""))</f>
        <v/>
      </c>
      <c r="E50" s="18">
        <f>IF($A50="","",_xll.BDP($A50&amp;" Corp","INDUSTRY_SECTOR"))</f>
        <v/>
      </c>
      <c r="F50" s="18">
        <f>IF($A50="","",_xll.BDP($A50&amp;" Corp","INDUSTRY_GROUP"))</f>
        <v/>
      </c>
      <c r="G50" s="18">
        <f>IF($A50="","",PROPER(_xll.BDP($A50&amp;" Corp","COUNTRY_FULL_NAME")))</f>
        <v/>
      </c>
      <c r="H50" s="18">
        <f>IF($A50="","",_xll.BDP($A50&amp;" Corp","CRNCY"))</f>
        <v/>
      </c>
      <c r="I50" s="18">
        <f>IF($A50="","",IFERROR(_xll.BDP($A50&amp;" Corp","BB_COMPOSITE"),_xll.BDP($A50&amp;" Corp","RTG_SP")))</f>
        <v/>
      </c>
      <c r="J50" s="18">
        <f>IF($A50="","",_xll.BDP($A50&amp;" Corp","PAYMENT_RANK"))</f>
        <v/>
      </c>
      <c r="K50" s="20">
        <f>IF($A50="","",_xll.BDP($A50&amp;" Corp","CPN"))</f>
        <v/>
      </c>
      <c r="L50" s="21">
        <f>IF($A50="","",_xll.BDP($A50&amp;" Corp","MATURITY"))</f>
        <v/>
      </c>
      <c r="M50" s="22">
        <f>IF($A50="","",IFERROR(_xll.BDP($A50&amp;" Corp","MIN_PIECE")/1000,""))</f>
        <v/>
      </c>
      <c r="N50" s="23">
        <f>IF($A50="","",_xll.BDP($A50&amp;" Corp","PX_LAST"))</f>
        <v/>
      </c>
      <c r="O50" s="23">
        <f>IF($A50="","",_xll.BDP($A50&amp;" Corp","YAS_BOND_YLD","YAS_YLD_FLAG=15"))</f>
        <v/>
      </c>
      <c r="P50" s="23">
        <f>IF($A50="","",_xll.BDP($A50&amp;" Corp","YAS_MOD_DUR"))</f>
        <v/>
      </c>
      <c r="Q50" s="24">
        <f>IF($A50="","",_xll.BDP($A50&amp;" Corp","YAS_OAS_SPRD"))</f>
        <v/>
      </c>
      <c r="R50" s="24">
        <f>IF($A50="","",_xll.BDP($A50&amp;" Corp","YAS_OAS_SPRD","SETTLE_DT",$B$2))</f>
        <v/>
      </c>
      <c r="S50" s="25">
        <f>IF($A50="","",IF(OR(NOT(ISNUMBER($Q50)),NOT(ISNUMBER($R50))),"",$Q50-$R50))</f>
        <v/>
      </c>
      <c r="T50" s="23">
        <f>IF($A50="","",_xll.BDP($A50&amp;" Corp","YAS_BOND_YLD","YAS_YLD_FLAG=15","SETTLE_DT",$B$2))</f>
        <v/>
      </c>
      <c r="U50" s="26">
        <f>IF($A50="","",IF(OR(NOT(ISNUMBER($O50)),NOT(ISNUMBER($T50))),"",$O50-$T50))</f>
        <v/>
      </c>
    </row>
    <row r="51">
      <c r="A51" s="7" t="inlineStr">
        <is>
          <t>XS3185322909</t>
        </is>
      </c>
      <c r="B51" s="8">
        <f>IF($A51="","",_xll.BDP($A51&amp;" Corp","SECURITY_DES"))</f>
        <v/>
      </c>
      <c r="C51" s="8">
        <f>IF($A51="","",PROPER(_xll.BDP($A51&amp;" Corp","NAME")))</f>
        <v/>
      </c>
      <c r="D51" s="9">
        <f>IF($A51="","",IFERROR(_xll.BDP($A51&amp;" Corp","CIE_DES"),""))</f>
        <v/>
      </c>
      <c r="E51" s="8">
        <f>IF($A51="","",_xll.BDP($A51&amp;" Corp","INDUSTRY_SECTOR"))</f>
        <v/>
      </c>
      <c r="F51" s="8">
        <f>IF($A51="","",_xll.BDP($A51&amp;" Corp","INDUSTRY_GROUP"))</f>
        <v/>
      </c>
      <c r="G51" s="8">
        <f>IF($A51="","",PROPER(_xll.BDP($A51&amp;" Corp","COUNTRY_FULL_NAME")))</f>
        <v/>
      </c>
      <c r="H51" s="8">
        <f>IF($A51="","",_xll.BDP($A51&amp;" Corp","CRNCY"))</f>
        <v/>
      </c>
      <c r="I51" s="8">
        <f>IF($A51="","",IFERROR(_xll.BDP($A51&amp;" Corp","BB_COMPOSITE"),_xll.BDP($A51&amp;" Corp","RTG_SP")))</f>
        <v/>
      </c>
      <c r="J51" s="8">
        <f>IF($A51="","",_xll.BDP($A51&amp;" Corp","PAYMENT_RANK"))</f>
        <v/>
      </c>
      <c r="K51" s="10">
        <f>IF($A51="","",_xll.BDP($A51&amp;" Corp","CPN"))</f>
        <v/>
      </c>
      <c r="L51" s="11">
        <f>IF($A51="","",_xll.BDP($A51&amp;" Corp","MATURITY"))</f>
        <v/>
      </c>
      <c r="M51" s="12">
        <f>IF($A51="","",IFERROR(_xll.BDP($A51&amp;" Corp","MIN_PIECE")/1000,""))</f>
        <v/>
      </c>
      <c r="N51" s="13">
        <f>IF($A51="","",_xll.BDP($A51&amp;" Corp","PX_LAST"))</f>
        <v/>
      </c>
      <c r="O51" s="13">
        <f>IF($A51="","",_xll.BDP($A51&amp;" Corp","YAS_BOND_YLD","YAS_YLD_FLAG=15"))</f>
        <v/>
      </c>
      <c r="P51" s="13">
        <f>IF($A51="","",_xll.BDP($A51&amp;" Corp","YAS_MOD_DUR"))</f>
        <v/>
      </c>
      <c r="Q51" s="14">
        <f>IF($A51="","",_xll.BDP($A51&amp;" Corp","YAS_OAS_SPRD"))</f>
        <v/>
      </c>
      <c r="R51" s="14">
        <f>IF($A51="","",_xll.BDP($A51&amp;" Corp","YAS_OAS_SPRD","SETTLE_DT",$B$2))</f>
        <v/>
      </c>
      <c r="S51" s="15">
        <f>IF($A51="","",IF(OR(NOT(ISNUMBER($Q51)),NOT(ISNUMBER($R51))),"",$Q51-$R51))</f>
        <v/>
      </c>
      <c r="T51" s="13">
        <f>IF($A51="","",_xll.BDP($A51&amp;" Corp","YAS_BOND_YLD","YAS_YLD_FLAG=15","SETTLE_DT",$B$2))</f>
        <v/>
      </c>
      <c r="U51" s="16">
        <f>IF($A51="","",IF(OR(NOT(ISNUMBER($O51)),NOT(ISNUMBER($T51))),"",$O51-$T51))</f>
        <v/>
      </c>
    </row>
    <row r="52">
      <c r="A52" s="17" t="inlineStr">
        <is>
          <t>XS3015244711</t>
        </is>
      </c>
      <c r="B52" s="18">
        <f>IF($A52="","",_xll.BDP($A52&amp;" Corp","SECURITY_DES"))</f>
        <v/>
      </c>
      <c r="C52" s="18">
        <f>IF($A52="","",PROPER(_xll.BDP($A52&amp;" Corp","NAME")))</f>
        <v/>
      </c>
      <c r="D52" s="19">
        <f>IF($A52="","",IFERROR(_xll.BDP($A52&amp;" Corp","CIE_DES"),""))</f>
        <v/>
      </c>
      <c r="E52" s="18">
        <f>IF($A52="","",_xll.BDP($A52&amp;" Corp","INDUSTRY_SECTOR"))</f>
        <v/>
      </c>
      <c r="F52" s="18">
        <f>IF($A52="","",_xll.BDP($A52&amp;" Corp","INDUSTRY_GROUP"))</f>
        <v/>
      </c>
      <c r="G52" s="18">
        <f>IF($A52="","",PROPER(_xll.BDP($A52&amp;" Corp","COUNTRY_FULL_NAME")))</f>
        <v/>
      </c>
      <c r="H52" s="18">
        <f>IF($A52="","",_xll.BDP($A52&amp;" Corp","CRNCY"))</f>
        <v/>
      </c>
      <c r="I52" s="18">
        <f>IF($A52="","",IFERROR(_xll.BDP($A52&amp;" Corp","BB_COMPOSITE"),_xll.BDP($A52&amp;" Corp","RTG_SP")))</f>
        <v/>
      </c>
      <c r="J52" s="18">
        <f>IF($A52="","",_xll.BDP($A52&amp;" Corp","PAYMENT_RANK"))</f>
        <v/>
      </c>
      <c r="K52" s="20">
        <f>IF($A52="","",_xll.BDP($A52&amp;" Corp","CPN"))</f>
        <v/>
      </c>
      <c r="L52" s="21">
        <f>IF($A52="","",_xll.BDP($A52&amp;" Corp","MATURITY"))</f>
        <v/>
      </c>
      <c r="M52" s="22">
        <f>IF($A52="","",IFERROR(_xll.BDP($A52&amp;" Corp","MIN_PIECE")/1000,""))</f>
        <v/>
      </c>
      <c r="N52" s="23">
        <f>IF($A52="","",_xll.BDP($A52&amp;" Corp","PX_LAST"))</f>
        <v/>
      </c>
      <c r="O52" s="23">
        <f>IF($A52="","",_xll.BDP($A52&amp;" Corp","YAS_BOND_YLD","YAS_YLD_FLAG=15"))</f>
        <v/>
      </c>
      <c r="P52" s="23">
        <f>IF($A52="","",_xll.BDP($A52&amp;" Corp","YAS_MOD_DUR"))</f>
        <v/>
      </c>
      <c r="Q52" s="24">
        <f>IF($A52="","",_xll.BDP($A52&amp;" Corp","YAS_OAS_SPRD"))</f>
        <v/>
      </c>
      <c r="R52" s="24">
        <f>IF($A52="","",_xll.BDP($A52&amp;" Corp","YAS_OAS_SPRD","SETTLE_DT",$B$2))</f>
        <v/>
      </c>
      <c r="S52" s="25">
        <f>IF($A52="","",IF(OR(NOT(ISNUMBER($Q52)),NOT(ISNUMBER($R52))),"",$Q52-$R52))</f>
        <v/>
      </c>
      <c r="T52" s="23">
        <f>IF($A52="","",_xll.BDP($A52&amp;" Corp","YAS_BOND_YLD","YAS_YLD_FLAG=15","SETTLE_DT",$B$2))</f>
        <v/>
      </c>
      <c r="U52" s="26">
        <f>IF($A52="","",IF(OR(NOT(ISNUMBER($O52)),NOT(ISNUMBER($T52))),"",$O52-$T52))</f>
        <v/>
      </c>
    </row>
    <row r="53">
      <c r="A53" s="7" t="inlineStr">
        <is>
          <t>XS2892386462</t>
        </is>
      </c>
      <c r="B53" s="8">
        <f>IF($A53="","",_xll.BDP($A53&amp;" Corp","SECURITY_DES"))</f>
        <v/>
      </c>
      <c r="C53" s="8">
        <f>IF($A53="","",PROPER(_xll.BDP($A53&amp;" Corp","NAME")))</f>
        <v/>
      </c>
      <c r="D53" s="9">
        <f>IF($A53="","",IFERROR(_xll.BDP($A53&amp;" Corp","CIE_DES"),""))</f>
        <v/>
      </c>
      <c r="E53" s="8">
        <f>IF($A53="","",_xll.BDP($A53&amp;" Corp","INDUSTRY_SECTOR"))</f>
        <v/>
      </c>
      <c r="F53" s="8">
        <f>IF($A53="","",_xll.BDP($A53&amp;" Corp","INDUSTRY_GROUP"))</f>
        <v/>
      </c>
      <c r="G53" s="8">
        <f>IF($A53="","",PROPER(_xll.BDP($A53&amp;" Corp","COUNTRY_FULL_NAME")))</f>
        <v/>
      </c>
      <c r="H53" s="8">
        <f>IF($A53="","",_xll.BDP($A53&amp;" Corp","CRNCY"))</f>
        <v/>
      </c>
      <c r="I53" s="8">
        <f>IF($A53="","",IFERROR(_xll.BDP($A53&amp;" Corp","BB_COMPOSITE"),_xll.BDP($A53&amp;" Corp","RTG_SP")))</f>
        <v/>
      </c>
      <c r="J53" s="8">
        <f>IF($A53="","",_xll.BDP($A53&amp;" Corp","PAYMENT_RANK"))</f>
        <v/>
      </c>
      <c r="K53" s="10">
        <f>IF($A53="","",_xll.BDP($A53&amp;" Corp","CPN"))</f>
        <v/>
      </c>
      <c r="L53" s="11">
        <f>IF($A53="","",_xll.BDP($A53&amp;" Corp","MATURITY"))</f>
        <v/>
      </c>
      <c r="M53" s="12">
        <f>IF($A53="","",IFERROR(_xll.BDP($A53&amp;" Corp","MIN_PIECE")/1000,""))</f>
        <v/>
      </c>
      <c r="N53" s="13">
        <f>IF($A53="","",_xll.BDP($A53&amp;" Corp","PX_LAST"))</f>
        <v/>
      </c>
      <c r="O53" s="13">
        <f>IF($A53="","",_xll.BDP($A53&amp;" Corp","YAS_BOND_YLD","YAS_YLD_FLAG=15"))</f>
        <v/>
      </c>
      <c r="P53" s="13">
        <f>IF($A53="","",_xll.BDP($A53&amp;" Corp","YAS_MOD_DUR"))</f>
        <v/>
      </c>
      <c r="Q53" s="14">
        <f>IF($A53="","",_xll.BDP($A53&amp;" Corp","YAS_OAS_SPRD"))</f>
        <v/>
      </c>
      <c r="R53" s="14">
        <f>IF($A53="","",_xll.BDP($A53&amp;" Corp","YAS_OAS_SPRD","SETTLE_DT",$B$2))</f>
        <v/>
      </c>
      <c r="S53" s="15">
        <f>IF($A53="","",IF(OR(NOT(ISNUMBER($Q53)),NOT(ISNUMBER($R53))),"",$Q53-$R53))</f>
        <v/>
      </c>
      <c r="T53" s="13">
        <f>IF($A53="","",_xll.BDP($A53&amp;" Corp","YAS_BOND_YLD","YAS_YLD_FLAG=15","SETTLE_DT",$B$2))</f>
        <v/>
      </c>
      <c r="U53" s="16">
        <f>IF($A53="","",IF(OR(NOT(ISNUMBER($O53)),NOT(ISNUMBER($T53))),"",$O53-$T53))</f>
        <v/>
      </c>
    </row>
    <row r="54">
      <c r="A54" s="17" t="inlineStr">
        <is>
          <t>CH1474856957</t>
        </is>
      </c>
      <c r="B54" s="18">
        <f>IF($A54="","",_xll.BDP($A54&amp;" Corp","SECURITY_DES"))</f>
        <v/>
      </c>
      <c r="C54" s="18">
        <f>IF($A54="","",PROPER(_xll.BDP($A54&amp;" Corp","NAME")))</f>
        <v/>
      </c>
      <c r="D54" s="19">
        <f>IF($A54="","",IFERROR(_xll.BDP($A54&amp;" Corp","CIE_DES"),""))</f>
        <v/>
      </c>
      <c r="E54" s="18">
        <f>IF($A54="","",_xll.BDP($A54&amp;" Corp","INDUSTRY_SECTOR"))</f>
        <v/>
      </c>
      <c r="F54" s="18">
        <f>IF($A54="","",_xll.BDP($A54&amp;" Corp","INDUSTRY_GROUP"))</f>
        <v/>
      </c>
      <c r="G54" s="18">
        <f>IF($A54="","",PROPER(_xll.BDP($A54&amp;" Corp","COUNTRY_FULL_NAME")))</f>
        <v/>
      </c>
      <c r="H54" s="18">
        <f>IF($A54="","",_xll.BDP($A54&amp;" Corp","CRNCY"))</f>
        <v/>
      </c>
      <c r="I54" s="18">
        <f>IF($A54="","",IFERROR(_xll.BDP($A54&amp;" Corp","BB_COMPOSITE"),_xll.BDP($A54&amp;" Corp","RTG_SP")))</f>
        <v/>
      </c>
      <c r="J54" s="18">
        <f>IF($A54="","",_xll.BDP($A54&amp;" Corp","PAYMENT_RANK"))</f>
        <v/>
      </c>
      <c r="K54" s="20">
        <f>IF($A54="","",_xll.BDP($A54&amp;" Corp","CPN"))</f>
        <v/>
      </c>
      <c r="L54" s="21">
        <f>IF($A54="","",_xll.BDP($A54&amp;" Corp","MATURITY"))</f>
        <v/>
      </c>
      <c r="M54" s="22">
        <f>IF($A54="","",IFERROR(_xll.BDP($A54&amp;" Corp","MIN_PIECE")/1000,""))</f>
        <v/>
      </c>
      <c r="N54" s="23">
        <f>IF($A54="","",_xll.BDP($A54&amp;" Corp","PX_LAST"))</f>
        <v/>
      </c>
      <c r="O54" s="23">
        <f>IF($A54="","",_xll.BDP($A54&amp;" Corp","YAS_BOND_YLD","YAS_YLD_FLAG=15"))</f>
        <v/>
      </c>
      <c r="P54" s="23">
        <f>IF($A54="","",_xll.BDP($A54&amp;" Corp","YAS_MOD_DUR"))</f>
        <v/>
      </c>
      <c r="Q54" s="24">
        <f>IF($A54="","",_xll.BDP($A54&amp;" Corp","YAS_OAS_SPRD"))</f>
        <v/>
      </c>
      <c r="R54" s="24">
        <f>IF($A54="","",_xll.BDP($A54&amp;" Corp","YAS_OAS_SPRD","SETTLE_DT",$B$2))</f>
        <v/>
      </c>
      <c r="S54" s="25">
        <f>IF($A54="","",IF(OR(NOT(ISNUMBER($Q54)),NOT(ISNUMBER($R54))),"",$Q54-$R54))</f>
        <v/>
      </c>
      <c r="T54" s="23">
        <f>IF($A54="","",_xll.BDP($A54&amp;" Corp","YAS_BOND_YLD","YAS_YLD_FLAG=15","SETTLE_DT",$B$2))</f>
        <v/>
      </c>
      <c r="U54" s="26">
        <f>IF($A54="","",IF(OR(NOT(ISNUMBER($O54)),NOT(ISNUMBER($T54))),"",$O54-$T54))</f>
        <v/>
      </c>
    </row>
    <row r="55">
      <c r="A55" s="7" t="inlineStr">
        <is>
          <t>FR001400QZ47</t>
        </is>
      </c>
      <c r="B55" s="8">
        <f>IF($A55="","",_xll.BDP($A55&amp;" Corp","SECURITY_DES"))</f>
        <v/>
      </c>
      <c r="C55" s="8">
        <f>IF($A55="","",PROPER(_xll.BDP($A55&amp;" Corp","NAME")))</f>
        <v/>
      </c>
      <c r="D55" s="9">
        <f>IF($A55="","",IFERROR(_xll.BDP($A55&amp;" Corp","CIE_DES"),""))</f>
        <v/>
      </c>
      <c r="E55" s="8">
        <f>IF($A55="","",_xll.BDP($A55&amp;" Corp","INDUSTRY_SECTOR"))</f>
        <v/>
      </c>
      <c r="F55" s="8">
        <f>IF($A55="","",_xll.BDP($A55&amp;" Corp","INDUSTRY_GROUP"))</f>
        <v/>
      </c>
      <c r="G55" s="8">
        <f>IF($A55="","",PROPER(_xll.BDP($A55&amp;" Corp","COUNTRY_FULL_NAME")))</f>
        <v/>
      </c>
      <c r="H55" s="8">
        <f>IF($A55="","",_xll.BDP($A55&amp;" Corp","CRNCY"))</f>
        <v/>
      </c>
      <c r="I55" s="8">
        <f>IF($A55="","",IFERROR(_xll.BDP($A55&amp;" Corp","BB_COMPOSITE"),_xll.BDP($A55&amp;" Corp","RTG_SP")))</f>
        <v/>
      </c>
      <c r="J55" s="8">
        <f>IF($A55="","",_xll.BDP($A55&amp;" Corp","PAYMENT_RANK"))</f>
        <v/>
      </c>
      <c r="K55" s="10">
        <f>IF($A55="","",_xll.BDP($A55&amp;" Corp","CPN"))</f>
        <v/>
      </c>
      <c r="L55" s="11">
        <f>IF($A55="","",_xll.BDP($A55&amp;" Corp","MATURITY"))</f>
        <v/>
      </c>
      <c r="M55" s="12">
        <f>IF($A55="","",IFERROR(_xll.BDP($A55&amp;" Corp","MIN_PIECE")/1000,""))</f>
        <v/>
      </c>
      <c r="N55" s="13">
        <f>IF($A55="","",_xll.BDP($A55&amp;" Corp","PX_LAST"))</f>
        <v/>
      </c>
      <c r="O55" s="13">
        <f>IF($A55="","",_xll.BDP($A55&amp;" Corp","YAS_BOND_YLD","YAS_YLD_FLAG=15"))</f>
        <v/>
      </c>
      <c r="P55" s="13">
        <f>IF($A55="","",_xll.BDP($A55&amp;" Corp","YAS_MOD_DUR"))</f>
        <v/>
      </c>
      <c r="Q55" s="14">
        <f>IF($A55="","",_xll.BDP($A55&amp;" Corp","YAS_OAS_SPRD"))</f>
        <v/>
      </c>
      <c r="R55" s="14">
        <f>IF($A55="","",_xll.BDP($A55&amp;" Corp","YAS_OAS_SPRD","SETTLE_DT",$B$2))</f>
        <v/>
      </c>
      <c r="S55" s="15">
        <f>IF($A55="","",IF(OR(NOT(ISNUMBER($Q55)),NOT(ISNUMBER($R55))),"",$Q55-$R55))</f>
        <v/>
      </c>
      <c r="T55" s="13">
        <f>IF($A55="","",_xll.BDP($A55&amp;" Corp","YAS_BOND_YLD","YAS_YLD_FLAG=15","SETTLE_DT",$B$2))</f>
        <v/>
      </c>
      <c r="U55" s="16">
        <f>IF($A55="","",IF(OR(NOT(ISNUMBER($O55)),NOT(ISNUMBER($T55))),"",$O55-$T55))</f>
        <v/>
      </c>
    </row>
    <row r="56">
      <c r="A56" s="17" t="inlineStr">
        <is>
          <t>XS3173575591</t>
        </is>
      </c>
      <c r="B56" s="18">
        <f>IF($A56="","",_xll.BDP($A56&amp;" Corp","SECURITY_DES"))</f>
        <v/>
      </c>
      <c r="C56" s="18">
        <f>IF($A56="","",PROPER(_xll.BDP($A56&amp;" Corp","NAME")))</f>
        <v/>
      </c>
      <c r="D56" s="19">
        <f>IF($A56="","",IFERROR(_xll.BDP($A56&amp;" Corp","CIE_DES"),""))</f>
        <v/>
      </c>
      <c r="E56" s="18">
        <f>IF($A56="","",_xll.BDP($A56&amp;" Corp","INDUSTRY_SECTOR"))</f>
        <v/>
      </c>
      <c r="F56" s="18">
        <f>IF($A56="","",_xll.BDP($A56&amp;" Corp","INDUSTRY_GROUP"))</f>
        <v/>
      </c>
      <c r="G56" s="18">
        <f>IF($A56="","",PROPER(_xll.BDP($A56&amp;" Corp","COUNTRY_FULL_NAME")))</f>
        <v/>
      </c>
      <c r="H56" s="18">
        <f>IF($A56="","",_xll.BDP($A56&amp;" Corp","CRNCY"))</f>
        <v/>
      </c>
      <c r="I56" s="18">
        <f>IF($A56="","",IFERROR(_xll.BDP($A56&amp;" Corp","BB_COMPOSITE"),_xll.BDP($A56&amp;" Corp","RTG_SP")))</f>
        <v/>
      </c>
      <c r="J56" s="18">
        <f>IF($A56="","",_xll.BDP($A56&amp;" Corp","PAYMENT_RANK"))</f>
        <v/>
      </c>
      <c r="K56" s="20">
        <f>IF($A56="","",_xll.BDP($A56&amp;" Corp","CPN"))</f>
        <v/>
      </c>
      <c r="L56" s="21">
        <f>IF($A56="","",_xll.BDP($A56&amp;" Corp","MATURITY"))</f>
        <v/>
      </c>
      <c r="M56" s="22">
        <f>IF($A56="","",IFERROR(_xll.BDP($A56&amp;" Corp","MIN_PIECE")/1000,""))</f>
        <v/>
      </c>
      <c r="N56" s="23">
        <f>IF($A56="","",_xll.BDP($A56&amp;" Corp","PX_LAST"))</f>
        <v/>
      </c>
      <c r="O56" s="23">
        <f>IF($A56="","",_xll.BDP($A56&amp;" Corp","YAS_BOND_YLD","YAS_YLD_FLAG=15"))</f>
        <v/>
      </c>
      <c r="P56" s="23">
        <f>IF($A56="","",_xll.BDP($A56&amp;" Corp","YAS_MOD_DUR"))</f>
        <v/>
      </c>
      <c r="Q56" s="24">
        <f>IF($A56="","",_xll.BDP($A56&amp;" Corp","YAS_OAS_SPRD"))</f>
        <v/>
      </c>
      <c r="R56" s="24">
        <f>IF($A56="","",_xll.BDP($A56&amp;" Corp","YAS_OAS_SPRD","SETTLE_DT",$B$2))</f>
        <v/>
      </c>
      <c r="S56" s="25">
        <f>IF($A56="","",IF(OR(NOT(ISNUMBER($Q56)),NOT(ISNUMBER($R56))),"",$Q56-$R56))</f>
        <v/>
      </c>
      <c r="T56" s="23">
        <f>IF($A56="","",_xll.BDP($A56&amp;" Corp","YAS_BOND_YLD","YAS_YLD_FLAG=15","SETTLE_DT",$B$2))</f>
        <v/>
      </c>
      <c r="U56" s="26">
        <f>IF($A56="","",IF(OR(NOT(ISNUMBER($O56)),NOT(ISNUMBER($T56))),"",$O56-$T56))</f>
        <v/>
      </c>
    </row>
    <row r="57">
      <c r="A57" s="7" t="inlineStr">
        <is>
          <t>FR0014017JX1</t>
        </is>
      </c>
      <c r="B57" s="8">
        <f>IF($A57="","",_xll.BDP($A57&amp;" Corp","SECURITY_DES"))</f>
        <v/>
      </c>
      <c r="C57" s="8">
        <f>IF($A57="","",PROPER(_xll.BDP($A57&amp;" Corp","NAME")))</f>
        <v/>
      </c>
      <c r="D57" s="9">
        <f>IF($A57="","",IFERROR(_xll.BDP($A57&amp;" Corp","CIE_DES"),""))</f>
        <v/>
      </c>
      <c r="E57" s="8">
        <f>IF($A57="","",_xll.BDP($A57&amp;" Corp","INDUSTRY_SECTOR"))</f>
        <v/>
      </c>
      <c r="F57" s="8">
        <f>IF($A57="","",_xll.BDP($A57&amp;" Corp","INDUSTRY_GROUP"))</f>
        <v/>
      </c>
      <c r="G57" s="8">
        <f>IF($A57="","",PROPER(_xll.BDP($A57&amp;" Corp","COUNTRY_FULL_NAME")))</f>
        <v/>
      </c>
      <c r="H57" s="8">
        <f>IF($A57="","",_xll.BDP($A57&amp;" Corp","CRNCY"))</f>
        <v/>
      </c>
      <c r="I57" s="8">
        <f>IF($A57="","",IFERROR(_xll.BDP($A57&amp;" Corp","BB_COMPOSITE"),_xll.BDP($A57&amp;" Corp","RTG_SP")))</f>
        <v/>
      </c>
      <c r="J57" s="8">
        <f>IF($A57="","",_xll.BDP($A57&amp;" Corp","PAYMENT_RANK"))</f>
        <v/>
      </c>
      <c r="K57" s="10">
        <f>IF($A57="","",_xll.BDP($A57&amp;" Corp","CPN"))</f>
        <v/>
      </c>
      <c r="L57" s="11">
        <f>IF($A57="","",_xll.BDP($A57&amp;" Corp","MATURITY"))</f>
        <v/>
      </c>
      <c r="M57" s="12">
        <f>IF($A57="","",IFERROR(_xll.BDP($A57&amp;" Corp","MIN_PIECE")/1000,""))</f>
        <v/>
      </c>
      <c r="N57" s="13">
        <f>IF($A57="","",_xll.BDP($A57&amp;" Corp","PX_LAST"))</f>
        <v/>
      </c>
      <c r="O57" s="13">
        <f>IF($A57="","",_xll.BDP($A57&amp;" Corp","YAS_BOND_YLD","YAS_YLD_FLAG=15"))</f>
        <v/>
      </c>
      <c r="P57" s="13">
        <f>IF($A57="","",_xll.BDP($A57&amp;" Corp","YAS_MOD_DUR"))</f>
        <v/>
      </c>
      <c r="Q57" s="14">
        <f>IF($A57="","",_xll.BDP($A57&amp;" Corp","YAS_OAS_SPRD"))</f>
        <v/>
      </c>
      <c r="R57" s="14">
        <f>IF($A57="","",_xll.BDP($A57&amp;" Corp","YAS_OAS_SPRD","SETTLE_DT",$B$2))</f>
        <v/>
      </c>
      <c r="S57" s="15">
        <f>IF($A57="","",IF(OR(NOT(ISNUMBER($Q57)),NOT(ISNUMBER($R57))),"",$Q57-$R57))</f>
        <v/>
      </c>
      <c r="T57" s="13">
        <f>IF($A57="","",_xll.BDP($A57&amp;" Corp","YAS_BOND_YLD","YAS_YLD_FLAG=15","SETTLE_DT",$B$2))</f>
        <v/>
      </c>
      <c r="U57" s="16">
        <f>IF($A57="","",IF(OR(NOT(ISNUMBER($O57)),NOT(ISNUMBER($T57))),"",$O57-$T57))</f>
        <v/>
      </c>
    </row>
    <row r="58">
      <c r="A58" s="17" t="inlineStr">
        <is>
          <t>XS3203385227</t>
        </is>
      </c>
      <c r="B58" s="18">
        <f>IF($A58="","",_xll.BDP($A58&amp;" Corp","SECURITY_DES"))</f>
        <v/>
      </c>
      <c r="C58" s="18">
        <f>IF($A58="","",PROPER(_xll.BDP($A58&amp;" Corp","NAME")))</f>
        <v/>
      </c>
      <c r="D58" s="19">
        <f>IF($A58="","",IFERROR(_xll.BDP($A58&amp;" Corp","CIE_DES"),""))</f>
        <v/>
      </c>
      <c r="E58" s="18">
        <f>IF($A58="","",_xll.BDP($A58&amp;" Corp","INDUSTRY_SECTOR"))</f>
        <v/>
      </c>
      <c r="F58" s="18">
        <f>IF($A58="","",_xll.BDP($A58&amp;" Corp","INDUSTRY_GROUP"))</f>
        <v/>
      </c>
      <c r="G58" s="18">
        <f>IF($A58="","",PROPER(_xll.BDP($A58&amp;" Corp","COUNTRY_FULL_NAME")))</f>
        <v/>
      </c>
      <c r="H58" s="18">
        <f>IF($A58="","",_xll.BDP($A58&amp;" Corp","CRNCY"))</f>
        <v/>
      </c>
      <c r="I58" s="18">
        <f>IF($A58="","",IFERROR(_xll.BDP($A58&amp;" Corp","BB_COMPOSITE"),_xll.BDP($A58&amp;" Corp","RTG_SP")))</f>
        <v/>
      </c>
      <c r="J58" s="18">
        <f>IF($A58="","",_xll.BDP($A58&amp;" Corp","PAYMENT_RANK"))</f>
        <v/>
      </c>
      <c r="K58" s="20">
        <f>IF($A58="","",_xll.BDP($A58&amp;" Corp","CPN"))</f>
        <v/>
      </c>
      <c r="L58" s="21">
        <f>IF($A58="","",_xll.BDP($A58&amp;" Corp","MATURITY"))</f>
        <v/>
      </c>
      <c r="M58" s="22">
        <f>IF($A58="","",IFERROR(_xll.BDP($A58&amp;" Corp","MIN_PIECE")/1000,""))</f>
        <v/>
      </c>
      <c r="N58" s="23">
        <f>IF($A58="","",_xll.BDP($A58&amp;" Corp","PX_LAST"))</f>
        <v/>
      </c>
      <c r="O58" s="23">
        <f>IF($A58="","",_xll.BDP($A58&amp;" Corp","YAS_BOND_YLD","YAS_YLD_FLAG=15"))</f>
        <v/>
      </c>
      <c r="P58" s="23">
        <f>IF($A58="","",_xll.BDP($A58&amp;" Corp","YAS_MOD_DUR"))</f>
        <v/>
      </c>
      <c r="Q58" s="24">
        <f>IF($A58="","",_xll.BDP($A58&amp;" Corp","YAS_OAS_SPRD"))</f>
        <v/>
      </c>
      <c r="R58" s="24">
        <f>IF($A58="","",_xll.BDP($A58&amp;" Corp","YAS_OAS_SPRD","SETTLE_DT",$B$2))</f>
        <v/>
      </c>
      <c r="S58" s="25">
        <f>IF($A58="","",IF(OR(NOT(ISNUMBER($Q58)),NOT(ISNUMBER($R58))),"",$Q58-$R58))</f>
        <v/>
      </c>
      <c r="T58" s="23">
        <f>IF($A58="","",_xll.BDP($A58&amp;" Corp","YAS_BOND_YLD","YAS_YLD_FLAG=15","SETTLE_DT",$B$2))</f>
        <v/>
      </c>
      <c r="U58" s="26">
        <f>IF($A58="","",IF(OR(NOT(ISNUMBER($O58)),NOT(ISNUMBER($T58))),"",$O58-$T58))</f>
        <v/>
      </c>
    </row>
    <row r="59">
      <c r="A59" s="7" t="inlineStr">
        <is>
          <t>XS3066581664</t>
        </is>
      </c>
      <c r="B59" s="8">
        <f>IF($A59="","",_xll.BDP($A59&amp;" Corp","SECURITY_DES"))</f>
        <v/>
      </c>
      <c r="C59" s="8">
        <f>IF($A59="","",PROPER(_xll.BDP($A59&amp;" Corp","NAME")))</f>
        <v/>
      </c>
      <c r="D59" s="9">
        <f>IF($A59="","",IFERROR(_xll.BDP($A59&amp;" Corp","CIE_DES"),""))</f>
        <v/>
      </c>
      <c r="E59" s="8">
        <f>IF($A59="","",_xll.BDP($A59&amp;" Corp","INDUSTRY_SECTOR"))</f>
        <v/>
      </c>
      <c r="F59" s="8">
        <f>IF($A59="","",_xll.BDP($A59&amp;" Corp","INDUSTRY_GROUP"))</f>
        <v/>
      </c>
      <c r="G59" s="8">
        <f>IF($A59="","",PROPER(_xll.BDP($A59&amp;" Corp","COUNTRY_FULL_NAME")))</f>
        <v/>
      </c>
      <c r="H59" s="8">
        <f>IF($A59="","",_xll.BDP($A59&amp;" Corp","CRNCY"))</f>
        <v/>
      </c>
      <c r="I59" s="8">
        <f>IF($A59="","",IFERROR(_xll.BDP($A59&amp;" Corp","BB_COMPOSITE"),_xll.BDP($A59&amp;" Corp","RTG_SP")))</f>
        <v/>
      </c>
      <c r="J59" s="8">
        <f>IF($A59="","",_xll.BDP($A59&amp;" Corp","PAYMENT_RANK"))</f>
        <v/>
      </c>
      <c r="K59" s="10">
        <f>IF($A59="","",_xll.BDP($A59&amp;" Corp","CPN"))</f>
        <v/>
      </c>
      <c r="L59" s="11">
        <f>IF($A59="","",_xll.BDP($A59&amp;" Corp","MATURITY"))</f>
        <v/>
      </c>
      <c r="M59" s="12">
        <f>IF($A59="","",IFERROR(_xll.BDP($A59&amp;" Corp","MIN_PIECE")/1000,""))</f>
        <v/>
      </c>
      <c r="N59" s="13">
        <f>IF($A59="","",_xll.BDP($A59&amp;" Corp","PX_LAST"))</f>
        <v/>
      </c>
      <c r="O59" s="13">
        <f>IF($A59="","",_xll.BDP($A59&amp;" Corp","YAS_BOND_YLD","YAS_YLD_FLAG=15"))</f>
        <v/>
      </c>
      <c r="P59" s="13">
        <f>IF($A59="","",_xll.BDP($A59&amp;" Corp","YAS_MOD_DUR"))</f>
        <v/>
      </c>
      <c r="Q59" s="14">
        <f>IF($A59="","",_xll.BDP($A59&amp;" Corp","YAS_OAS_SPRD"))</f>
        <v/>
      </c>
      <c r="R59" s="14">
        <f>IF($A59="","",_xll.BDP($A59&amp;" Corp","YAS_OAS_SPRD","SETTLE_DT",$B$2))</f>
        <v/>
      </c>
      <c r="S59" s="15">
        <f>IF($A59="","",IF(OR(NOT(ISNUMBER($Q59)),NOT(ISNUMBER($R59))),"",$Q59-$R59))</f>
        <v/>
      </c>
      <c r="T59" s="13">
        <f>IF($A59="","",_xll.BDP($A59&amp;" Corp","YAS_BOND_YLD","YAS_YLD_FLAG=15","SETTLE_DT",$B$2))</f>
        <v/>
      </c>
      <c r="U59" s="16">
        <f>IF($A59="","",IF(OR(NOT(ISNUMBER($O59)),NOT(ISNUMBER($T59))),"",$O59-$T59))</f>
        <v/>
      </c>
    </row>
    <row r="60">
      <c r="A60" s="17" t="inlineStr">
        <is>
          <t>XS3089768157</t>
        </is>
      </c>
      <c r="B60" s="18">
        <f>IF($A60="","",_xll.BDP($A60&amp;" Corp","SECURITY_DES"))</f>
        <v/>
      </c>
      <c r="C60" s="18">
        <f>IF($A60="","",PROPER(_xll.BDP($A60&amp;" Corp","NAME")))</f>
        <v/>
      </c>
      <c r="D60" s="19">
        <f>IF($A60="","",IFERROR(_xll.BDP($A60&amp;" Corp","CIE_DES"),""))</f>
        <v/>
      </c>
      <c r="E60" s="18">
        <f>IF($A60="","",_xll.BDP($A60&amp;" Corp","INDUSTRY_SECTOR"))</f>
        <v/>
      </c>
      <c r="F60" s="18">
        <f>IF($A60="","",_xll.BDP($A60&amp;" Corp","INDUSTRY_GROUP"))</f>
        <v/>
      </c>
      <c r="G60" s="18">
        <f>IF($A60="","",PROPER(_xll.BDP($A60&amp;" Corp","COUNTRY_FULL_NAME")))</f>
        <v/>
      </c>
      <c r="H60" s="18">
        <f>IF($A60="","",_xll.BDP($A60&amp;" Corp","CRNCY"))</f>
        <v/>
      </c>
      <c r="I60" s="18">
        <f>IF($A60="","",IFERROR(_xll.BDP($A60&amp;" Corp","BB_COMPOSITE"),_xll.BDP($A60&amp;" Corp","RTG_SP")))</f>
        <v/>
      </c>
      <c r="J60" s="18">
        <f>IF($A60="","",_xll.BDP($A60&amp;" Corp","PAYMENT_RANK"))</f>
        <v/>
      </c>
      <c r="K60" s="20">
        <f>IF($A60="","",_xll.BDP($A60&amp;" Corp","CPN"))</f>
        <v/>
      </c>
      <c r="L60" s="21">
        <f>IF($A60="","",_xll.BDP($A60&amp;" Corp","MATURITY"))</f>
        <v/>
      </c>
      <c r="M60" s="22">
        <f>IF($A60="","",IFERROR(_xll.BDP($A60&amp;" Corp","MIN_PIECE")/1000,""))</f>
        <v/>
      </c>
      <c r="N60" s="23">
        <f>IF($A60="","",_xll.BDP($A60&amp;" Corp","PX_LAST"))</f>
        <v/>
      </c>
      <c r="O60" s="23">
        <f>IF($A60="","",_xll.BDP($A60&amp;" Corp","YAS_BOND_YLD","YAS_YLD_FLAG=15"))</f>
        <v/>
      </c>
      <c r="P60" s="23">
        <f>IF($A60="","",_xll.BDP($A60&amp;" Corp","YAS_MOD_DUR"))</f>
        <v/>
      </c>
      <c r="Q60" s="24">
        <f>IF($A60="","",_xll.BDP($A60&amp;" Corp","YAS_OAS_SPRD"))</f>
        <v/>
      </c>
      <c r="R60" s="24">
        <f>IF($A60="","",_xll.BDP($A60&amp;" Corp","YAS_OAS_SPRD","SETTLE_DT",$B$2))</f>
        <v/>
      </c>
      <c r="S60" s="25">
        <f>IF($A60="","",IF(OR(NOT(ISNUMBER($Q60)),NOT(ISNUMBER($R60))),"",$Q60-$R60))</f>
        <v/>
      </c>
      <c r="T60" s="23">
        <f>IF($A60="","",_xll.BDP($A60&amp;" Corp","YAS_BOND_YLD","YAS_YLD_FLAG=15","SETTLE_DT",$B$2))</f>
        <v/>
      </c>
      <c r="U60" s="26">
        <f>IF($A60="","",IF(OR(NOT(ISNUMBER($O60)),NOT(ISNUMBER($T60))),"",$O60-$T60))</f>
        <v/>
      </c>
    </row>
    <row r="61">
      <c r="A61" s="7" t="inlineStr">
        <is>
          <t>XS3091045875</t>
        </is>
      </c>
      <c r="B61" s="8">
        <f>IF($A61="","",_xll.BDP($A61&amp;" Corp","SECURITY_DES"))</f>
        <v/>
      </c>
      <c r="C61" s="8">
        <f>IF($A61="","",PROPER(_xll.BDP($A61&amp;" Corp","NAME")))</f>
        <v/>
      </c>
      <c r="D61" s="9">
        <f>IF($A61="","",IFERROR(_xll.BDP($A61&amp;" Corp","CIE_DES"),""))</f>
        <v/>
      </c>
      <c r="E61" s="8">
        <f>IF($A61="","",_xll.BDP($A61&amp;" Corp","INDUSTRY_SECTOR"))</f>
        <v/>
      </c>
      <c r="F61" s="8">
        <f>IF($A61="","",_xll.BDP($A61&amp;" Corp","INDUSTRY_GROUP"))</f>
        <v/>
      </c>
      <c r="G61" s="8">
        <f>IF($A61="","",PROPER(_xll.BDP($A61&amp;" Corp","COUNTRY_FULL_NAME")))</f>
        <v/>
      </c>
      <c r="H61" s="8">
        <f>IF($A61="","",_xll.BDP($A61&amp;" Corp","CRNCY"))</f>
        <v/>
      </c>
      <c r="I61" s="8">
        <f>IF($A61="","",IFERROR(_xll.BDP($A61&amp;" Corp","BB_COMPOSITE"),_xll.BDP($A61&amp;" Corp","RTG_SP")))</f>
        <v/>
      </c>
      <c r="J61" s="8">
        <f>IF($A61="","",_xll.BDP($A61&amp;" Corp","PAYMENT_RANK"))</f>
        <v/>
      </c>
      <c r="K61" s="10">
        <f>IF($A61="","",_xll.BDP($A61&amp;" Corp","CPN"))</f>
        <v/>
      </c>
      <c r="L61" s="11">
        <f>IF($A61="","",_xll.BDP($A61&amp;" Corp","MATURITY"))</f>
        <v/>
      </c>
      <c r="M61" s="12">
        <f>IF($A61="","",IFERROR(_xll.BDP($A61&amp;" Corp","MIN_PIECE")/1000,""))</f>
        <v/>
      </c>
      <c r="N61" s="13">
        <f>IF($A61="","",_xll.BDP($A61&amp;" Corp","PX_LAST"))</f>
        <v/>
      </c>
      <c r="O61" s="13">
        <f>IF($A61="","",_xll.BDP($A61&amp;" Corp","YAS_BOND_YLD","YAS_YLD_FLAG=15"))</f>
        <v/>
      </c>
      <c r="P61" s="13">
        <f>IF($A61="","",_xll.BDP($A61&amp;" Corp","YAS_MOD_DUR"))</f>
        <v/>
      </c>
      <c r="Q61" s="14">
        <f>IF($A61="","",_xll.BDP($A61&amp;" Corp","YAS_OAS_SPRD"))</f>
        <v/>
      </c>
      <c r="R61" s="14">
        <f>IF($A61="","",_xll.BDP($A61&amp;" Corp","YAS_OAS_SPRD","SETTLE_DT",$B$2))</f>
        <v/>
      </c>
      <c r="S61" s="15">
        <f>IF($A61="","",IF(OR(NOT(ISNUMBER($Q61)),NOT(ISNUMBER($R61))),"",$Q61-$R61))</f>
        <v/>
      </c>
      <c r="T61" s="13">
        <f>IF($A61="","",_xll.BDP($A61&amp;" Corp","YAS_BOND_YLD","YAS_YLD_FLAG=15","SETTLE_DT",$B$2))</f>
        <v/>
      </c>
      <c r="U61" s="16">
        <f>IF($A61="","",IF(OR(NOT(ISNUMBER($O61)),NOT(ISNUMBER($T61))),"",$O61-$T61))</f>
        <v/>
      </c>
    </row>
    <row r="62">
      <c r="A62" s="17" t="inlineStr">
        <is>
          <t>XS2904540775</t>
        </is>
      </c>
      <c r="B62" s="18">
        <f>IF($A62="","",_xll.BDP($A62&amp;" Corp","SECURITY_DES"))</f>
        <v/>
      </c>
      <c r="C62" s="18">
        <f>IF($A62="","",PROPER(_xll.BDP($A62&amp;" Corp","NAME")))</f>
        <v/>
      </c>
      <c r="D62" s="19">
        <f>IF($A62="","",IFERROR(_xll.BDP($A62&amp;" Corp","CIE_DES"),""))</f>
        <v/>
      </c>
      <c r="E62" s="18">
        <f>IF($A62="","",_xll.BDP($A62&amp;" Corp","INDUSTRY_SECTOR"))</f>
        <v/>
      </c>
      <c r="F62" s="18">
        <f>IF($A62="","",_xll.BDP($A62&amp;" Corp","INDUSTRY_GROUP"))</f>
        <v/>
      </c>
      <c r="G62" s="18">
        <f>IF($A62="","",PROPER(_xll.BDP($A62&amp;" Corp","COUNTRY_FULL_NAME")))</f>
        <v/>
      </c>
      <c r="H62" s="18">
        <f>IF($A62="","",_xll.BDP($A62&amp;" Corp","CRNCY"))</f>
        <v/>
      </c>
      <c r="I62" s="18">
        <f>IF($A62="","",IFERROR(_xll.BDP($A62&amp;" Corp","BB_COMPOSITE"),_xll.BDP($A62&amp;" Corp","RTG_SP")))</f>
        <v/>
      </c>
      <c r="J62" s="18">
        <f>IF($A62="","",_xll.BDP($A62&amp;" Corp","PAYMENT_RANK"))</f>
        <v/>
      </c>
      <c r="K62" s="20">
        <f>IF($A62="","",_xll.BDP($A62&amp;" Corp","CPN"))</f>
        <v/>
      </c>
      <c r="L62" s="21">
        <f>IF($A62="","",_xll.BDP($A62&amp;" Corp","MATURITY"))</f>
        <v/>
      </c>
      <c r="M62" s="22">
        <f>IF($A62="","",IFERROR(_xll.BDP($A62&amp;" Corp","MIN_PIECE")/1000,""))</f>
        <v/>
      </c>
      <c r="N62" s="23">
        <f>IF($A62="","",_xll.BDP($A62&amp;" Corp","PX_LAST"))</f>
        <v/>
      </c>
      <c r="O62" s="23">
        <f>IF($A62="","",_xll.BDP($A62&amp;" Corp","YAS_BOND_YLD","YAS_YLD_FLAG=15"))</f>
        <v/>
      </c>
      <c r="P62" s="23">
        <f>IF($A62="","",_xll.BDP($A62&amp;" Corp","YAS_MOD_DUR"))</f>
        <v/>
      </c>
      <c r="Q62" s="24">
        <f>IF($A62="","",_xll.BDP($A62&amp;" Corp","YAS_OAS_SPRD"))</f>
        <v/>
      </c>
      <c r="R62" s="24">
        <f>IF($A62="","",_xll.BDP($A62&amp;" Corp","YAS_OAS_SPRD","SETTLE_DT",$B$2))</f>
        <v/>
      </c>
      <c r="S62" s="25">
        <f>IF($A62="","",IF(OR(NOT(ISNUMBER($Q62)),NOT(ISNUMBER($R62))),"",$Q62-$R62))</f>
        <v/>
      </c>
      <c r="T62" s="23">
        <f>IF($A62="","",_xll.BDP($A62&amp;" Corp","YAS_BOND_YLD","YAS_YLD_FLAG=15","SETTLE_DT",$B$2))</f>
        <v/>
      </c>
      <c r="U62" s="26">
        <f>IF($A62="","",IF(OR(NOT(ISNUMBER($O62)),NOT(ISNUMBER($T62))),"",$O62-$T62))</f>
        <v/>
      </c>
    </row>
    <row r="63">
      <c r="A63" s="7" t="inlineStr">
        <is>
          <t>XS3191348831</t>
        </is>
      </c>
      <c r="B63" s="8">
        <f>IF($A63="","",_xll.BDP($A63&amp;" Corp","SECURITY_DES"))</f>
        <v/>
      </c>
      <c r="C63" s="8">
        <f>IF($A63="","",PROPER(_xll.BDP($A63&amp;" Corp","NAME")))</f>
        <v/>
      </c>
      <c r="D63" s="9">
        <f>IF($A63="","",IFERROR(_xll.BDP($A63&amp;" Corp","CIE_DES"),""))</f>
        <v/>
      </c>
      <c r="E63" s="8">
        <f>IF($A63="","",_xll.BDP($A63&amp;" Corp","INDUSTRY_SECTOR"))</f>
        <v/>
      </c>
      <c r="F63" s="8">
        <f>IF($A63="","",_xll.BDP($A63&amp;" Corp","INDUSTRY_GROUP"))</f>
        <v/>
      </c>
      <c r="G63" s="8">
        <f>IF($A63="","",PROPER(_xll.BDP($A63&amp;" Corp","COUNTRY_FULL_NAME")))</f>
        <v/>
      </c>
      <c r="H63" s="8">
        <f>IF($A63="","",_xll.BDP($A63&amp;" Corp","CRNCY"))</f>
        <v/>
      </c>
      <c r="I63" s="8">
        <f>IF($A63="","",IFERROR(_xll.BDP($A63&amp;" Corp","BB_COMPOSITE"),_xll.BDP($A63&amp;" Corp","RTG_SP")))</f>
        <v/>
      </c>
      <c r="J63" s="8">
        <f>IF($A63="","",_xll.BDP($A63&amp;" Corp","PAYMENT_RANK"))</f>
        <v/>
      </c>
      <c r="K63" s="10">
        <f>IF($A63="","",_xll.BDP($A63&amp;" Corp","CPN"))</f>
        <v/>
      </c>
      <c r="L63" s="11">
        <f>IF($A63="","",_xll.BDP($A63&amp;" Corp","MATURITY"))</f>
        <v/>
      </c>
      <c r="M63" s="12">
        <f>IF($A63="","",IFERROR(_xll.BDP($A63&amp;" Corp","MIN_PIECE")/1000,""))</f>
        <v/>
      </c>
      <c r="N63" s="13">
        <f>IF($A63="","",_xll.BDP($A63&amp;" Corp","PX_LAST"))</f>
        <v/>
      </c>
      <c r="O63" s="13">
        <f>IF($A63="","",_xll.BDP($A63&amp;" Corp","YAS_BOND_YLD","YAS_YLD_FLAG=15"))</f>
        <v/>
      </c>
      <c r="P63" s="13">
        <f>IF($A63="","",_xll.BDP($A63&amp;" Corp","YAS_MOD_DUR"))</f>
        <v/>
      </c>
      <c r="Q63" s="14">
        <f>IF($A63="","",_xll.BDP($A63&amp;" Corp","YAS_OAS_SPRD"))</f>
        <v/>
      </c>
      <c r="R63" s="14">
        <f>IF($A63="","",_xll.BDP($A63&amp;" Corp","YAS_OAS_SPRD","SETTLE_DT",$B$2))</f>
        <v/>
      </c>
      <c r="S63" s="15">
        <f>IF($A63="","",IF(OR(NOT(ISNUMBER($Q63)),NOT(ISNUMBER($R63))),"",$Q63-$R63))</f>
        <v/>
      </c>
      <c r="T63" s="13">
        <f>IF($A63="","",_xll.BDP($A63&amp;" Corp","YAS_BOND_YLD","YAS_YLD_FLAG=15","SETTLE_DT",$B$2))</f>
        <v/>
      </c>
      <c r="U63" s="16">
        <f>IF($A63="","",IF(OR(NOT(ISNUMBER($O63)),NOT(ISNUMBER($T63))),"",$O63-$T63))</f>
        <v/>
      </c>
    </row>
    <row r="64">
      <c r="A64" s="17" t="inlineStr">
        <is>
          <t>XS3150924267</t>
        </is>
      </c>
      <c r="B64" s="18">
        <f>IF($A64="","",_xll.BDP($A64&amp;" Corp","SECURITY_DES"))</f>
        <v/>
      </c>
      <c r="C64" s="18">
        <f>IF($A64="","",PROPER(_xll.BDP($A64&amp;" Corp","NAME")))</f>
        <v/>
      </c>
      <c r="D64" s="19">
        <f>IF($A64="","",IFERROR(_xll.BDP($A64&amp;" Corp","CIE_DES"),""))</f>
        <v/>
      </c>
      <c r="E64" s="18">
        <f>IF($A64="","",_xll.BDP($A64&amp;" Corp","INDUSTRY_SECTOR"))</f>
        <v/>
      </c>
      <c r="F64" s="18">
        <f>IF($A64="","",_xll.BDP($A64&amp;" Corp","INDUSTRY_GROUP"))</f>
        <v/>
      </c>
      <c r="G64" s="18">
        <f>IF($A64="","",PROPER(_xll.BDP($A64&amp;" Corp","COUNTRY_FULL_NAME")))</f>
        <v/>
      </c>
      <c r="H64" s="18">
        <f>IF($A64="","",_xll.BDP($A64&amp;" Corp","CRNCY"))</f>
        <v/>
      </c>
      <c r="I64" s="18">
        <f>IF($A64="","",IFERROR(_xll.BDP($A64&amp;" Corp","BB_COMPOSITE"),_xll.BDP($A64&amp;" Corp","RTG_SP")))</f>
        <v/>
      </c>
      <c r="J64" s="18">
        <f>IF($A64="","",_xll.BDP($A64&amp;" Corp","PAYMENT_RANK"))</f>
        <v/>
      </c>
      <c r="K64" s="20">
        <f>IF($A64="","",_xll.BDP($A64&amp;" Corp","CPN"))</f>
        <v/>
      </c>
      <c r="L64" s="21">
        <f>IF($A64="","",_xll.BDP($A64&amp;" Corp","MATURITY"))</f>
        <v/>
      </c>
      <c r="M64" s="22">
        <f>IF($A64="","",IFERROR(_xll.BDP($A64&amp;" Corp","MIN_PIECE")/1000,""))</f>
        <v/>
      </c>
      <c r="N64" s="23">
        <f>IF($A64="","",_xll.BDP($A64&amp;" Corp","PX_LAST"))</f>
        <v/>
      </c>
      <c r="O64" s="23">
        <f>IF($A64="","",_xll.BDP($A64&amp;" Corp","YAS_BOND_YLD","YAS_YLD_FLAG=15"))</f>
        <v/>
      </c>
      <c r="P64" s="23">
        <f>IF($A64="","",_xll.BDP($A64&amp;" Corp","YAS_MOD_DUR"))</f>
        <v/>
      </c>
      <c r="Q64" s="24">
        <f>IF($A64="","",_xll.BDP($A64&amp;" Corp","YAS_OAS_SPRD"))</f>
        <v/>
      </c>
      <c r="R64" s="24">
        <f>IF($A64="","",_xll.BDP($A64&amp;" Corp","YAS_OAS_SPRD","SETTLE_DT",$B$2))</f>
        <v/>
      </c>
      <c r="S64" s="25">
        <f>IF($A64="","",IF(OR(NOT(ISNUMBER($Q64)),NOT(ISNUMBER($R64))),"",$Q64-$R64))</f>
        <v/>
      </c>
      <c r="T64" s="23">
        <f>IF($A64="","",_xll.BDP($A64&amp;" Corp","YAS_BOND_YLD","YAS_YLD_FLAG=15","SETTLE_DT",$B$2))</f>
        <v/>
      </c>
      <c r="U64" s="26">
        <f>IF($A64="","",IF(OR(NOT(ISNUMBER($O64)),NOT(ISNUMBER($T64))),"",$O64-$T64))</f>
        <v/>
      </c>
    </row>
    <row r="65">
      <c r="A65" s="7" t="inlineStr">
        <is>
          <t>XS3225988826</t>
        </is>
      </c>
      <c r="B65" s="8">
        <f>IF($A65="","",_xll.BDP($A65&amp;" Corp","SECURITY_DES"))</f>
        <v/>
      </c>
      <c r="C65" s="8">
        <f>IF($A65="","",PROPER(_xll.BDP($A65&amp;" Corp","NAME")))</f>
        <v/>
      </c>
      <c r="D65" s="9">
        <f>IF($A65="","",IFERROR(_xll.BDP($A65&amp;" Corp","CIE_DES"),""))</f>
        <v/>
      </c>
      <c r="E65" s="8">
        <f>IF($A65="","",_xll.BDP($A65&amp;" Corp","INDUSTRY_SECTOR"))</f>
        <v/>
      </c>
      <c r="F65" s="8">
        <f>IF($A65="","",_xll.BDP($A65&amp;" Corp","INDUSTRY_GROUP"))</f>
        <v/>
      </c>
      <c r="G65" s="8">
        <f>IF($A65="","",PROPER(_xll.BDP($A65&amp;" Corp","COUNTRY_FULL_NAME")))</f>
        <v/>
      </c>
      <c r="H65" s="8">
        <f>IF($A65="","",_xll.BDP($A65&amp;" Corp","CRNCY"))</f>
        <v/>
      </c>
      <c r="I65" s="8">
        <f>IF($A65="","",IFERROR(_xll.BDP($A65&amp;" Corp","BB_COMPOSITE"),_xll.BDP($A65&amp;" Corp","RTG_SP")))</f>
        <v/>
      </c>
      <c r="J65" s="8">
        <f>IF($A65="","",_xll.BDP($A65&amp;" Corp","PAYMENT_RANK"))</f>
        <v/>
      </c>
      <c r="K65" s="10">
        <f>IF($A65="","",_xll.BDP($A65&amp;" Corp","CPN"))</f>
        <v/>
      </c>
      <c r="L65" s="11">
        <f>IF($A65="","",_xll.BDP($A65&amp;" Corp","MATURITY"))</f>
        <v/>
      </c>
      <c r="M65" s="12">
        <f>IF($A65="","",IFERROR(_xll.BDP($A65&amp;" Corp","MIN_PIECE")/1000,""))</f>
        <v/>
      </c>
      <c r="N65" s="13">
        <f>IF($A65="","",_xll.BDP($A65&amp;" Corp","PX_LAST"))</f>
        <v/>
      </c>
      <c r="O65" s="13">
        <f>IF($A65="","",_xll.BDP($A65&amp;" Corp","YAS_BOND_YLD","YAS_YLD_FLAG=15"))</f>
        <v/>
      </c>
      <c r="P65" s="13">
        <f>IF($A65="","",_xll.BDP($A65&amp;" Corp","YAS_MOD_DUR"))</f>
        <v/>
      </c>
      <c r="Q65" s="14">
        <f>IF($A65="","",_xll.BDP($A65&amp;" Corp","YAS_OAS_SPRD"))</f>
        <v/>
      </c>
      <c r="R65" s="14">
        <f>IF($A65="","",_xll.BDP($A65&amp;" Corp","YAS_OAS_SPRD","SETTLE_DT",$B$2))</f>
        <v/>
      </c>
      <c r="S65" s="15">
        <f>IF($A65="","",IF(OR(NOT(ISNUMBER($Q65)),NOT(ISNUMBER($R65))),"",$Q65-$R65))</f>
        <v/>
      </c>
      <c r="T65" s="13">
        <f>IF($A65="","",_xll.BDP($A65&amp;" Corp","YAS_BOND_YLD","YAS_YLD_FLAG=15","SETTLE_DT",$B$2))</f>
        <v/>
      </c>
      <c r="U65" s="16">
        <f>IF($A65="","",IF(OR(NOT(ISNUMBER($O65)),NOT(ISNUMBER($T65))),"",$O65-$T65))</f>
        <v/>
      </c>
    </row>
    <row r="66">
      <c r="A66" s="17" t="inlineStr">
        <is>
          <t>XS3152596493</t>
        </is>
      </c>
      <c r="B66" s="18">
        <f>IF($A66="","",_xll.BDP($A66&amp;" Corp","SECURITY_DES"))</f>
        <v/>
      </c>
      <c r="C66" s="18">
        <f>IF($A66="","",PROPER(_xll.BDP($A66&amp;" Corp","NAME")))</f>
        <v/>
      </c>
      <c r="D66" s="19">
        <f>IF($A66="","",IFERROR(_xll.BDP($A66&amp;" Corp","CIE_DES"),""))</f>
        <v/>
      </c>
      <c r="E66" s="18">
        <f>IF($A66="","",_xll.BDP($A66&amp;" Corp","INDUSTRY_SECTOR"))</f>
        <v/>
      </c>
      <c r="F66" s="18">
        <f>IF($A66="","",_xll.BDP($A66&amp;" Corp","INDUSTRY_GROUP"))</f>
        <v/>
      </c>
      <c r="G66" s="18">
        <f>IF($A66="","",PROPER(_xll.BDP($A66&amp;" Corp","COUNTRY_FULL_NAME")))</f>
        <v/>
      </c>
      <c r="H66" s="18">
        <f>IF($A66="","",_xll.BDP($A66&amp;" Corp","CRNCY"))</f>
        <v/>
      </c>
      <c r="I66" s="18">
        <f>IF($A66="","",IFERROR(_xll.BDP($A66&amp;" Corp","BB_COMPOSITE"),_xll.BDP($A66&amp;" Corp","RTG_SP")))</f>
        <v/>
      </c>
      <c r="J66" s="18">
        <f>IF($A66="","",_xll.BDP($A66&amp;" Corp","PAYMENT_RANK"))</f>
        <v/>
      </c>
      <c r="K66" s="20">
        <f>IF($A66="","",_xll.BDP($A66&amp;" Corp","CPN"))</f>
        <v/>
      </c>
      <c r="L66" s="21">
        <f>IF($A66="","",_xll.BDP($A66&amp;" Corp","MATURITY"))</f>
        <v/>
      </c>
      <c r="M66" s="22">
        <f>IF($A66="","",IFERROR(_xll.BDP($A66&amp;" Corp","MIN_PIECE")/1000,""))</f>
        <v/>
      </c>
      <c r="N66" s="23">
        <f>IF($A66="","",_xll.BDP($A66&amp;" Corp","PX_LAST"))</f>
        <v/>
      </c>
      <c r="O66" s="23">
        <f>IF($A66="","",_xll.BDP($A66&amp;" Corp","YAS_BOND_YLD","YAS_YLD_FLAG=15"))</f>
        <v/>
      </c>
      <c r="P66" s="23">
        <f>IF($A66="","",_xll.BDP($A66&amp;" Corp","YAS_MOD_DUR"))</f>
        <v/>
      </c>
      <c r="Q66" s="24">
        <f>IF($A66="","",_xll.BDP($A66&amp;" Corp","YAS_OAS_SPRD"))</f>
        <v/>
      </c>
      <c r="R66" s="24">
        <f>IF($A66="","",_xll.BDP($A66&amp;" Corp","YAS_OAS_SPRD","SETTLE_DT",$B$2))</f>
        <v/>
      </c>
      <c r="S66" s="25">
        <f>IF($A66="","",IF(OR(NOT(ISNUMBER($Q66)),NOT(ISNUMBER($R66))),"",$Q66-$R66))</f>
        <v/>
      </c>
      <c r="T66" s="23">
        <f>IF($A66="","",_xll.BDP($A66&amp;" Corp","YAS_BOND_YLD","YAS_YLD_FLAG=15","SETTLE_DT",$B$2))</f>
        <v/>
      </c>
      <c r="U66" s="26">
        <f>IF($A66="","",IF(OR(NOT(ISNUMBER($O66)),NOT(ISNUMBER($T66))),"",$O66-$T66))</f>
        <v/>
      </c>
    </row>
    <row r="67">
      <c r="A67" s="7" t="inlineStr">
        <is>
          <t>FR001400MIG4</t>
        </is>
      </c>
      <c r="B67" s="8">
        <f>IF($A67="","",_xll.BDP($A67&amp;" Corp","SECURITY_DES"))</f>
        <v/>
      </c>
      <c r="C67" s="8">
        <f>IF($A67="","",PROPER(_xll.BDP($A67&amp;" Corp","NAME")))</f>
        <v/>
      </c>
      <c r="D67" s="9">
        <f>IF($A67="","",IFERROR(_xll.BDP($A67&amp;" Corp","CIE_DES"),""))</f>
        <v/>
      </c>
      <c r="E67" s="8">
        <f>IF($A67="","",_xll.BDP($A67&amp;" Corp","INDUSTRY_SECTOR"))</f>
        <v/>
      </c>
      <c r="F67" s="8">
        <f>IF($A67="","",_xll.BDP($A67&amp;" Corp","INDUSTRY_GROUP"))</f>
        <v/>
      </c>
      <c r="G67" s="8">
        <f>IF($A67="","",PROPER(_xll.BDP($A67&amp;" Corp","COUNTRY_FULL_NAME")))</f>
        <v/>
      </c>
      <c r="H67" s="8">
        <f>IF($A67="","",_xll.BDP($A67&amp;" Corp","CRNCY"))</f>
        <v/>
      </c>
      <c r="I67" s="8">
        <f>IF($A67="","",IFERROR(_xll.BDP($A67&amp;" Corp","BB_COMPOSITE"),_xll.BDP($A67&amp;" Corp","RTG_SP")))</f>
        <v/>
      </c>
      <c r="J67" s="8">
        <f>IF($A67="","",_xll.BDP($A67&amp;" Corp","PAYMENT_RANK"))</f>
        <v/>
      </c>
      <c r="K67" s="10">
        <f>IF($A67="","",_xll.BDP($A67&amp;" Corp","CPN"))</f>
        <v/>
      </c>
      <c r="L67" s="11">
        <f>IF($A67="","",_xll.BDP($A67&amp;" Corp","MATURITY"))</f>
        <v/>
      </c>
      <c r="M67" s="12">
        <f>IF($A67="","",IFERROR(_xll.BDP($A67&amp;" Corp","MIN_PIECE")/1000,""))</f>
        <v/>
      </c>
      <c r="N67" s="13">
        <f>IF($A67="","",_xll.BDP($A67&amp;" Corp","PX_LAST"))</f>
        <v/>
      </c>
      <c r="O67" s="13">
        <f>IF($A67="","",_xll.BDP($A67&amp;" Corp","YAS_BOND_YLD","YAS_YLD_FLAG=15"))</f>
        <v/>
      </c>
      <c r="P67" s="13">
        <f>IF($A67="","",_xll.BDP($A67&amp;" Corp","YAS_MOD_DUR"))</f>
        <v/>
      </c>
      <c r="Q67" s="14">
        <f>IF($A67="","",_xll.BDP($A67&amp;" Corp","YAS_OAS_SPRD"))</f>
        <v/>
      </c>
      <c r="R67" s="14">
        <f>IF($A67="","",_xll.BDP($A67&amp;" Corp","YAS_OAS_SPRD","SETTLE_DT",$B$2))</f>
        <v/>
      </c>
      <c r="S67" s="15">
        <f>IF($A67="","",IF(OR(NOT(ISNUMBER($Q67)),NOT(ISNUMBER($R67))),"",$Q67-$R67))</f>
        <v/>
      </c>
      <c r="T67" s="13">
        <f>IF($A67="","",_xll.BDP($A67&amp;" Corp","YAS_BOND_YLD","YAS_YLD_FLAG=15","SETTLE_DT",$B$2))</f>
        <v/>
      </c>
      <c r="U67" s="16">
        <f>IF($A67="","",IF(OR(NOT(ISNUMBER($O67)),NOT(ISNUMBER($T67))),"",$O67-$T67))</f>
        <v/>
      </c>
    </row>
    <row r="68">
      <c r="A68" s="17" t="inlineStr">
        <is>
          <t>XS3079613850</t>
        </is>
      </c>
      <c r="B68" s="18">
        <f>IF($A68="","",_xll.BDP($A68&amp;" Corp","SECURITY_DES"))</f>
        <v/>
      </c>
      <c r="C68" s="18">
        <f>IF($A68="","",PROPER(_xll.BDP($A68&amp;" Corp","NAME")))</f>
        <v/>
      </c>
      <c r="D68" s="19">
        <f>IF($A68="","",IFERROR(_xll.BDP($A68&amp;" Corp","CIE_DES"),""))</f>
        <v/>
      </c>
      <c r="E68" s="18">
        <f>IF($A68="","",_xll.BDP($A68&amp;" Corp","INDUSTRY_SECTOR"))</f>
        <v/>
      </c>
      <c r="F68" s="18">
        <f>IF($A68="","",_xll.BDP($A68&amp;" Corp","INDUSTRY_GROUP"))</f>
        <v/>
      </c>
      <c r="G68" s="18">
        <f>IF($A68="","",PROPER(_xll.BDP($A68&amp;" Corp","COUNTRY_FULL_NAME")))</f>
        <v/>
      </c>
      <c r="H68" s="18">
        <f>IF($A68="","",_xll.BDP($A68&amp;" Corp","CRNCY"))</f>
        <v/>
      </c>
      <c r="I68" s="18">
        <f>IF($A68="","",IFERROR(_xll.BDP($A68&amp;" Corp","BB_COMPOSITE"),_xll.BDP($A68&amp;" Corp","RTG_SP")))</f>
        <v/>
      </c>
      <c r="J68" s="18">
        <f>IF($A68="","",_xll.BDP($A68&amp;" Corp","PAYMENT_RANK"))</f>
        <v/>
      </c>
      <c r="K68" s="20">
        <f>IF($A68="","",_xll.BDP($A68&amp;" Corp","CPN"))</f>
        <v/>
      </c>
      <c r="L68" s="21">
        <f>IF($A68="","",_xll.BDP($A68&amp;" Corp","MATURITY"))</f>
        <v/>
      </c>
      <c r="M68" s="22">
        <f>IF($A68="","",IFERROR(_xll.BDP($A68&amp;" Corp","MIN_PIECE")/1000,""))</f>
        <v/>
      </c>
      <c r="N68" s="23">
        <f>IF($A68="","",_xll.BDP($A68&amp;" Corp","PX_LAST"))</f>
        <v/>
      </c>
      <c r="O68" s="23">
        <f>IF($A68="","",_xll.BDP($A68&amp;" Corp","YAS_BOND_YLD","YAS_YLD_FLAG=15"))</f>
        <v/>
      </c>
      <c r="P68" s="23">
        <f>IF($A68="","",_xll.BDP($A68&amp;" Corp","YAS_MOD_DUR"))</f>
        <v/>
      </c>
      <c r="Q68" s="24">
        <f>IF($A68="","",_xll.BDP($A68&amp;" Corp","YAS_OAS_SPRD"))</f>
        <v/>
      </c>
      <c r="R68" s="24">
        <f>IF($A68="","",_xll.BDP($A68&amp;" Corp","YAS_OAS_SPRD","SETTLE_DT",$B$2))</f>
        <v/>
      </c>
      <c r="S68" s="25">
        <f>IF($A68="","",IF(OR(NOT(ISNUMBER($Q68)),NOT(ISNUMBER($R68))),"",$Q68-$R68))</f>
        <v/>
      </c>
      <c r="T68" s="23">
        <f>IF($A68="","",_xll.BDP($A68&amp;" Corp","YAS_BOND_YLD","YAS_YLD_FLAG=15","SETTLE_DT",$B$2))</f>
        <v/>
      </c>
      <c r="U68" s="26">
        <f>IF($A68="","",IF(OR(NOT(ISNUMBER($O68)),NOT(ISNUMBER($T68))),"",$O68-$T68))</f>
        <v/>
      </c>
    </row>
    <row r="69">
      <c r="A69" s="7" t="inlineStr">
        <is>
          <t>DE000A3LSYH6</t>
        </is>
      </c>
      <c r="B69" s="8">
        <f>IF($A69="","",_xll.BDP($A69&amp;" Corp","SECURITY_DES"))</f>
        <v/>
      </c>
      <c r="C69" s="8">
        <f>IF($A69="","",PROPER(_xll.BDP($A69&amp;" Corp","NAME")))</f>
        <v/>
      </c>
      <c r="D69" s="9">
        <f>IF($A69="","",IFERROR(_xll.BDP($A69&amp;" Corp","CIE_DES"),""))</f>
        <v/>
      </c>
      <c r="E69" s="8">
        <f>IF($A69="","",_xll.BDP($A69&amp;" Corp","INDUSTRY_SECTOR"))</f>
        <v/>
      </c>
      <c r="F69" s="8">
        <f>IF($A69="","",_xll.BDP($A69&amp;" Corp","INDUSTRY_GROUP"))</f>
        <v/>
      </c>
      <c r="G69" s="8">
        <f>IF($A69="","",PROPER(_xll.BDP($A69&amp;" Corp","COUNTRY_FULL_NAME")))</f>
        <v/>
      </c>
      <c r="H69" s="8">
        <f>IF($A69="","",_xll.BDP($A69&amp;" Corp","CRNCY"))</f>
        <v/>
      </c>
      <c r="I69" s="8">
        <f>IF($A69="","",IFERROR(_xll.BDP($A69&amp;" Corp","BB_COMPOSITE"),_xll.BDP($A69&amp;" Corp","RTG_SP")))</f>
        <v/>
      </c>
      <c r="J69" s="8">
        <f>IF($A69="","",_xll.BDP($A69&amp;" Corp","PAYMENT_RANK"))</f>
        <v/>
      </c>
      <c r="K69" s="10">
        <f>IF($A69="","",_xll.BDP($A69&amp;" Corp","CPN"))</f>
        <v/>
      </c>
      <c r="L69" s="11">
        <f>IF($A69="","",_xll.BDP($A69&amp;" Corp","MATURITY"))</f>
        <v/>
      </c>
      <c r="M69" s="12">
        <f>IF($A69="","",IFERROR(_xll.BDP($A69&amp;" Corp","MIN_PIECE")/1000,""))</f>
        <v/>
      </c>
      <c r="N69" s="13">
        <f>IF($A69="","",_xll.BDP($A69&amp;" Corp","PX_LAST"))</f>
        <v/>
      </c>
      <c r="O69" s="13">
        <f>IF($A69="","",_xll.BDP($A69&amp;" Corp","YAS_BOND_YLD","YAS_YLD_FLAG=15"))</f>
        <v/>
      </c>
      <c r="P69" s="13">
        <f>IF($A69="","",_xll.BDP($A69&amp;" Corp","YAS_MOD_DUR"))</f>
        <v/>
      </c>
      <c r="Q69" s="14">
        <f>IF($A69="","",_xll.BDP($A69&amp;" Corp","YAS_OAS_SPRD"))</f>
        <v/>
      </c>
      <c r="R69" s="14">
        <f>IF($A69="","",_xll.BDP($A69&amp;" Corp","YAS_OAS_SPRD","SETTLE_DT",$B$2))</f>
        <v/>
      </c>
      <c r="S69" s="15">
        <f>IF($A69="","",IF(OR(NOT(ISNUMBER($Q69)),NOT(ISNUMBER($R69))),"",$Q69-$R69))</f>
        <v/>
      </c>
      <c r="T69" s="13">
        <f>IF($A69="","",_xll.BDP($A69&amp;" Corp","YAS_BOND_YLD","YAS_YLD_FLAG=15","SETTLE_DT",$B$2))</f>
        <v/>
      </c>
      <c r="U69" s="16">
        <f>IF($A69="","",IF(OR(NOT(ISNUMBER($O69)),NOT(ISNUMBER($T69))),"",$O69-$T69))</f>
        <v/>
      </c>
    </row>
    <row r="70">
      <c r="A70" s="17" t="inlineStr">
        <is>
          <t>FR0014012BD1</t>
        </is>
      </c>
      <c r="B70" s="18">
        <f>IF($A70="","",_xll.BDP($A70&amp;" Corp","SECURITY_DES"))</f>
        <v/>
      </c>
      <c r="C70" s="18">
        <f>IF($A70="","",PROPER(_xll.BDP($A70&amp;" Corp","NAME")))</f>
        <v/>
      </c>
      <c r="D70" s="19">
        <f>IF($A70="","",IFERROR(_xll.BDP($A70&amp;" Corp","CIE_DES"),""))</f>
        <v/>
      </c>
      <c r="E70" s="18">
        <f>IF($A70="","",_xll.BDP($A70&amp;" Corp","INDUSTRY_SECTOR"))</f>
        <v/>
      </c>
      <c r="F70" s="18">
        <f>IF($A70="","",_xll.BDP($A70&amp;" Corp","INDUSTRY_GROUP"))</f>
        <v/>
      </c>
      <c r="G70" s="18">
        <f>IF($A70="","",PROPER(_xll.BDP($A70&amp;" Corp","COUNTRY_FULL_NAME")))</f>
        <v/>
      </c>
      <c r="H70" s="18">
        <f>IF($A70="","",_xll.BDP($A70&amp;" Corp","CRNCY"))</f>
        <v/>
      </c>
      <c r="I70" s="18">
        <f>IF($A70="","",IFERROR(_xll.BDP($A70&amp;" Corp","BB_COMPOSITE"),_xll.BDP($A70&amp;" Corp","RTG_SP")))</f>
        <v/>
      </c>
      <c r="J70" s="18">
        <f>IF($A70="","",_xll.BDP($A70&amp;" Corp","PAYMENT_RANK"))</f>
        <v/>
      </c>
      <c r="K70" s="20">
        <f>IF($A70="","",_xll.BDP($A70&amp;" Corp","CPN"))</f>
        <v/>
      </c>
      <c r="L70" s="21">
        <f>IF($A70="","",_xll.BDP($A70&amp;" Corp","MATURITY"))</f>
        <v/>
      </c>
      <c r="M70" s="22">
        <f>IF($A70="","",IFERROR(_xll.BDP($A70&amp;" Corp","MIN_PIECE")/1000,""))</f>
        <v/>
      </c>
      <c r="N70" s="23">
        <f>IF($A70="","",_xll.BDP($A70&amp;" Corp","PX_LAST"))</f>
        <v/>
      </c>
      <c r="O70" s="23">
        <f>IF($A70="","",_xll.BDP($A70&amp;" Corp","YAS_BOND_YLD","YAS_YLD_FLAG=15"))</f>
        <v/>
      </c>
      <c r="P70" s="23">
        <f>IF($A70="","",_xll.BDP($A70&amp;" Corp","YAS_MOD_DUR"))</f>
        <v/>
      </c>
      <c r="Q70" s="24">
        <f>IF($A70="","",_xll.BDP($A70&amp;" Corp","YAS_OAS_SPRD"))</f>
        <v/>
      </c>
      <c r="R70" s="24">
        <f>IF($A70="","",_xll.BDP($A70&amp;" Corp","YAS_OAS_SPRD","SETTLE_DT",$B$2))</f>
        <v/>
      </c>
      <c r="S70" s="25">
        <f>IF($A70="","",IF(OR(NOT(ISNUMBER($Q70)),NOT(ISNUMBER($R70))),"",$Q70-$R70))</f>
        <v/>
      </c>
      <c r="T70" s="23">
        <f>IF($A70="","",_xll.BDP($A70&amp;" Corp","YAS_BOND_YLD","YAS_YLD_FLAG=15","SETTLE_DT",$B$2))</f>
        <v/>
      </c>
      <c r="U70" s="26">
        <f>IF($A70="","",IF(OR(NOT(ISNUMBER($O70)),NOT(ISNUMBER($T70))),"",$O70-$T70))</f>
        <v/>
      </c>
    </row>
    <row r="71">
      <c r="A71" s="7" t="inlineStr">
        <is>
          <t>FR00140143T9</t>
        </is>
      </c>
      <c r="B71" s="8">
        <f>IF($A71="","",_xll.BDP($A71&amp;" Corp","SECURITY_DES"))</f>
        <v/>
      </c>
      <c r="C71" s="8">
        <f>IF($A71="","",PROPER(_xll.BDP($A71&amp;" Corp","NAME")))</f>
        <v/>
      </c>
      <c r="D71" s="9">
        <f>IF($A71="","",IFERROR(_xll.BDP($A71&amp;" Corp","CIE_DES"),""))</f>
        <v/>
      </c>
      <c r="E71" s="8">
        <f>IF($A71="","",_xll.BDP($A71&amp;" Corp","INDUSTRY_SECTOR"))</f>
        <v/>
      </c>
      <c r="F71" s="8">
        <f>IF($A71="","",_xll.BDP($A71&amp;" Corp","INDUSTRY_GROUP"))</f>
        <v/>
      </c>
      <c r="G71" s="8">
        <f>IF($A71="","",PROPER(_xll.BDP($A71&amp;" Corp","COUNTRY_FULL_NAME")))</f>
        <v/>
      </c>
      <c r="H71" s="8">
        <f>IF($A71="","",_xll.BDP($A71&amp;" Corp","CRNCY"))</f>
        <v/>
      </c>
      <c r="I71" s="8">
        <f>IF($A71="","",IFERROR(_xll.BDP($A71&amp;" Corp","BB_COMPOSITE"),_xll.BDP($A71&amp;" Corp","RTG_SP")))</f>
        <v/>
      </c>
      <c r="J71" s="8">
        <f>IF($A71="","",_xll.BDP($A71&amp;" Corp","PAYMENT_RANK"))</f>
        <v/>
      </c>
      <c r="K71" s="10">
        <f>IF($A71="","",_xll.BDP($A71&amp;" Corp","CPN"))</f>
        <v/>
      </c>
      <c r="L71" s="11">
        <f>IF($A71="","",_xll.BDP($A71&amp;" Corp","MATURITY"))</f>
        <v/>
      </c>
      <c r="M71" s="12">
        <f>IF($A71="","",IFERROR(_xll.BDP($A71&amp;" Corp","MIN_PIECE")/1000,""))</f>
        <v/>
      </c>
      <c r="N71" s="13">
        <f>IF($A71="","",_xll.BDP($A71&amp;" Corp","PX_LAST"))</f>
        <v/>
      </c>
      <c r="O71" s="13">
        <f>IF($A71="","",_xll.BDP($A71&amp;" Corp","YAS_BOND_YLD","YAS_YLD_FLAG=15"))</f>
        <v/>
      </c>
      <c r="P71" s="13">
        <f>IF($A71="","",_xll.BDP($A71&amp;" Corp","YAS_MOD_DUR"))</f>
        <v/>
      </c>
      <c r="Q71" s="14">
        <f>IF($A71="","",_xll.BDP($A71&amp;" Corp","YAS_OAS_SPRD"))</f>
        <v/>
      </c>
      <c r="R71" s="14">
        <f>IF($A71="","",_xll.BDP($A71&amp;" Corp","YAS_OAS_SPRD","SETTLE_DT",$B$2))</f>
        <v/>
      </c>
      <c r="S71" s="15">
        <f>IF($A71="","",IF(OR(NOT(ISNUMBER($Q71)),NOT(ISNUMBER($R71))),"",$Q71-$R71))</f>
        <v/>
      </c>
      <c r="T71" s="13">
        <f>IF($A71="","",_xll.BDP($A71&amp;" Corp","YAS_BOND_YLD","YAS_YLD_FLAG=15","SETTLE_DT",$B$2))</f>
        <v/>
      </c>
      <c r="U71" s="16">
        <f>IF($A71="","",IF(OR(NOT(ISNUMBER($O71)),NOT(ISNUMBER($T71))),"",$O71-$T71))</f>
        <v/>
      </c>
    </row>
    <row r="72">
      <c r="A72" s="17" t="inlineStr">
        <is>
          <t>XS3185662676</t>
        </is>
      </c>
      <c r="B72" s="18">
        <f>IF($A72="","",_xll.BDP($A72&amp;" Corp","SECURITY_DES"))</f>
        <v/>
      </c>
      <c r="C72" s="18">
        <f>IF($A72="","",PROPER(_xll.BDP($A72&amp;" Corp","NAME")))</f>
        <v/>
      </c>
      <c r="D72" s="19">
        <f>IF($A72="","",IFERROR(_xll.BDP($A72&amp;" Corp","CIE_DES"),""))</f>
        <v/>
      </c>
      <c r="E72" s="18">
        <f>IF($A72="","",_xll.BDP($A72&amp;" Corp","INDUSTRY_SECTOR"))</f>
        <v/>
      </c>
      <c r="F72" s="18">
        <f>IF($A72="","",_xll.BDP($A72&amp;" Corp","INDUSTRY_GROUP"))</f>
        <v/>
      </c>
      <c r="G72" s="18">
        <f>IF($A72="","",PROPER(_xll.BDP($A72&amp;" Corp","COUNTRY_FULL_NAME")))</f>
        <v/>
      </c>
      <c r="H72" s="18">
        <f>IF($A72="","",_xll.BDP($A72&amp;" Corp","CRNCY"))</f>
        <v/>
      </c>
      <c r="I72" s="18">
        <f>IF($A72="","",IFERROR(_xll.BDP($A72&amp;" Corp","BB_COMPOSITE"),_xll.BDP($A72&amp;" Corp","RTG_SP")))</f>
        <v/>
      </c>
      <c r="J72" s="18">
        <f>IF($A72="","",_xll.BDP($A72&amp;" Corp","PAYMENT_RANK"))</f>
        <v/>
      </c>
      <c r="K72" s="20">
        <f>IF($A72="","",_xll.BDP($A72&amp;" Corp","CPN"))</f>
        <v/>
      </c>
      <c r="L72" s="21">
        <f>IF($A72="","",_xll.BDP($A72&amp;" Corp","MATURITY"))</f>
        <v/>
      </c>
      <c r="M72" s="22">
        <f>IF($A72="","",IFERROR(_xll.BDP($A72&amp;" Corp","MIN_PIECE")/1000,""))</f>
        <v/>
      </c>
      <c r="N72" s="23">
        <f>IF($A72="","",_xll.BDP($A72&amp;" Corp","PX_LAST"))</f>
        <v/>
      </c>
      <c r="O72" s="23">
        <f>IF($A72="","",_xll.BDP($A72&amp;" Corp","YAS_BOND_YLD","YAS_YLD_FLAG=15"))</f>
        <v/>
      </c>
      <c r="P72" s="23">
        <f>IF($A72="","",_xll.BDP($A72&amp;" Corp","YAS_MOD_DUR"))</f>
        <v/>
      </c>
      <c r="Q72" s="24">
        <f>IF($A72="","",_xll.BDP($A72&amp;" Corp","YAS_OAS_SPRD"))</f>
        <v/>
      </c>
      <c r="R72" s="24">
        <f>IF($A72="","",_xll.BDP($A72&amp;" Corp","YAS_OAS_SPRD","SETTLE_DT",$B$2))</f>
        <v/>
      </c>
      <c r="S72" s="25">
        <f>IF($A72="","",IF(OR(NOT(ISNUMBER($Q72)),NOT(ISNUMBER($R72))),"",$Q72-$R72))</f>
        <v/>
      </c>
      <c r="T72" s="23">
        <f>IF($A72="","",_xll.BDP($A72&amp;" Corp","YAS_BOND_YLD","YAS_YLD_FLAG=15","SETTLE_DT",$B$2))</f>
        <v/>
      </c>
      <c r="U72" s="26">
        <f>IF($A72="","",IF(OR(NOT(ISNUMBER($O72)),NOT(ISNUMBER($T72))),"",$O72-$T72))</f>
        <v/>
      </c>
    </row>
    <row r="73">
      <c r="A73" s="7" t="inlineStr">
        <is>
          <t>FR001400A3G4</t>
        </is>
      </c>
      <c r="B73" s="8">
        <f>IF($A73="","",_xll.BDP($A73&amp;" Corp","SECURITY_DES"))</f>
        <v/>
      </c>
      <c r="C73" s="8">
        <f>IF($A73="","",PROPER(_xll.BDP($A73&amp;" Corp","NAME")))</f>
        <v/>
      </c>
      <c r="D73" s="9">
        <f>IF($A73="","",IFERROR(_xll.BDP($A73&amp;" Corp","CIE_DES"),""))</f>
        <v/>
      </c>
      <c r="E73" s="8">
        <f>IF($A73="","",_xll.BDP($A73&amp;" Corp","INDUSTRY_SECTOR"))</f>
        <v/>
      </c>
      <c r="F73" s="8">
        <f>IF($A73="","",_xll.BDP($A73&amp;" Corp","INDUSTRY_GROUP"))</f>
        <v/>
      </c>
      <c r="G73" s="8">
        <f>IF($A73="","",PROPER(_xll.BDP($A73&amp;" Corp","COUNTRY_FULL_NAME")))</f>
        <v/>
      </c>
      <c r="H73" s="8">
        <f>IF($A73="","",_xll.BDP($A73&amp;" Corp","CRNCY"))</f>
        <v/>
      </c>
      <c r="I73" s="8">
        <f>IF($A73="","",IFERROR(_xll.BDP($A73&amp;" Corp","BB_COMPOSITE"),_xll.BDP($A73&amp;" Corp","RTG_SP")))</f>
        <v/>
      </c>
      <c r="J73" s="8">
        <f>IF($A73="","",_xll.BDP($A73&amp;" Corp","PAYMENT_RANK"))</f>
        <v/>
      </c>
      <c r="K73" s="10">
        <f>IF($A73="","",_xll.BDP($A73&amp;" Corp","CPN"))</f>
        <v/>
      </c>
      <c r="L73" s="11">
        <f>IF($A73="","",_xll.BDP($A73&amp;" Corp","MATURITY"))</f>
        <v/>
      </c>
      <c r="M73" s="12">
        <f>IF($A73="","",IFERROR(_xll.BDP($A73&amp;" Corp","MIN_PIECE")/1000,""))</f>
        <v/>
      </c>
      <c r="N73" s="13">
        <f>IF($A73="","",_xll.BDP($A73&amp;" Corp","PX_LAST"))</f>
        <v/>
      </c>
      <c r="O73" s="13">
        <f>IF($A73="","",_xll.BDP($A73&amp;" Corp","YAS_BOND_YLD","YAS_YLD_FLAG=15"))</f>
        <v/>
      </c>
      <c r="P73" s="13">
        <f>IF($A73="","",_xll.BDP($A73&amp;" Corp","YAS_MOD_DUR"))</f>
        <v/>
      </c>
      <c r="Q73" s="14">
        <f>IF($A73="","",_xll.BDP($A73&amp;" Corp","YAS_OAS_SPRD"))</f>
        <v/>
      </c>
      <c r="R73" s="14">
        <f>IF($A73="","",_xll.BDP($A73&amp;" Corp","YAS_OAS_SPRD","SETTLE_DT",$B$2))</f>
        <v/>
      </c>
      <c r="S73" s="15">
        <f>IF($A73="","",IF(OR(NOT(ISNUMBER($Q73)),NOT(ISNUMBER($R73))),"",$Q73-$R73))</f>
        <v/>
      </c>
      <c r="T73" s="13">
        <f>IF($A73="","",_xll.BDP($A73&amp;" Corp","YAS_BOND_YLD","YAS_YLD_FLAG=15","SETTLE_DT",$B$2))</f>
        <v/>
      </c>
      <c r="U73" s="16">
        <f>IF($A73="","",IF(OR(NOT(ISNUMBER($O73)),NOT(ISNUMBER($T73))),"",$O73-$T73))</f>
        <v/>
      </c>
    </row>
    <row r="74">
      <c r="A74" s="17" t="inlineStr">
        <is>
          <t>XS3222736574</t>
        </is>
      </c>
      <c r="B74" s="18">
        <f>IF($A74="","",_xll.BDP($A74&amp;" Corp","SECURITY_DES"))</f>
        <v/>
      </c>
      <c r="C74" s="18">
        <f>IF($A74="","",PROPER(_xll.BDP($A74&amp;" Corp","NAME")))</f>
        <v/>
      </c>
      <c r="D74" s="19">
        <f>IF($A74="","",IFERROR(_xll.BDP($A74&amp;" Corp","CIE_DES"),""))</f>
        <v/>
      </c>
      <c r="E74" s="18">
        <f>IF($A74="","",_xll.BDP($A74&amp;" Corp","INDUSTRY_SECTOR"))</f>
        <v/>
      </c>
      <c r="F74" s="18">
        <f>IF($A74="","",_xll.BDP($A74&amp;" Corp","INDUSTRY_GROUP"))</f>
        <v/>
      </c>
      <c r="G74" s="18">
        <f>IF($A74="","",PROPER(_xll.BDP($A74&amp;" Corp","COUNTRY_FULL_NAME")))</f>
        <v/>
      </c>
      <c r="H74" s="18">
        <f>IF($A74="","",_xll.BDP($A74&amp;" Corp","CRNCY"))</f>
        <v/>
      </c>
      <c r="I74" s="18">
        <f>IF($A74="","",IFERROR(_xll.BDP($A74&amp;" Corp","BB_COMPOSITE"),_xll.BDP($A74&amp;" Corp","RTG_SP")))</f>
        <v/>
      </c>
      <c r="J74" s="18">
        <f>IF($A74="","",_xll.BDP($A74&amp;" Corp","PAYMENT_RANK"))</f>
        <v/>
      </c>
      <c r="K74" s="20">
        <f>IF($A74="","",_xll.BDP($A74&amp;" Corp","CPN"))</f>
        <v/>
      </c>
      <c r="L74" s="21">
        <f>IF($A74="","",_xll.BDP($A74&amp;" Corp","MATURITY"))</f>
        <v/>
      </c>
      <c r="M74" s="22">
        <f>IF($A74="","",IFERROR(_xll.BDP($A74&amp;" Corp","MIN_PIECE")/1000,""))</f>
        <v/>
      </c>
      <c r="N74" s="23">
        <f>IF($A74="","",_xll.BDP($A74&amp;" Corp","PX_LAST"))</f>
        <v/>
      </c>
      <c r="O74" s="23">
        <f>IF($A74="","",_xll.BDP($A74&amp;" Corp","YAS_BOND_YLD","YAS_YLD_FLAG=15"))</f>
        <v/>
      </c>
      <c r="P74" s="23">
        <f>IF($A74="","",_xll.BDP($A74&amp;" Corp","YAS_MOD_DUR"))</f>
        <v/>
      </c>
      <c r="Q74" s="24">
        <f>IF($A74="","",_xll.BDP($A74&amp;" Corp","YAS_OAS_SPRD"))</f>
        <v/>
      </c>
      <c r="R74" s="24">
        <f>IF($A74="","",_xll.BDP($A74&amp;" Corp","YAS_OAS_SPRD","SETTLE_DT",$B$2))</f>
        <v/>
      </c>
      <c r="S74" s="25">
        <f>IF($A74="","",IF(OR(NOT(ISNUMBER($Q74)),NOT(ISNUMBER($R74))),"",$Q74-$R74))</f>
        <v/>
      </c>
      <c r="T74" s="23">
        <f>IF($A74="","",_xll.BDP($A74&amp;" Corp","YAS_BOND_YLD","YAS_YLD_FLAG=15","SETTLE_DT",$B$2))</f>
        <v/>
      </c>
      <c r="U74" s="26">
        <f>IF($A74="","",IF(OR(NOT(ISNUMBER($O74)),NOT(ISNUMBER($T74))),"",$O74-$T74))</f>
        <v/>
      </c>
    </row>
    <row r="75">
      <c r="A75" s="7" t="inlineStr">
        <is>
          <t>XS2013539635</t>
        </is>
      </c>
      <c r="B75" s="8">
        <f>IF($A75="","",_xll.BDP($A75&amp;" Corp","SECURITY_DES"))</f>
        <v/>
      </c>
      <c r="C75" s="8">
        <f>IF($A75="","",PROPER(_xll.BDP($A75&amp;" Corp","NAME")))</f>
        <v/>
      </c>
      <c r="D75" s="9">
        <f>IF($A75="","",IFERROR(_xll.BDP($A75&amp;" Corp","CIE_DES"),""))</f>
        <v/>
      </c>
      <c r="E75" s="8">
        <f>IF($A75="","",_xll.BDP($A75&amp;" Corp","INDUSTRY_SECTOR"))</f>
        <v/>
      </c>
      <c r="F75" s="8">
        <f>IF($A75="","",_xll.BDP($A75&amp;" Corp","INDUSTRY_GROUP"))</f>
        <v/>
      </c>
      <c r="G75" s="8">
        <f>IF($A75="","",PROPER(_xll.BDP($A75&amp;" Corp","COUNTRY_FULL_NAME")))</f>
        <v/>
      </c>
      <c r="H75" s="8">
        <f>IF($A75="","",_xll.BDP($A75&amp;" Corp","CRNCY"))</f>
        <v/>
      </c>
      <c r="I75" s="8">
        <f>IF($A75="","",IFERROR(_xll.BDP($A75&amp;" Corp","BB_COMPOSITE"),_xll.BDP($A75&amp;" Corp","RTG_SP")))</f>
        <v/>
      </c>
      <c r="J75" s="8">
        <f>IF($A75="","",_xll.BDP($A75&amp;" Corp","PAYMENT_RANK"))</f>
        <v/>
      </c>
      <c r="K75" s="10">
        <f>IF($A75="","",_xll.BDP($A75&amp;" Corp","CPN"))</f>
        <v/>
      </c>
      <c r="L75" s="11">
        <f>IF($A75="","",_xll.BDP($A75&amp;" Corp","MATURITY"))</f>
        <v/>
      </c>
      <c r="M75" s="12">
        <f>IF($A75="","",IFERROR(_xll.BDP($A75&amp;" Corp","MIN_PIECE")/1000,""))</f>
        <v/>
      </c>
      <c r="N75" s="13">
        <f>IF($A75="","",_xll.BDP($A75&amp;" Corp","PX_LAST"))</f>
        <v/>
      </c>
      <c r="O75" s="13">
        <f>IF($A75="","",_xll.BDP($A75&amp;" Corp","YAS_BOND_YLD","YAS_YLD_FLAG=15"))</f>
        <v/>
      </c>
      <c r="P75" s="13">
        <f>IF($A75="","",_xll.BDP($A75&amp;" Corp","YAS_MOD_DUR"))</f>
        <v/>
      </c>
      <c r="Q75" s="14">
        <f>IF($A75="","",_xll.BDP($A75&amp;" Corp","YAS_OAS_SPRD"))</f>
        <v/>
      </c>
      <c r="R75" s="14">
        <f>IF($A75="","",_xll.BDP($A75&amp;" Corp","YAS_OAS_SPRD","SETTLE_DT",$B$2))</f>
        <v/>
      </c>
      <c r="S75" s="15">
        <f>IF($A75="","",IF(OR(NOT(ISNUMBER($Q75)),NOT(ISNUMBER($R75))),"",$Q75-$R75))</f>
        <v/>
      </c>
      <c r="T75" s="13">
        <f>IF($A75="","",_xll.BDP($A75&amp;" Corp","YAS_BOND_YLD","YAS_YLD_FLAG=15","SETTLE_DT",$B$2))</f>
        <v/>
      </c>
      <c r="U75" s="16">
        <f>IF($A75="","",IF(OR(NOT(ISNUMBER($O75)),NOT(ISNUMBER($T75))),"",$O75-$T75))</f>
        <v/>
      </c>
    </row>
    <row r="76">
      <c r="A76" s="17" t="inlineStr">
        <is>
          <t>XS3194135706</t>
        </is>
      </c>
      <c r="B76" s="18">
        <f>IF($A76="","",_xll.BDP($A76&amp;" Corp","SECURITY_DES"))</f>
        <v/>
      </c>
      <c r="C76" s="18">
        <f>IF($A76="","",PROPER(_xll.BDP($A76&amp;" Corp","NAME")))</f>
        <v/>
      </c>
      <c r="D76" s="19">
        <f>IF($A76="","",IFERROR(_xll.BDP($A76&amp;" Corp","CIE_DES"),""))</f>
        <v/>
      </c>
      <c r="E76" s="18">
        <f>IF($A76="","",_xll.BDP($A76&amp;" Corp","INDUSTRY_SECTOR"))</f>
        <v/>
      </c>
      <c r="F76" s="18">
        <f>IF($A76="","",_xll.BDP($A76&amp;" Corp","INDUSTRY_GROUP"))</f>
        <v/>
      </c>
      <c r="G76" s="18">
        <f>IF($A76="","",PROPER(_xll.BDP($A76&amp;" Corp","COUNTRY_FULL_NAME")))</f>
        <v/>
      </c>
      <c r="H76" s="18">
        <f>IF($A76="","",_xll.BDP($A76&amp;" Corp","CRNCY"))</f>
        <v/>
      </c>
      <c r="I76" s="18">
        <f>IF($A76="","",IFERROR(_xll.BDP($A76&amp;" Corp","BB_COMPOSITE"),_xll.BDP($A76&amp;" Corp","RTG_SP")))</f>
        <v/>
      </c>
      <c r="J76" s="18">
        <f>IF($A76="","",_xll.BDP($A76&amp;" Corp","PAYMENT_RANK"))</f>
        <v/>
      </c>
      <c r="K76" s="20">
        <f>IF($A76="","",_xll.BDP($A76&amp;" Corp","CPN"))</f>
        <v/>
      </c>
      <c r="L76" s="21">
        <f>IF($A76="","",_xll.BDP($A76&amp;" Corp","MATURITY"))</f>
        <v/>
      </c>
      <c r="M76" s="22">
        <f>IF($A76="","",IFERROR(_xll.BDP($A76&amp;" Corp","MIN_PIECE")/1000,""))</f>
        <v/>
      </c>
      <c r="N76" s="23">
        <f>IF($A76="","",_xll.BDP($A76&amp;" Corp","PX_LAST"))</f>
        <v/>
      </c>
      <c r="O76" s="23">
        <f>IF($A76="","",_xll.BDP($A76&amp;" Corp","YAS_BOND_YLD","YAS_YLD_FLAG=15"))</f>
        <v/>
      </c>
      <c r="P76" s="23">
        <f>IF($A76="","",_xll.BDP($A76&amp;" Corp","YAS_MOD_DUR"))</f>
        <v/>
      </c>
      <c r="Q76" s="24">
        <f>IF($A76="","",_xll.BDP($A76&amp;" Corp","YAS_OAS_SPRD"))</f>
        <v/>
      </c>
      <c r="R76" s="24">
        <f>IF($A76="","",_xll.BDP($A76&amp;" Corp","YAS_OAS_SPRD","SETTLE_DT",$B$2))</f>
        <v/>
      </c>
      <c r="S76" s="25">
        <f>IF($A76="","",IF(OR(NOT(ISNUMBER($Q76)),NOT(ISNUMBER($R76))),"",$Q76-$R76))</f>
        <v/>
      </c>
      <c r="T76" s="23">
        <f>IF($A76="","",_xll.BDP($A76&amp;" Corp","YAS_BOND_YLD","YAS_YLD_FLAG=15","SETTLE_DT",$B$2))</f>
        <v/>
      </c>
      <c r="U76" s="26">
        <f>IF($A76="","",IF(OR(NOT(ISNUMBER($O76)),NOT(ISNUMBER($T76))),"",$O76-$T76))</f>
        <v/>
      </c>
    </row>
    <row r="77">
      <c r="A77" s="7" t="inlineStr">
        <is>
          <t>XS2888395659</t>
        </is>
      </c>
      <c r="B77" s="8">
        <f>IF($A77="","",_xll.BDP($A77&amp;" Corp","SECURITY_DES"))</f>
        <v/>
      </c>
      <c r="C77" s="8">
        <f>IF($A77="","",PROPER(_xll.BDP($A77&amp;" Corp","NAME")))</f>
        <v/>
      </c>
      <c r="D77" s="9">
        <f>IF($A77="","",IFERROR(_xll.BDP($A77&amp;" Corp","CIE_DES"),""))</f>
        <v/>
      </c>
      <c r="E77" s="8">
        <f>IF($A77="","",_xll.BDP($A77&amp;" Corp","INDUSTRY_SECTOR"))</f>
        <v/>
      </c>
      <c r="F77" s="8">
        <f>IF($A77="","",_xll.BDP($A77&amp;" Corp","INDUSTRY_GROUP"))</f>
        <v/>
      </c>
      <c r="G77" s="8">
        <f>IF($A77="","",PROPER(_xll.BDP($A77&amp;" Corp","COUNTRY_FULL_NAME")))</f>
        <v/>
      </c>
      <c r="H77" s="8">
        <f>IF($A77="","",_xll.BDP($A77&amp;" Corp","CRNCY"))</f>
        <v/>
      </c>
      <c r="I77" s="8">
        <f>IF($A77="","",IFERROR(_xll.BDP($A77&amp;" Corp","BB_COMPOSITE"),_xll.BDP($A77&amp;" Corp","RTG_SP")))</f>
        <v/>
      </c>
      <c r="J77" s="8">
        <f>IF($A77="","",_xll.BDP($A77&amp;" Corp","PAYMENT_RANK"))</f>
        <v/>
      </c>
      <c r="K77" s="10">
        <f>IF($A77="","",_xll.BDP($A77&amp;" Corp","CPN"))</f>
        <v/>
      </c>
      <c r="L77" s="11">
        <f>IF($A77="","",_xll.BDP($A77&amp;" Corp","MATURITY"))</f>
        <v/>
      </c>
      <c r="M77" s="12">
        <f>IF($A77="","",IFERROR(_xll.BDP($A77&amp;" Corp","MIN_PIECE")/1000,""))</f>
        <v/>
      </c>
      <c r="N77" s="13">
        <f>IF($A77="","",_xll.BDP($A77&amp;" Corp","PX_LAST"))</f>
        <v/>
      </c>
      <c r="O77" s="13">
        <f>IF($A77="","",_xll.BDP($A77&amp;" Corp","YAS_BOND_YLD","YAS_YLD_FLAG=15"))</f>
        <v/>
      </c>
      <c r="P77" s="13">
        <f>IF($A77="","",_xll.BDP($A77&amp;" Corp","YAS_MOD_DUR"))</f>
        <v/>
      </c>
      <c r="Q77" s="14">
        <f>IF($A77="","",_xll.BDP($A77&amp;" Corp","YAS_OAS_SPRD"))</f>
        <v/>
      </c>
      <c r="R77" s="14">
        <f>IF($A77="","",_xll.BDP($A77&amp;" Corp","YAS_OAS_SPRD","SETTLE_DT",$B$2))</f>
        <v/>
      </c>
      <c r="S77" s="15">
        <f>IF($A77="","",IF(OR(NOT(ISNUMBER($Q77)),NOT(ISNUMBER($R77))),"",$Q77-$R77))</f>
        <v/>
      </c>
      <c r="T77" s="13">
        <f>IF($A77="","",_xll.BDP($A77&amp;" Corp","YAS_BOND_YLD","YAS_YLD_FLAG=15","SETTLE_DT",$B$2))</f>
        <v/>
      </c>
      <c r="U77" s="16">
        <f>IF($A77="","",IF(OR(NOT(ISNUMBER($O77)),NOT(ISNUMBER($T77))),"",$O77-$T77))</f>
        <v/>
      </c>
    </row>
    <row r="78">
      <c r="A78" s="17" t="inlineStr">
        <is>
          <t>XS2857918804</t>
        </is>
      </c>
      <c r="B78" s="18">
        <f>IF($A78="","",_xll.BDP($A78&amp;" Corp","SECURITY_DES"))</f>
        <v/>
      </c>
      <c r="C78" s="18">
        <f>IF($A78="","",PROPER(_xll.BDP($A78&amp;" Corp","NAME")))</f>
        <v/>
      </c>
      <c r="D78" s="19">
        <f>IF($A78="","",IFERROR(_xll.BDP($A78&amp;" Corp","CIE_DES"),""))</f>
        <v/>
      </c>
      <c r="E78" s="18">
        <f>IF($A78="","",_xll.BDP($A78&amp;" Corp","INDUSTRY_SECTOR"))</f>
        <v/>
      </c>
      <c r="F78" s="18">
        <f>IF($A78="","",_xll.BDP($A78&amp;" Corp","INDUSTRY_GROUP"))</f>
        <v/>
      </c>
      <c r="G78" s="18">
        <f>IF($A78="","",PROPER(_xll.BDP($A78&amp;" Corp","COUNTRY_FULL_NAME")))</f>
        <v/>
      </c>
      <c r="H78" s="18">
        <f>IF($A78="","",_xll.BDP($A78&amp;" Corp","CRNCY"))</f>
        <v/>
      </c>
      <c r="I78" s="18">
        <f>IF($A78="","",IFERROR(_xll.BDP($A78&amp;" Corp","BB_COMPOSITE"),_xll.BDP($A78&amp;" Corp","RTG_SP")))</f>
        <v/>
      </c>
      <c r="J78" s="18">
        <f>IF($A78="","",_xll.BDP($A78&amp;" Corp","PAYMENT_RANK"))</f>
        <v/>
      </c>
      <c r="K78" s="20">
        <f>IF($A78="","",_xll.BDP($A78&amp;" Corp","CPN"))</f>
        <v/>
      </c>
      <c r="L78" s="21">
        <f>IF($A78="","",_xll.BDP($A78&amp;" Corp","MATURITY"))</f>
        <v/>
      </c>
      <c r="M78" s="22">
        <f>IF($A78="","",IFERROR(_xll.BDP($A78&amp;" Corp","MIN_PIECE")/1000,""))</f>
        <v/>
      </c>
      <c r="N78" s="23">
        <f>IF($A78="","",_xll.BDP($A78&amp;" Corp","PX_LAST"))</f>
        <v/>
      </c>
      <c r="O78" s="23">
        <f>IF($A78="","",_xll.BDP($A78&amp;" Corp","YAS_BOND_YLD","YAS_YLD_FLAG=15"))</f>
        <v/>
      </c>
      <c r="P78" s="23">
        <f>IF($A78="","",_xll.BDP($A78&amp;" Corp","YAS_MOD_DUR"))</f>
        <v/>
      </c>
      <c r="Q78" s="24">
        <f>IF($A78="","",_xll.BDP($A78&amp;" Corp","YAS_OAS_SPRD"))</f>
        <v/>
      </c>
      <c r="R78" s="24">
        <f>IF($A78="","",_xll.BDP($A78&amp;" Corp","YAS_OAS_SPRD","SETTLE_DT",$B$2))</f>
        <v/>
      </c>
      <c r="S78" s="25">
        <f>IF($A78="","",IF(OR(NOT(ISNUMBER($Q78)),NOT(ISNUMBER($R78))),"",$Q78-$R78))</f>
        <v/>
      </c>
      <c r="T78" s="23">
        <f>IF($A78="","",_xll.BDP($A78&amp;" Corp","YAS_BOND_YLD","YAS_YLD_FLAG=15","SETTLE_DT",$B$2))</f>
        <v/>
      </c>
      <c r="U78" s="26">
        <f>IF($A78="","",IF(OR(NOT(ISNUMBER($O78)),NOT(ISNUMBER($T78))),"",$O78-$T78))</f>
        <v/>
      </c>
    </row>
    <row r="79">
      <c r="A79" s="7" t="inlineStr">
        <is>
          <t>XS2927515598</t>
        </is>
      </c>
      <c r="B79" s="8">
        <f>IF($A79="","",_xll.BDP($A79&amp;" Corp","SECURITY_DES"))</f>
        <v/>
      </c>
      <c r="C79" s="8">
        <f>IF($A79="","",PROPER(_xll.BDP($A79&amp;" Corp","NAME")))</f>
        <v/>
      </c>
      <c r="D79" s="9">
        <f>IF($A79="","",IFERROR(_xll.BDP($A79&amp;" Corp","CIE_DES"),""))</f>
        <v/>
      </c>
      <c r="E79" s="8">
        <f>IF($A79="","",_xll.BDP($A79&amp;" Corp","INDUSTRY_SECTOR"))</f>
        <v/>
      </c>
      <c r="F79" s="8">
        <f>IF($A79="","",_xll.BDP($A79&amp;" Corp","INDUSTRY_GROUP"))</f>
        <v/>
      </c>
      <c r="G79" s="8">
        <f>IF($A79="","",PROPER(_xll.BDP($A79&amp;" Corp","COUNTRY_FULL_NAME")))</f>
        <v/>
      </c>
      <c r="H79" s="8">
        <f>IF($A79="","",_xll.BDP($A79&amp;" Corp","CRNCY"))</f>
        <v/>
      </c>
      <c r="I79" s="8">
        <f>IF($A79="","",IFERROR(_xll.BDP($A79&amp;" Corp","BB_COMPOSITE"),_xll.BDP($A79&amp;" Corp","RTG_SP")))</f>
        <v/>
      </c>
      <c r="J79" s="8">
        <f>IF($A79="","",_xll.BDP($A79&amp;" Corp","PAYMENT_RANK"))</f>
        <v/>
      </c>
      <c r="K79" s="10">
        <f>IF($A79="","",_xll.BDP($A79&amp;" Corp","CPN"))</f>
        <v/>
      </c>
      <c r="L79" s="11">
        <f>IF($A79="","",_xll.BDP($A79&amp;" Corp","MATURITY"))</f>
        <v/>
      </c>
      <c r="M79" s="12">
        <f>IF($A79="","",IFERROR(_xll.BDP($A79&amp;" Corp","MIN_PIECE")/1000,""))</f>
        <v/>
      </c>
      <c r="N79" s="13">
        <f>IF($A79="","",_xll.BDP($A79&amp;" Corp","PX_LAST"))</f>
        <v/>
      </c>
      <c r="O79" s="13">
        <f>IF($A79="","",_xll.BDP($A79&amp;" Corp","YAS_BOND_YLD","YAS_YLD_FLAG=15"))</f>
        <v/>
      </c>
      <c r="P79" s="13">
        <f>IF($A79="","",_xll.BDP($A79&amp;" Corp","YAS_MOD_DUR"))</f>
        <v/>
      </c>
      <c r="Q79" s="14">
        <f>IF($A79="","",_xll.BDP($A79&amp;" Corp","YAS_OAS_SPRD"))</f>
        <v/>
      </c>
      <c r="R79" s="14">
        <f>IF($A79="","",_xll.BDP($A79&amp;" Corp","YAS_OAS_SPRD","SETTLE_DT",$B$2))</f>
        <v/>
      </c>
      <c r="S79" s="15">
        <f>IF($A79="","",IF(OR(NOT(ISNUMBER($Q79)),NOT(ISNUMBER($R79))),"",$Q79-$R79))</f>
        <v/>
      </c>
      <c r="T79" s="13">
        <f>IF($A79="","",_xll.BDP($A79&amp;" Corp","YAS_BOND_YLD","YAS_YLD_FLAG=15","SETTLE_DT",$B$2))</f>
        <v/>
      </c>
      <c r="U79" s="16">
        <f>IF($A79="","",IF(OR(NOT(ISNUMBER($O79)),NOT(ISNUMBER($T79))),"",$O79-$T79))</f>
        <v/>
      </c>
    </row>
    <row r="80">
      <c r="A80" s="17" t="inlineStr">
        <is>
          <t>XS1224955408</t>
        </is>
      </c>
      <c r="B80" s="18">
        <f>IF($A80="","",_xll.BDP($A80&amp;" Corp","SECURITY_DES"))</f>
        <v/>
      </c>
      <c r="C80" s="18">
        <f>IF($A80="","",PROPER(_xll.BDP($A80&amp;" Corp","NAME")))</f>
        <v/>
      </c>
      <c r="D80" s="19">
        <f>IF($A80="","",IFERROR(_xll.BDP($A80&amp;" Corp","CIE_DES"),""))</f>
        <v/>
      </c>
      <c r="E80" s="18">
        <f>IF($A80="","",_xll.BDP($A80&amp;" Corp","INDUSTRY_SECTOR"))</f>
        <v/>
      </c>
      <c r="F80" s="18">
        <f>IF($A80="","",_xll.BDP($A80&amp;" Corp","INDUSTRY_GROUP"))</f>
        <v/>
      </c>
      <c r="G80" s="18">
        <f>IF($A80="","",PROPER(_xll.BDP($A80&amp;" Corp","COUNTRY_FULL_NAME")))</f>
        <v/>
      </c>
      <c r="H80" s="18">
        <f>IF($A80="","",_xll.BDP($A80&amp;" Corp","CRNCY"))</f>
        <v/>
      </c>
      <c r="I80" s="18">
        <f>IF($A80="","",IFERROR(_xll.BDP($A80&amp;" Corp","BB_COMPOSITE"),_xll.BDP($A80&amp;" Corp","RTG_SP")))</f>
        <v/>
      </c>
      <c r="J80" s="18">
        <f>IF($A80="","",_xll.BDP($A80&amp;" Corp","PAYMENT_RANK"))</f>
        <v/>
      </c>
      <c r="K80" s="20">
        <f>IF($A80="","",_xll.BDP($A80&amp;" Corp","CPN"))</f>
        <v/>
      </c>
      <c r="L80" s="21">
        <f>IF($A80="","",_xll.BDP($A80&amp;" Corp","MATURITY"))</f>
        <v/>
      </c>
      <c r="M80" s="22">
        <f>IF($A80="","",IFERROR(_xll.BDP($A80&amp;" Corp","MIN_PIECE")/1000,""))</f>
        <v/>
      </c>
      <c r="N80" s="23">
        <f>IF($A80="","",_xll.BDP($A80&amp;" Corp","PX_LAST"))</f>
        <v/>
      </c>
      <c r="O80" s="23">
        <f>IF($A80="","",_xll.BDP($A80&amp;" Corp","YAS_BOND_YLD","YAS_YLD_FLAG=15"))</f>
        <v/>
      </c>
      <c r="P80" s="23">
        <f>IF($A80="","",_xll.BDP($A80&amp;" Corp","YAS_MOD_DUR"))</f>
        <v/>
      </c>
      <c r="Q80" s="24">
        <f>IF($A80="","",_xll.BDP($A80&amp;" Corp","YAS_OAS_SPRD"))</f>
        <v/>
      </c>
      <c r="R80" s="24">
        <f>IF($A80="","",_xll.BDP($A80&amp;" Corp","YAS_OAS_SPRD","SETTLE_DT",$B$2))</f>
        <v/>
      </c>
      <c r="S80" s="25">
        <f>IF($A80="","",IF(OR(NOT(ISNUMBER($Q80)),NOT(ISNUMBER($R80))),"",$Q80-$R80))</f>
        <v/>
      </c>
      <c r="T80" s="23">
        <f>IF($A80="","",_xll.BDP($A80&amp;" Corp","YAS_BOND_YLD","YAS_YLD_FLAG=15","SETTLE_DT",$B$2))</f>
        <v/>
      </c>
      <c r="U80" s="26">
        <f>IF($A80="","",IF(OR(NOT(ISNUMBER($O80)),NOT(ISNUMBER($T80))),"",$O80-$T80))</f>
        <v/>
      </c>
    </row>
    <row r="81">
      <c r="A81" s="7" t="inlineStr">
        <is>
          <t>XS2932834604</t>
        </is>
      </c>
      <c r="B81" s="8">
        <f>IF($A81="","",_xll.BDP($A81&amp;" Corp","SECURITY_DES"))</f>
        <v/>
      </c>
      <c r="C81" s="8">
        <f>IF($A81="","",PROPER(_xll.BDP($A81&amp;" Corp","NAME")))</f>
        <v/>
      </c>
      <c r="D81" s="9">
        <f>IF($A81="","",IFERROR(_xll.BDP($A81&amp;" Corp","CIE_DES"),""))</f>
        <v/>
      </c>
      <c r="E81" s="8">
        <f>IF($A81="","",_xll.BDP($A81&amp;" Corp","INDUSTRY_SECTOR"))</f>
        <v/>
      </c>
      <c r="F81" s="8">
        <f>IF($A81="","",_xll.BDP($A81&amp;" Corp","INDUSTRY_GROUP"))</f>
        <v/>
      </c>
      <c r="G81" s="8">
        <f>IF($A81="","",PROPER(_xll.BDP($A81&amp;" Corp","COUNTRY_FULL_NAME")))</f>
        <v/>
      </c>
      <c r="H81" s="8">
        <f>IF($A81="","",_xll.BDP($A81&amp;" Corp","CRNCY"))</f>
        <v/>
      </c>
      <c r="I81" s="8">
        <f>IF($A81="","",IFERROR(_xll.BDP($A81&amp;" Corp","BB_COMPOSITE"),_xll.BDP($A81&amp;" Corp","RTG_SP")))</f>
        <v/>
      </c>
      <c r="J81" s="8">
        <f>IF($A81="","",_xll.BDP($A81&amp;" Corp","PAYMENT_RANK"))</f>
        <v/>
      </c>
      <c r="K81" s="10">
        <f>IF($A81="","",_xll.BDP($A81&amp;" Corp","CPN"))</f>
        <v/>
      </c>
      <c r="L81" s="11">
        <f>IF($A81="","",_xll.BDP($A81&amp;" Corp","MATURITY"))</f>
        <v/>
      </c>
      <c r="M81" s="12">
        <f>IF($A81="","",IFERROR(_xll.BDP($A81&amp;" Corp","MIN_PIECE")/1000,""))</f>
        <v/>
      </c>
      <c r="N81" s="13">
        <f>IF($A81="","",_xll.BDP($A81&amp;" Corp","PX_LAST"))</f>
        <v/>
      </c>
      <c r="O81" s="13">
        <f>IF($A81="","",_xll.BDP($A81&amp;" Corp","YAS_BOND_YLD","YAS_YLD_FLAG=15"))</f>
        <v/>
      </c>
      <c r="P81" s="13">
        <f>IF($A81="","",_xll.BDP($A81&amp;" Corp","YAS_MOD_DUR"))</f>
        <v/>
      </c>
      <c r="Q81" s="14">
        <f>IF($A81="","",_xll.BDP($A81&amp;" Corp","YAS_OAS_SPRD"))</f>
        <v/>
      </c>
      <c r="R81" s="14">
        <f>IF($A81="","",_xll.BDP($A81&amp;" Corp","YAS_OAS_SPRD","SETTLE_DT",$B$2))</f>
        <v/>
      </c>
      <c r="S81" s="15">
        <f>IF($A81="","",IF(OR(NOT(ISNUMBER($Q81)),NOT(ISNUMBER($R81))),"",$Q81-$R81))</f>
        <v/>
      </c>
      <c r="T81" s="13">
        <f>IF($A81="","",_xll.BDP($A81&amp;" Corp","YAS_BOND_YLD","YAS_YLD_FLAG=15","SETTLE_DT",$B$2))</f>
        <v/>
      </c>
      <c r="U81" s="16">
        <f>IF($A81="","",IF(OR(NOT(ISNUMBER($O81)),NOT(ISNUMBER($T81))),"",$O81-$T81))</f>
        <v/>
      </c>
    </row>
    <row r="82">
      <c r="A82" s="17" t="inlineStr">
        <is>
          <t>AT0000A2KW37</t>
        </is>
      </c>
      <c r="B82" s="18">
        <f>IF($A82="","",_xll.BDP($A82&amp;" Corp","SECURITY_DES"))</f>
        <v/>
      </c>
      <c r="C82" s="18">
        <f>IF($A82="","",PROPER(_xll.BDP($A82&amp;" Corp","NAME")))</f>
        <v/>
      </c>
      <c r="D82" s="19">
        <f>IF($A82="","",IFERROR(_xll.BDP($A82&amp;" Corp","CIE_DES"),""))</f>
        <v/>
      </c>
      <c r="E82" s="18">
        <f>IF($A82="","",_xll.BDP($A82&amp;" Corp","INDUSTRY_SECTOR"))</f>
        <v/>
      </c>
      <c r="F82" s="18">
        <f>IF($A82="","",_xll.BDP($A82&amp;" Corp","INDUSTRY_GROUP"))</f>
        <v/>
      </c>
      <c r="G82" s="18">
        <f>IF($A82="","",PROPER(_xll.BDP($A82&amp;" Corp","COUNTRY_FULL_NAME")))</f>
        <v/>
      </c>
      <c r="H82" s="18">
        <f>IF($A82="","",_xll.BDP($A82&amp;" Corp","CRNCY"))</f>
        <v/>
      </c>
      <c r="I82" s="18">
        <f>IF($A82="","",IFERROR(_xll.BDP($A82&amp;" Corp","BB_COMPOSITE"),_xll.BDP($A82&amp;" Corp","RTG_SP")))</f>
        <v/>
      </c>
      <c r="J82" s="18">
        <f>IF($A82="","",_xll.BDP($A82&amp;" Corp","PAYMENT_RANK"))</f>
        <v/>
      </c>
      <c r="K82" s="20">
        <f>IF($A82="","",_xll.BDP($A82&amp;" Corp","CPN"))</f>
        <v/>
      </c>
      <c r="L82" s="21">
        <f>IF($A82="","",_xll.BDP($A82&amp;" Corp","MATURITY"))</f>
        <v/>
      </c>
      <c r="M82" s="22">
        <f>IF($A82="","",IFERROR(_xll.BDP($A82&amp;" Corp","MIN_PIECE")/1000,""))</f>
        <v/>
      </c>
      <c r="N82" s="23">
        <f>IF($A82="","",_xll.BDP($A82&amp;" Corp","PX_LAST"))</f>
        <v/>
      </c>
      <c r="O82" s="23">
        <f>IF($A82="","",_xll.BDP($A82&amp;" Corp","YAS_BOND_YLD","YAS_YLD_FLAG=15"))</f>
        <v/>
      </c>
      <c r="P82" s="23">
        <f>IF($A82="","",_xll.BDP($A82&amp;" Corp","YAS_MOD_DUR"))</f>
        <v/>
      </c>
      <c r="Q82" s="24">
        <f>IF($A82="","",_xll.BDP($A82&amp;" Corp","YAS_OAS_SPRD"))</f>
        <v/>
      </c>
      <c r="R82" s="24">
        <f>IF($A82="","",_xll.BDP($A82&amp;" Corp","YAS_OAS_SPRD","SETTLE_DT",$B$2))</f>
        <v/>
      </c>
      <c r="S82" s="25">
        <f>IF($A82="","",IF(OR(NOT(ISNUMBER($Q82)),NOT(ISNUMBER($R82))),"",$Q82-$R82))</f>
        <v/>
      </c>
      <c r="T82" s="23">
        <f>IF($A82="","",_xll.BDP($A82&amp;" Corp","YAS_BOND_YLD","YAS_YLD_FLAG=15","SETTLE_DT",$B$2))</f>
        <v/>
      </c>
      <c r="U82" s="26">
        <f>IF($A82="","",IF(OR(NOT(ISNUMBER($O82)),NOT(ISNUMBER($T82))),"",$O82-$T82))</f>
        <v/>
      </c>
    </row>
    <row r="83">
      <c r="A83" s="7" t="inlineStr">
        <is>
          <t>XS3330357826</t>
        </is>
      </c>
      <c r="B83" s="8">
        <f>IF($A83="","",_xll.BDP($A83&amp;" Corp","SECURITY_DES"))</f>
        <v/>
      </c>
      <c r="C83" s="8">
        <f>IF($A83="","",PROPER(_xll.BDP($A83&amp;" Corp","NAME")))</f>
        <v/>
      </c>
      <c r="D83" s="9">
        <f>IF($A83="","",IFERROR(_xll.BDP($A83&amp;" Corp","CIE_DES"),""))</f>
        <v/>
      </c>
      <c r="E83" s="8">
        <f>IF($A83="","",_xll.BDP($A83&amp;" Corp","INDUSTRY_SECTOR"))</f>
        <v/>
      </c>
      <c r="F83" s="8">
        <f>IF($A83="","",_xll.BDP($A83&amp;" Corp","INDUSTRY_GROUP"))</f>
        <v/>
      </c>
      <c r="G83" s="8">
        <f>IF($A83="","",PROPER(_xll.BDP($A83&amp;" Corp","COUNTRY_FULL_NAME")))</f>
        <v/>
      </c>
      <c r="H83" s="8">
        <f>IF($A83="","",_xll.BDP($A83&amp;" Corp","CRNCY"))</f>
        <v/>
      </c>
      <c r="I83" s="8">
        <f>IF($A83="","",IFERROR(_xll.BDP($A83&amp;" Corp","BB_COMPOSITE"),_xll.BDP($A83&amp;" Corp","RTG_SP")))</f>
        <v/>
      </c>
      <c r="J83" s="8">
        <f>IF($A83="","",_xll.BDP($A83&amp;" Corp","PAYMENT_RANK"))</f>
        <v/>
      </c>
      <c r="K83" s="10">
        <f>IF($A83="","",_xll.BDP($A83&amp;" Corp","CPN"))</f>
        <v/>
      </c>
      <c r="L83" s="11">
        <f>IF($A83="","",_xll.BDP($A83&amp;" Corp","MATURITY"))</f>
        <v/>
      </c>
      <c r="M83" s="12">
        <f>IF($A83="","",IFERROR(_xll.BDP($A83&amp;" Corp","MIN_PIECE")/1000,""))</f>
        <v/>
      </c>
      <c r="N83" s="13">
        <f>IF($A83="","",_xll.BDP($A83&amp;" Corp","PX_LAST"))</f>
        <v/>
      </c>
      <c r="O83" s="13">
        <f>IF($A83="","",_xll.BDP($A83&amp;" Corp","YAS_BOND_YLD","YAS_YLD_FLAG=15"))</f>
        <v/>
      </c>
      <c r="P83" s="13">
        <f>IF($A83="","",_xll.BDP($A83&amp;" Corp","YAS_MOD_DUR"))</f>
        <v/>
      </c>
      <c r="Q83" s="14">
        <f>IF($A83="","",_xll.BDP($A83&amp;" Corp","YAS_OAS_SPRD"))</f>
        <v/>
      </c>
      <c r="R83" s="14">
        <f>IF($A83="","",_xll.BDP($A83&amp;" Corp","YAS_OAS_SPRD","SETTLE_DT",$B$2))</f>
        <v/>
      </c>
      <c r="S83" s="15">
        <f>IF($A83="","",IF(OR(NOT(ISNUMBER($Q83)),NOT(ISNUMBER($R83))),"",$Q83-$R83))</f>
        <v/>
      </c>
      <c r="T83" s="13">
        <f>IF($A83="","",_xll.BDP($A83&amp;" Corp","YAS_BOND_YLD","YAS_YLD_FLAG=15","SETTLE_DT",$B$2))</f>
        <v/>
      </c>
      <c r="U83" s="16">
        <f>IF($A83="","",IF(OR(NOT(ISNUMBER($O83)),NOT(ISNUMBER($T83))),"",$O83-$T83))</f>
        <v/>
      </c>
    </row>
    <row r="84">
      <c r="A84" s="17" t="inlineStr">
        <is>
          <t>XS3173656243</t>
        </is>
      </c>
      <c r="B84" s="18">
        <f>IF($A84="","",_xll.BDP($A84&amp;" Corp","SECURITY_DES"))</f>
        <v/>
      </c>
      <c r="C84" s="18">
        <f>IF($A84="","",PROPER(_xll.BDP($A84&amp;" Corp","NAME")))</f>
        <v/>
      </c>
      <c r="D84" s="19">
        <f>IF($A84="","",IFERROR(_xll.BDP($A84&amp;" Corp","CIE_DES"),""))</f>
        <v/>
      </c>
      <c r="E84" s="18">
        <f>IF($A84="","",_xll.BDP($A84&amp;" Corp","INDUSTRY_SECTOR"))</f>
        <v/>
      </c>
      <c r="F84" s="18">
        <f>IF($A84="","",_xll.BDP($A84&amp;" Corp","INDUSTRY_GROUP"))</f>
        <v/>
      </c>
      <c r="G84" s="18">
        <f>IF($A84="","",PROPER(_xll.BDP($A84&amp;" Corp","COUNTRY_FULL_NAME")))</f>
        <v/>
      </c>
      <c r="H84" s="18">
        <f>IF($A84="","",_xll.BDP($A84&amp;" Corp","CRNCY"))</f>
        <v/>
      </c>
      <c r="I84" s="18">
        <f>IF($A84="","",IFERROR(_xll.BDP($A84&amp;" Corp","BB_COMPOSITE"),_xll.BDP($A84&amp;" Corp","RTG_SP")))</f>
        <v/>
      </c>
      <c r="J84" s="18">
        <f>IF($A84="","",_xll.BDP($A84&amp;" Corp","PAYMENT_RANK"))</f>
        <v/>
      </c>
      <c r="K84" s="20">
        <f>IF($A84="","",_xll.BDP($A84&amp;" Corp","CPN"))</f>
        <v/>
      </c>
      <c r="L84" s="21">
        <f>IF($A84="","",_xll.BDP($A84&amp;" Corp","MATURITY"))</f>
        <v/>
      </c>
      <c r="M84" s="22">
        <f>IF($A84="","",IFERROR(_xll.BDP($A84&amp;" Corp","MIN_PIECE")/1000,""))</f>
        <v/>
      </c>
      <c r="N84" s="23">
        <f>IF($A84="","",_xll.BDP($A84&amp;" Corp","PX_LAST"))</f>
        <v/>
      </c>
      <c r="O84" s="23">
        <f>IF($A84="","",_xll.BDP($A84&amp;" Corp","YAS_BOND_YLD","YAS_YLD_FLAG=15"))</f>
        <v/>
      </c>
      <c r="P84" s="23">
        <f>IF($A84="","",_xll.BDP($A84&amp;" Corp","YAS_MOD_DUR"))</f>
        <v/>
      </c>
      <c r="Q84" s="24">
        <f>IF($A84="","",_xll.BDP($A84&amp;" Corp","YAS_OAS_SPRD"))</f>
        <v/>
      </c>
      <c r="R84" s="24">
        <f>IF($A84="","",_xll.BDP($A84&amp;" Corp","YAS_OAS_SPRD","SETTLE_DT",$B$2))</f>
        <v/>
      </c>
      <c r="S84" s="25">
        <f>IF($A84="","",IF(OR(NOT(ISNUMBER($Q84)),NOT(ISNUMBER($R84))),"",$Q84-$R84))</f>
        <v/>
      </c>
      <c r="T84" s="23">
        <f>IF($A84="","",_xll.BDP($A84&amp;" Corp","YAS_BOND_YLD","YAS_YLD_FLAG=15","SETTLE_DT",$B$2))</f>
        <v/>
      </c>
      <c r="U84" s="26">
        <f>IF($A84="","",IF(OR(NOT(ISNUMBER($O84)),NOT(ISNUMBER($T84))),"",$O84-$T84))</f>
        <v/>
      </c>
    </row>
    <row r="85">
      <c r="A85" s="7" t="inlineStr">
        <is>
          <t>XS2900380812</t>
        </is>
      </c>
      <c r="B85" s="8">
        <f>IF($A85="","",_xll.BDP($A85&amp;" Corp","SECURITY_DES"))</f>
        <v/>
      </c>
      <c r="C85" s="8">
        <f>IF($A85="","",PROPER(_xll.BDP($A85&amp;" Corp","NAME")))</f>
        <v/>
      </c>
      <c r="D85" s="9">
        <f>IF($A85="","",IFERROR(_xll.BDP($A85&amp;" Corp","CIE_DES"),""))</f>
        <v/>
      </c>
      <c r="E85" s="8">
        <f>IF($A85="","",_xll.BDP($A85&amp;" Corp","INDUSTRY_SECTOR"))</f>
        <v/>
      </c>
      <c r="F85" s="8">
        <f>IF($A85="","",_xll.BDP($A85&amp;" Corp","INDUSTRY_GROUP"))</f>
        <v/>
      </c>
      <c r="G85" s="8">
        <f>IF($A85="","",PROPER(_xll.BDP($A85&amp;" Corp","COUNTRY_FULL_NAME")))</f>
        <v/>
      </c>
      <c r="H85" s="8">
        <f>IF($A85="","",_xll.BDP($A85&amp;" Corp","CRNCY"))</f>
        <v/>
      </c>
      <c r="I85" s="8">
        <f>IF($A85="","",IFERROR(_xll.BDP($A85&amp;" Corp","BB_COMPOSITE"),_xll.BDP($A85&amp;" Corp","RTG_SP")))</f>
        <v/>
      </c>
      <c r="J85" s="8">
        <f>IF($A85="","",_xll.BDP($A85&amp;" Corp","PAYMENT_RANK"))</f>
        <v/>
      </c>
      <c r="K85" s="10">
        <f>IF($A85="","",_xll.BDP($A85&amp;" Corp","CPN"))</f>
        <v/>
      </c>
      <c r="L85" s="11">
        <f>IF($A85="","",_xll.BDP($A85&amp;" Corp","MATURITY"))</f>
        <v/>
      </c>
      <c r="M85" s="12">
        <f>IF($A85="","",IFERROR(_xll.BDP($A85&amp;" Corp","MIN_PIECE")/1000,""))</f>
        <v/>
      </c>
      <c r="N85" s="13">
        <f>IF($A85="","",_xll.BDP($A85&amp;" Corp","PX_LAST"))</f>
        <v/>
      </c>
      <c r="O85" s="13">
        <f>IF($A85="","",_xll.BDP($A85&amp;" Corp","YAS_BOND_YLD","YAS_YLD_FLAG=15"))</f>
        <v/>
      </c>
      <c r="P85" s="13">
        <f>IF($A85="","",_xll.BDP($A85&amp;" Corp","YAS_MOD_DUR"))</f>
        <v/>
      </c>
      <c r="Q85" s="14">
        <f>IF($A85="","",_xll.BDP($A85&amp;" Corp","YAS_OAS_SPRD"))</f>
        <v/>
      </c>
      <c r="R85" s="14">
        <f>IF($A85="","",_xll.BDP($A85&amp;" Corp","YAS_OAS_SPRD","SETTLE_DT",$B$2))</f>
        <v/>
      </c>
      <c r="S85" s="15">
        <f>IF($A85="","",IF(OR(NOT(ISNUMBER($Q85)),NOT(ISNUMBER($R85))),"",$Q85-$R85))</f>
        <v/>
      </c>
      <c r="T85" s="13">
        <f>IF($A85="","",_xll.BDP($A85&amp;" Corp","YAS_BOND_YLD","YAS_YLD_FLAG=15","SETTLE_DT",$B$2))</f>
        <v/>
      </c>
      <c r="U85" s="16">
        <f>IF($A85="","",IF(OR(NOT(ISNUMBER($O85)),NOT(ISNUMBER($T85))),"",$O85-$T85))</f>
        <v/>
      </c>
    </row>
    <row r="86">
      <c r="A86" s="17" t="inlineStr">
        <is>
          <t>XS2887901598</t>
        </is>
      </c>
      <c r="B86" s="18">
        <f>IF($A86="","",_xll.BDP($A86&amp;" Corp","SECURITY_DES"))</f>
        <v/>
      </c>
      <c r="C86" s="18">
        <f>IF($A86="","",PROPER(_xll.BDP($A86&amp;" Corp","NAME")))</f>
        <v/>
      </c>
      <c r="D86" s="19">
        <f>IF($A86="","",IFERROR(_xll.BDP($A86&amp;" Corp","CIE_DES"),""))</f>
        <v/>
      </c>
      <c r="E86" s="18">
        <f>IF($A86="","",_xll.BDP($A86&amp;" Corp","INDUSTRY_SECTOR"))</f>
        <v/>
      </c>
      <c r="F86" s="18">
        <f>IF($A86="","",_xll.BDP($A86&amp;" Corp","INDUSTRY_GROUP"))</f>
        <v/>
      </c>
      <c r="G86" s="18">
        <f>IF($A86="","",PROPER(_xll.BDP($A86&amp;" Corp","COUNTRY_FULL_NAME")))</f>
        <v/>
      </c>
      <c r="H86" s="18">
        <f>IF($A86="","",_xll.BDP($A86&amp;" Corp","CRNCY"))</f>
        <v/>
      </c>
      <c r="I86" s="18">
        <f>IF($A86="","",IFERROR(_xll.BDP($A86&amp;" Corp","BB_COMPOSITE"),_xll.BDP($A86&amp;" Corp","RTG_SP")))</f>
        <v/>
      </c>
      <c r="J86" s="18">
        <f>IF($A86="","",_xll.BDP($A86&amp;" Corp","PAYMENT_RANK"))</f>
        <v/>
      </c>
      <c r="K86" s="20">
        <f>IF($A86="","",_xll.BDP($A86&amp;" Corp","CPN"))</f>
        <v/>
      </c>
      <c r="L86" s="21">
        <f>IF($A86="","",_xll.BDP($A86&amp;" Corp","MATURITY"))</f>
        <v/>
      </c>
      <c r="M86" s="22">
        <f>IF($A86="","",IFERROR(_xll.BDP($A86&amp;" Corp","MIN_PIECE")/1000,""))</f>
        <v/>
      </c>
      <c r="N86" s="23">
        <f>IF($A86="","",_xll.BDP($A86&amp;" Corp","PX_LAST"))</f>
        <v/>
      </c>
      <c r="O86" s="23">
        <f>IF($A86="","",_xll.BDP($A86&amp;" Corp","YAS_BOND_YLD","YAS_YLD_FLAG=15"))</f>
        <v/>
      </c>
      <c r="P86" s="23">
        <f>IF($A86="","",_xll.BDP($A86&amp;" Corp","YAS_MOD_DUR"))</f>
        <v/>
      </c>
      <c r="Q86" s="24">
        <f>IF($A86="","",_xll.BDP($A86&amp;" Corp","YAS_OAS_SPRD"))</f>
        <v/>
      </c>
      <c r="R86" s="24">
        <f>IF($A86="","",_xll.BDP($A86&amp;" Corp","YAS_OAS_SPRD","SETTLE_DT",$B$2))</f>
        <v/>
      </c>
      <c r="S86" s="25">
        <f>IF($A86="","",IF(OR(NOT(ISNUMBER($Q86)),NOT(ISNUMBER($R86))),"",$Q86-$R86))</f>
        <v/>
      </c>
      <c r="T86" s="23">
        <f>IF($A86="","",_xll.BDP($A86&amp;" Corp","YAS_BOND_YLD","YAS_YLD_FLAG=15","SETTLE_DT",$B$2))</f>
        <v/>
      </c>
      <c r="U86" s="26">
        <f>IF($A86="","",IF(OR(NOT(ISNUMBER($O86)),NOT(ISNUMBER($T86))),"",$O86-$T86))</f>
        <v/>
      </c>
    </row>
    <row r="87">
      <c r="A87" s="7" t="inlineStr">
        <is>
          <t>XS2769894135</t>
        </is>
      </c>
      <c r="B87" s="8">
        <f>IF($A87="","",_xll.BDP($A87&amp;" Corp","SECURITY_DES"))</f>
        <v/>
      </c>
      <c r="C87" s="8">
        <f>IF($A87="","",PROPER(_xll.BDP($A87&amp;" Corp","NAME")))</f>
        <v/>
      </c>
      <c r="D87" s="9">
        <f>IF($A87="","",IFERROR(_xll.BDP($A87&amp;" Corp","CIE_DES"),""))</f>
        <v/>
      </c>
      <c r="E87" s="8">
        <f>IF($A87="","",_xll.BDP($A87&amp;" Corp","INDUSTRY_SECTOR"))</f>
        <v/>
      </c>
      <c r="F87" s="8">
        <f>IF($A87="","",_xll.BDP($A87&amp;" Corp","INDUSTRY_GROUP"))</f>
        <v/>
      </c>
      <c r="G87" s="8">
        <f>IF($A87="","",PROPER(_xll.BDP($A87&amp;" Corp","COUNTRY_FULL_NAME")))</f>
        <v/>
      </c>
      <c r="H87" s="8">
        <f>IF($A87="","",_xll.BDP($A87&amp;" Corp","CRNCY"))</f>
        <v/>
      </c>
      <c r="I87" s="8">
        <f>IF($A87="","",IFERROR(_xll.BDP($A87&amp;" Corp","BB_COMPOSITE"),_xll.BDP($A87&amp;" Corp","RTG_SP")))</f>
        <v/>
      </c>
      <c r="J87" s="8">
        <f>IF($A87="","",_xll.BDP($A87&amp;" Corp","PAYMENT_RANK"))</f>
        <v/>
      </c>
      <c r="K87" s="10">
        <f>IF($A87="","",_xll.BDP($A87&amp;" Corp","CPN"))</f>
        <v/>
      </c>
      <c r="L87" s="11">
        <f>IF($A87="","",_xll.BDP($A87&amp;" Corp","MATURITY"))</f>
        <v/>
      </c>
      <c r="M87" s="12">
        <f>IF($A87="","",IFERROR(_xll.BDP($A87&amp;" Corp","MIN_PIECE")/1000,""))</f>
        <v/>
      </c>
      <c r="N87" s="13">
        <f>IF($A87="","",_xll.BDP($A87&amp;" Corp","PX_LAST"))</f>
        <v/>
      </c>
      <c r="O87" s="13">
        <f>IF($A87="","",_xll.BDP($A87&amp;" Corp","YAS_BOND_YLD","YAS_YLD_FLAG=15"))</f>
        <v/>
      </c>
      <c r="P87" s="13">
        <f>IF($A87="","",_xll.BDP($A87&amp;" Corp","YAS_MOD_DUR"))</f>
        <v/>
      </c>
      <c r="Q87" s="14">
        <f>IF($A87="","",_xll.BDP($A87&amp;" Corp","YAS_OAS_SPRD"))</f>
        <v/>
      </c>
      <c r="R87" s="14">
        <f>IF($A87="","",_xll.BDP($A87&amp;" Corp","YAS_OAS_SPRD","SETTLE_DT",$B$2))</f>
        <v/>
      </c>
      <c r="S87" s="15">
        <f>IF($A87="","",IF(OR(NOT(ISNUMBER($Q87)),NOT(ISNUMBER($R87))),"",$Q87-$R87))</f>
        <v/>
      </c>
      <c r="T87" s="13">
        <f>IF($A87="","",_xll.BDP($A87&amp;" Corp","YAS_BOND_YLD","YAS_YLD_FLAG=15","SETTLE_DT",$B$2))</f>
        <v/>
      </c>
      <c r="U87" s="16">
        <f>IF($A87="","",IF(OR(NOT(ISNUMBER($O87)),NOT(ISNUMBER($T87))),"",$O87-$T87))</f>
        <v/>
      </c>
    </row>
    <row r="88">
      <c r="A88" s="17" t="inlineStr">
        <is>
          <t>XS2021462440</t>
        </is>
      </c>
      <c r="B88" s="18">
        <f>IF($A88="","",_xll.BDP($A88&amp;" Corp","SECURITY_DES"))</f>
        <v/>
      </c>
      <c r="C88" s="18">
        <f>IF($A88="","",PROPER(_xll.BDP($A88&amp;" Corp","NAME")))</f>
        <v/>
      </c>
      <c r="D88" s="19">
        <f>IF($A88="","",IFERROR(_xll.BDP($A88&amp;" Corp","CIE_DES"),""))</f>
        <v/>
      </c>
      <c r="E88" s="18">
        <f>IF($A88="","",_xll.BDP($A88&amp;" Corp","INDUSTRY_SECTOR"))</f>
        <v/>
      </c>
      <c r="F88" s="18">
        <f>IF($A88="","",_xll.BDP($A88&amp;" Corp","INDUSTRY_GROUP"))</f>
        <v/>
      </c>
      <c r="G88" s="18">
        <f>IF($A88="","",PROPER(_xll.BDP($A88&amp;" Corp","COUNTRY_FULL_NAME")))</f>
        <v/>
      </c>
      <c r="H88" s="18">
        <f>IF($A88="","",_xll.BDP($A88&amp;" Corp","CRNCY"))</f>
        <v/>
      </c>
      <c r="I88" s="18">
        <f>IF($A88="","",IFERROR(_xll.BDP($A88&amp;" Corp","BB_COMPOSITE"),_xll.BDP($A88&amp;" Corp","RTG_SP")))</f>
        <v/>
      </c>
      <c r="J88" s="18">
        <f>IF($A88="","",_xll.BDP($A88&amp;" Corp","PAYMENT_RANK"))</f>
        <v/>
      </c>
      <c r="K88" s="20">
        <f>IF($A88="","",_xll.BDP($A88&amp;" Corp","CPN"))</f>
        <v/>
      </c>
      <c r="L88" s="21">
        <f>IF($A88="","",_xll.BDP($A88&amp;" Corp","MATURITY"))</f>
        <v/>
      </c>
      <c r="M88" s="22">
        <f>IF($A88="","",IFERROR(_xll.BDP($A88&amp;" Corp","MIN_PIECE")/1000,""))</f>
        <v/>
      </c>
      <c r="N88" s="23">
        <f>IF($A88="","",_xll.BDP($A88&amp;" Corp","PX_LAST"))</f>
        <v/>
      </c>
      <c r="O88" s="23">
        <f>IF($A88="","",_xll.BDP($A88&amp;" Corp","YAS_BOND_YLD","YAS_YLD_FLAG=15"))</f>
        <v/>
      </c>
      <c r="P88" s="23">
        <f>IF($A88="","",_xll.BDP($A88&amp;" Corp","YAS_MOD_DUR"))</f>
        <v/>
      </c>
      <c r="Q88" s="24">
        <f>IF($A88="","",_xll.BDP($A88&amp;" Corp","YAS_OAS_SPRD"))</f>
        <v/>
      </c>
      <c r="R88" s="24">
        <f>IF($A88="","",_xll.BDP($A88&amp;" Corp","YAS_OAS_SPRD","SETTLE_DT",$B$2))</f>
        <v/>
      </c>
      <c r="S88" s="25">
        <f>IF($A88="","",IF(OR(NOT(ISNUMBER($Q88)),NOT(ISNUMBER($R88))),"",$Q88-$R88))</f>
        <v/>
      </c>
      <c r="T88" s="23">
        <f>IF($A88="","",_xll.BDP($A88&amp;" Corp","YAS_BOND_YLD","YAS_YLD_FLAG=15","SETTLE_DT",$B$2))</f>
        <v/>
      </c>
      <c r="U88" s="26">
        <f>IF($A88="","",IF(OR(NOT(ISNUMBER($O88)),NOT(ISNUMBER($T88))),"",$O88-$T88))</f>
        <v/>
      </c>
    </row>
    <row r="89">
      <c r="A89" s="7" t="inlineStr">
        <is>
          <t>XS3208013030</t>
        </is>
      </c>
      <c r="B89" s="8">
        <f>IF($A89="","",_xll.BDP($A89&amp;" Corp","SECURITY_DES"))</f>
        <v/>
      </c>
      <c r="C89" s="8">
        <f>IF($A89="","",PROPER(_xll.BDP($A89&amp;" Corp","NAME")))</f>
        <v/>
      </c>
      <c r="D89" s="9">
        <f>IF($A89="","",IFERROR(_xll.BDP($A89&amp;" Corp","CIE_DES"),""))</f>
        <v/>
      </c>
      <c r="E89" s="8">
        <f>IF($A89="","",_xll.BDP($A89&amp;" Corp","INDUSTRY_SECTOR"))</f>
        <v/>
      </c>
      <c r="F89" s="8">
        <f>IF($A89="","",_xll.BDP($A89&amp;" Corp","INDUSTRY_GROUP"))</f>
        <v/>
      </c>
      <c r="G89" s="8">
        <f>IF($A89="","",PROPER(_xll.BDP($A89&amp;" Corp","COUNTRY_FULL_NAME")))</f>
        <v/>
      </c>
      <c r="H89" s="8">
        <f>IF($A89="","",_xll.BDP($A89&amp;" Corp","CRNCY"))</f>
        <v/>
      </c>
      <c r="I89" s="8">
        <f>IF($A89="","",IFERROR(_xll.BDP($A89&amp;" Corp","BB_COMPOSITE"),_xll.BDP($A89&amp;" Corp","RTG_SP")))</f>
        <v/>
      </c>
      <c r="J89" s="8">
        <f>IF($A89="","",_xll.BDP($A89&amp;" Corp","PAYMENT_RANK"))</f>
        <v/>
      </c>
      <c r="K89" s="10">
        <f>IF($A89="","",_xll.BDP($A89&amp;" Corp","CPN"))</f>
        <v/>
      </c>
      <c r="L89" s="11">
        <f>IF($A89="","",_xll.BDP($A89&amp;" Corp","MATURITY"))</f>
        <v/>
      </c>
      <c r="M89" s="12">
        <f>IF($A89="","",IFERROR(_xll.BDP($A89&amp;" Corp","MIN_PIECE")/1000,""))</f>
        <v/>
      </c>
      <c r="N89" s="13">
        <f>IF($A89="","",_xll.BDP($A89&amp;" Corp","PX_LAST"))</f>
        <v/>
      </c>
      <c r="O89" s="13">
        <f>IF($A89="","",_xll.BDP($A89&amp;" Corp","YAS_BOND_YLD","YAS_YLD_FLAG=15"))</f>
        <v/>
      </c>
      <c r="P89" s="13">
        <f>IF($A89="","",_xll.BDP($A89&amp;" Corp","YAS_MOD_DUR"))</f>
        <v/>
      </c>
      <c r="Q89" s="14">
        <f>IF($A89="","",_xll.BDP($A89&amp;" Corp","YAS_OAS_SPRD"))</f>
        <v/>
      </c>
      <c r="R89" s="14">
        <f>IF($A89="","",_xll.BDP($A89&amp;" Corp","YAS_OAS_SPRD","SETTLE_DT",$B$2))</f>
        <v/>
      </c>
      <c r="S89" s="15">
        <f>IF($A89="","",IF(OR(NOT(ISNUMBER($Q89)),NOT(ISNUMBER($R89))),"",$Q89-$R89))</f>
        <v/>
      </c>
      <c r="T89" s="13">
        <f>IF($A89="","",_xll.BDP($A89&amp;" Corp","YAS_BOND_YLD","YAS_YLD_FLAG=15","SETTLE_DT",$B$2))</f>
        <v/>
      </c>
      <c r="U89" s="16">
        <f>IF($A89="","",IF(OR(NOT(ISNUMBER($O89)),NOT(ISNUMBER($T89))),"",$O89-$T89))</f>
        <v/>
      </c>
    </row>
    <row r="90">
      <c r="A90" s="17" t="inlineStr">
        <is>
          <t>XS3206563549</t>
        </is>
      </c>
      <c r="B90" s="18">
        <f>IF($A90="","",_xll.BDP($A90&amp;" Corp","SECURITY_DES"))</f>
        <v/>
      </c>
      <c r="C90" s="18">
        <f>IF($A90="","",PROPER(_xll.BDP($A90&amp;" Corp","NAME")))</f>
        <v/>
      </c>
      <c r="D90" s="19">
        <f>IF($A90="","",IFERROR(_xll.BDP($A90&amp;" Corp","CIE_DES"),""))</f>
        <v/>
      </c>
      <c r="E90" s="18">
        <f>IF($A90="","",_xll.BDP($A90&amp;" Corp","INDUSTRY_SECTOR"))</f>
        <v/>
      </c>
      <c r="F90" s="18">
        <f>IF($A90="","",_xll.BDP($A90&amp;" Corp","INDUSTRY_GROUP"))</f>
        <v/>
      </c>
      <c r="G90" s="18">
        <f>IF($A90="","",PROPER(_xll.BDP($A90&amp;" Corp","COUNTRY_FULL_NAME")))</f>
        <v/>
      </c>
      <c r="H90" s="18">
        <f>IF($A90="","",_xll.BDP($A90&amp;" Corp","CRNCY"))</f>
        <v/>
      </c>
      <c r="I90" s="18">
        <f>IF($A90="","",IFERROR(_xll.BDP($A90&amp;" Corp","BB_COMPOSITE"),_xll.BDP($A90&amp;" Corp","RTG_SP")))</f>
        <v/>
      </c>
      <c r="J90" s="18">
        <f>IF($A90="","",_xll.BDP($A90&amp;" Corp","PAYMENT_RANK"))</f>
        <v/>
      </c>
      <c r="K90" s="20">
        <f>IF($A90="","",_xll.BDP($A90&amp;" Corp","CPN"))</f>
        <v/>
      </c>
      <c r="L90" s="21">
        <f>IF($A90="","",_xll.BDP($A90&amp;" Corp","MATURITY"))</f>
        <v/>
      </c>
      <c r="M90" s="22">
        <f>IF($A90="","",IFERROR(_xll.BDP($A90&amp;" Corp","MIN_PIECE")/1000,""))</f>
        <v/>
      </c>
      <c r="N90" s="23">
        <f>IF($A90="","",_xll.BDP($A90&amp;" Corp","PX_LAST"))</f>
        <v/>
      </c>
      <c r="O90" s="23">
        <f>IF($A90="","",_xll.BDP($A90&amp;" Corp","YAS_BOND_YLD","YAS_YLD_FLAG=15"))</f>
        <v/>
      </c>
      <c r="P90" s="23">
        <f>IF($A90="","",_xll.BDP($A90&amp;" Corp","YAS_MOD_DUR"))</f>
        <v/>
      </c>
      <c r="Q90" s="24">
        <f>IF($A90="","",_xll.BDP($A90&amp;" Corp","YAS_OAS_SPRD"))</f>
        <v/>
      </c>
      <c r="R90" s="24">
        <f>IF($A90="","",_xll.BDP($A90&amp;" Corp","YAS_OAS_SPRD","SETTLE_DT",$B$2))</f>
        <v/>
      </c>
      <c r="S90" s="25">
        <f>IF($A90="","",IF(OR(NOT(ISNUMBER($Q90)),NOT(ISNUMBER($R90))),"",$Q90-$R90))</f>
        <v/>
      </c>
      <c r="T90" s="23">
        <f>IF($A90="","",_xll.BDP($A90&amp;" Corp","YAS_BOND_YLD","YAS_YLD_FLAG=15","SETTLE_DT",$B$2))</f>
        <v/>
      </c>
      <c r="U90" s="26">
        <f>IF($A90="","",IF(OR(NOT(ISNUMBER($O90)),NOT(ISNUMBER($T90))),"",$O90-$T90))</f>
        <v/>
      </c>
    </row>
    <row r="91">
      <c r="A91" s="7" t="inlineStr">
        <is>
          <t>XS2861553167</t>
        </is>
      </c>
      <c r="B91" s="8">
        <f>IF($A91="","",_xll.BDP($A91&amp;" Corp","SECURITY_DES"))</f>
        <v/>
      </c>
      <c r="C91" s="8">
        <f>IF($A91="","",PROPER(_xll.BDP($A91&amp;" Corp","NAME")))</f>
        <v/>
      </c>
      <c r="D91" s="9">
        <f>IF($A91="","",IFERROR(_xll.BDP($A91&amp;" Corp","CIE_DES"),""))</f>
        <v/>
      </c>
      <c r="E91" s="8">
        <f>IF($A91="","",_xll.BDP($A91&amp;" Corp","INDUSTRY_SECTOR"))</f>
        <v/>
      </c>
      <c r="F91" s="8">
        <f>IF($A91="","",_xll.BDP($A91&amp;" Corp","INDUSTRY_GROUP"))</f>
        <v/>
      </c>
      <c r="G91" s="8">
        <f>IF($A91="","",PROPER(_xll.BDP($A91&amp;" Corp","COUNTRY_FULL_NAME")))</f>
        <v/>
      </c>
      <c r="H91" s="8">
        <f>IF($A91="","",_xll.BDP($A91&amp;" Corp","CRNCY"))</f>
        <v/>
      </c>
      <c r="I91" s="8">
        <f>IF($A91="","",IFERROR(_xll.BDP($A91&amp;" Corp","BB_COMPOSITE"),_xll.BDP($A91&amp;" Corp","RTG_SP")))</f>
        <v/>
      </c>
      <c r="J91" s="8">
        <f>IF($A91="","",_xll.BDP($A91&amp;" Corp","PAYMENT_RANK"))</f>
        <v/>
      </c>
      <c r="K91" s="10">
        <f>IF($A91="","",_xll.BDP($A91&amp;" Corp","CPN"))</f>
        <v/>
      </c>
      <c r="L91" s="11">
        <f>IF($A91="","",_xll.BDP($A91&amp;" Corp","MATURITY"))</f>
        <v/>
      </c>
      <c r="M91" s="12">
        <f>IF($A91="","",IFERROR(_xll.BDP($A91&amp;" Corp","MIN_PIECE")/1000,""))</f>
        <v/>
      </c>
      <c r="N91" s="13">
        <f>IF($A91="","",_xll.BDP($A91&amp;" Corp","PX_LAST"))</f>
        <v/>
      </c>
      <c r="O91" s="13">
        <f>IF($A91="","",_xll.BDP($A91&amp;" Corp","YAS_BOND_YLD","YAS_YLD_FLAG=15"))</f>
        <v/>
      </c>
      <c r="P91" s="13">
        <f>IF($A91="","",_xll.BDP($A91&amp;" Corp","YAS_MOD_DUR"))</f>
        <v/>
      </c>
      <c r="Q91" s="14">
        <f>IF($A91="","",_xll.BDP($A91&amp;" Corp","YAS_OAS_SPRD"))</f>
        <v/>
      </c>
      <c r="R91" s="14">
        <f>IF($A91="","",_xll.BDP($A91&amp;" Corp","YAS_OAS_SPRD","SETTLE_DT",$B$2))</f>
        <v/>
      </c>
      <c r="S91" s="15">
        <f>IF($A91="","",IF(OR(NOT(ISNUMBER($Q91)),NOT(ISNUMBER($R91))),"",$Q91-$R91))</f>
        <v/>
      </c>
      <c r="T91" s="13">
        <f>IF($A91="","",_xll.BDP($A91&amp;" Corp","YAS_BOND_YLD","YAS_YLD_FLAG=15","SETTLE_DT",$B$2))</f>
        <v/>
      </c>
      <c r="U91" s="16">
        <f>IF($A91="","",IF(OR(NOT(ISNUMBER($O91)),NOT(ISNUMBER($T91))),"",$O91-$T91))</f>
        <v/>
      </c>
    </row>
    <row r="92">
      <c r="A92" s="17" t="n"/>
      <c r="B92" s="18">
        <f>IF($A92="","",_xll.BDP($A92&amp;" Corp","SECURITY_DES"))</f>
        <v/>
      </c>
      <c r="C92" s="18">
        <f>IF($A92="","",PROPER(_xll.BDP($A92&amp;" Corp","NAME")))</f>
        <v/>
      </c>
      <c r="D92" s="19">
        <f>IF($A92="","",IFERROR(_xll.BDP($A92&amp;" Corp","CIE_DES"),""))</f>
        <v/>
      </c>
      <c r="E92" s="18">
        <f>IF($A92="","",_xll.BDP($A92&amp;" Corp","INDUSTRY_SECTOR"))</f>
        <v/>
      </c>
      <c r="F92" s="18">
        <f>IF($A92="","",_xll.BDP($A92&amp;" Corp","INDUSTRY_GROUP"))</f>
        <v/>
      </c>
      <c r="G92" s="18">
        <f>IF($A92="","",PROPER(_xll.BDP($A92&amp;" Corp","COUNTRY_FULL_NAME")))</f>
        <v/>
      </c>
      <c r="H92" s="18">
        <f>IF($A92="","",_xll.BDP($A92&amp;" Corp","CRNCY"))</f>
        <v/>
      </c>
      <c r="I92" s="18">
        <f>IF($A92="","",IFERROR(_xll.BDP($A92&amp;" Corp","BB_COMPOSITE"),_xll.BDP($A92&amp;" Corp","RTG_SP")))</f>
        <v/>
      </c>
      <c r="J92" s="18">
        <f>IF($A92="","",_xll.BDP($A92&amp;" Corp","PAYMENT_RANK"))</f>
        <v/>
      </c>
      <c r="K92" s="20">
        <f>IF($A92="","",_xll.BDP($A92&amp;" Corp","CPN"))</f>
        <v/>
      </c>
      <c r="L92" s="21">
        <f>IF($A92="","",_xll.BDP($A92&amp;" Corp","MATURITY"))</f>
        <v/>
      </c>
      <c r="M92" s="22">
        <f>IF($A92="","",IFERROR(_xll.BDP($A92&amp;" Corp","MIN_PIECE")/1000,""))</f>
        <v/>
      </c>
      <c r="N92" s="23">
        <f>IF($A92="","",_xll.BDP($A92&amp;" Corp","PX_LAST"))</f>
        <v/>
      </c>
      <c r="O92" s="23">
        <f>IF($A92="","",_xll.BDP($A92&amp;" Corp","YAS_BOND_YLD","YAS_YLD_FLAG=15"))</f>
        <v/>
      </c>
      <c r="P92" s="23">
        <f>IF($A92="","",_xll.BDP($A92&amp;" Corp","YAS_MOD_DUR"))</f>
        <v/>
      </c>
      <c r="Q92" s="24">
        <f>IF($A92="","",_xll.BDP($A92&amp;" Corp","YAS_OAS_SPRD"))</f>
        <v/>
      </c>
      <c r="R92" s="24">
        <f>IF($A92="","",_xll.BDP($A92&amp;" Corp","YAS_OAS_SPRD","SETTLE_DT",$B$2))</f>
        <v/>
      </c>
      <c r="S92" s="25">
        <f>IF($A92="","",IF(OR(NOT(ISNUMBER($Q92)),NOT(ISNUMBER($R92))),"",$Q92-$R92))</f>
        <v/>
      </c>
      <c r="T92" s="23">
        <f>IF($A92="","",_xll.BDP($A92&amp;" Corp","YAS_BOND_YLD","YAS_YLD_FLAG=15","SETTLE_DT",$B$2))</f>
        <v/>
      </c>
      <c r="U92" s="26">
        <f>IF($A92="","",IF(OR(NOT(ISNUMBER($O92)),NOT(ISNUMBER($T92))),"",$O92-$T92))</f>
        <v/>
      </c>
    </row>
    <row r="93">
      <c r="A93" s="7" t="n"/>
      <c r="B93" s="8">
        <f>IF($A93="","",_xll.BDP($A93&amp;" Corp","SECURITY_DES"))</f>
        <v/>
      </c>
      <c r="C93" s="8">
        <f>IF($A93="","",PROPER(_xll.BDP($A93&amp;" Corp","NAME")))</f>
        <v/>
      </c>
      <c r="D93" s="9">
        <f>IF($A93="","",IFERROR(_xll.BDP($A93&amp;" Corp","CIE_DES"),""))</f>
        <v/>
      </c>
      <c r="E93" s="8">
        <f>IF($A93="","",_xll.BDP($A93&amp;" Corp","INDUSTRY_SECTOR"))</f>
        <v/>
      </c>
      <c r="F93" s="8">
        <f>IF($A93="","",_xll.BDP($A93&amp;" Corp","INDUSTRY_GROUP"))</f>
        <v/>
      </c>
      <c r="G93" s="8">
        <f>IF($A93="","",PROPER(_xll.BDP($A93&amp;" Corp","COUNTRY_FULL_NAME")))</f>
        <v/>
      </c>
      <c r="H93" s="8">
        <f>IF($A93="","",_xll.BDP($A93&amp;" Corp","CRNCY"))</f>
        <v/>
      </c>
      <c r="I93" s="8">
        <f>IF($A93="","",IFERROR(_xll.BDP($A93&amp;" Corp","BB_COMPOSITE"),_xll.BDP($A93&amp;" Corp","RTG_SP")))</f>
        <v/>
      </c>
      <c r="J93" s="8">
        <f>IF($A93="","",_xll.BDP($A93&amp;" Corp","PAYMENT_RANK"))</f>
        <v/>
      </c>
      <c r="K93" s="10">
        <f>IF($A93="","",_xll.BDP($A93&amp;" Corp","CPN"))</f>
        <v/>
      </c>
      <c r="L93" s="11">
        <f>IF($A93="","",_xll.BDP($A93&amp;" Corp","MATURITY"))</f>
        <v/>
      </c>
      <c r="M93" s="12">
        <f>IF($A93="","",IFERROR(_xll.BDP($A93&amp;" Corp","MIN_PIECE")/1000,""))</f>
        <v/>
      </c>
      <c r="N93" s="13">
        <f>IF($A93="","",_xll.BDP($A93&amp;" Corp","PX_LAST"))</f>
        <v/>
      </c>
      <c r="O93" s="13">
        <f>IF($A93="","",_xll.BDP($A93&amp;" Corp","YAS_BOND_YLD","YAS_YLD_FLAG=15"))</f>
        <v/>
      </c>
      <c r="P93" s="13">
        <f>IF($A93="","",_xll.BDP($A93&amp;" Corp","YAS_MOD_DUR"))</f>
        <v/>
      </c>
      <c r="Q93" s="14">
        <f>IF($A93="","",_xll.BDP($A93&amp;" Corp","YAS_OAS_SPRD"))</f>
        <v/>
      </c>
      <c r="R93" s="14">
        <f>IF($A93="","",_xll.BDP($A93&amp;" Corp","YAS_OAS_SPRD","SETTLE_DT",$B$2))</f>
        <v/>
      </c>
      <c r="S93" s="15">
        <f>IF($A93="","",IF(OR(NOT(ISNUMBER($Q93)),NOT(ISNUMBER($R93))),"",$Q93-$R93))</f>
        <v/>
      </c>
      <c r="T93" s="13">
        <f>IF($A93="","",_xll.BDP($A93&amp;" Corp","YAS_BOND_YLD","YAS_YLD_FLAG=15","SETTLE_DT",$B$2))</f>
        <v/>
      </c>
      <c r="U93" s="16">
        <f>IF($A93="","",IF(OR(NOT(ISNUMBER($O93)),NOT(ISNUMBER($T93))),"",$O93-$T93))</f>
        <v/>
      </c>
    </row>
    <row r="94">
      <c r="A94" s="17" t="n"/>
      <c r="B94" s="18">
        <f>IF($A94="","",_xll.BDP($A94&amp;" Corp","SECURITY_DES"))</f>
        <v/>
      </c>
      <c r="C94" s="18">
        <f>IF($A94="","",PROPER(_xll.BDP($A94&amp;" Corp","NAME")))</f>
        <v/>
      </c>
      <c r="D94" s="19">
        <f>IF($A94="","",IFERROR(_xll.BDP($A94&amp;" Corp","CIE_DES"),""))</f>
        <v/>
      </c>
      <c r="E94" s="18">
        <f>IF($A94="","",_xll.BDP($A94&amp;" Corp","INDUSTRY_SECTOR"))</f>
        <v/>
      </c>
      <c r="F94" s="18">
        <f>IF($A94="","",_xll.BDP($A94&amp;" Corp","INDUSTRY_GROUP"))</f>
        <v/>
      </c>
      <c r="G94" s="18">
        <f>IF($A94="","",PROPER(_xll.BDP($A94&amp;" Corp","COUNTRY_FULL_NAME")))</f>
        <v/>
      </c>
      <c r="H94" s="18">
        <f>IF($A94="","",_xll.BDP($A94&amp;" Corp","CRNCY"))</f>
        <v/>
      </c>
      <c r="I94" s="18">
        <f>IF($A94="","",IFERROR(_xll.BDP($A94&amp;" Corp","BB_COMPOSITE"),_xll.BDP($A94&amp;" Corp","RTG_SP")))</f>
        <v/>
      </c>
      <c r="J94" s="18">
        <f>IF($A94="","",_xll.BDP($A94&amp;" Corp","PAYMENT_RANK"))</f>
        <v/>
      </c>
      <c r="K94" s="20">
        <f>IF($A94="","",_xll.BDP($A94&amp;" Corp","CPN"))</f>
        <v/>
      </c>
      <c r="L94" s="21">
        <f>IF($A94="","",_xll.BDP($A94&amp;" Corp","MATURITY"))</f>
        <v/>
      </c>
      <c r="M94" s="22">
        <f>IF($A94="","",IFERROR(_xll.BDP($A94&amp;" Corp","MIN_PIECE")/1000,""))</f>
        <v/>
      </c>
      <c r="N94" s="23">
        <f>IF($A94="","",_xll.BDP($A94&amp;" Corp","PX_LAST"))</f>
        <v/>
      </c>
      <c r="O94" s="23">
        <f>IF($A94="","",_xll.BDP($A94&amp;" Corp","YAS_BOND_YLD","YAS_YLD_FLAG=15"))</f>
        <v/>
      </c>
      <c r="P94" s="23">
        <f>IF($A94="","",_xll.BDP($A94&amp;" Corp","YAS_MOD_DUR"))</f>
        <v/>
      </c>
      <c r="Q94" s="24">
        <f>IF($A94="","",_xll.BDP($A94&amp;" Corp","YAS_OAS_SPRD"))</f>
        <v/>
      </c>
      <c r="R94" s="24">
        <f>IF($A94="","",_xll.BDP($A94&amp;" Corp","YAS_OAS_SPRD","SETTLE_DT",$B$2))</f>
        <v/>
      </c>
      <c r="S94" s="25">
        <f>IF($A94="","",IF(OR(NOT(ISNUMBER($Q94)),NOT(ISNUMBER($R94))),"",$Q94-$R94))</f>
        <v/>
      </c>
      <c r="T94" s="23">
        <f>IF($A94="","",_xll.BDP($A94&amp;" Corp","YAS_BOND_YLD","YAS_YLD_FLAG=15","SETTLE_DT",$B$2))</f>
        <v/>
      </c>
      <c r="U94" s="26">
        <f>IF($A94="","",IF(OR(NOT(ISNUMBER($O94)),NOT(ISNUMBER($T94))),"",$O94-$T94))</f>
        <v/>
      </c>
    </row>
    <row r="95">
      <c r="A95" s="7" t="n"/>
      <c r="B95" s="8">
        <f>IF($A95="","",_xll.BDP($A95&amp;" Corp","SECURITY_DES"))</f>
        <v/>
      </c>
      <c r="C95" s="8">
        <f>IF($A95="","",PROPER(_xll.BDP($A95&amp;" Corp","NAME")))</f>
        <v/>
      </c>
      <c r="D95" s="9">
        <f>IF($A95="","",IFERROR(_xll.BDP($A95&amp;" Corp","CIE_DES"),""))</f>
        <v/>
      </c>
      <c r="E95" s="8">
        <f>IF($A95="","",_xll.BDP($A95&amp;" Corp","INDUSTRY_SECTOR"))</f>
        <v/>
      </c>
      <c r="F95" s="8">
        <f>IF($A95="","",_xll.BDP($A95&amp;" Corp","INDUSTRY_GROUP"))</f>
        <v/>
      </c>
      <c r="G95" s="8">
        <f>IF($A95="","",PROPER(_xll.BDP($A95&amp;" Corp","COUNTRY_FULL_NAME")))</f>
        <v/>
      </c>
      <c r="H95" s="8">
        <f>IF($A95="","",_xll.BDP($A95&amp;" Corp","CRNCY"))</f>
        <v/>
      </c>
      <c r="I95" s="8">
        <f>IF($A95="","",IFERROR(_xll.BDP($A95&amp;" Corp","BB_COMPOSITE"),_xll.BDP($A95&amp;" Corp","RTG_SP")))</f>
        <v/>
      </c>
      <c r="J95" s="8">
        <f>IF($A95="","",_xll.BDP($A95&amp;" Corp","PAYMENT_RANK"))</f>
        <v/>
      </c>
      <c r="K95" s="10">
        <f>IF($A95="","",_xll.BDP($A95&amp;" Corp","CPN"))</f>
        <v/>
      </c>
      <c r="L95" s="11">
        <f>IF($A95="","",_xll.BDP($A95&amp;" Corp","MATURITY"))</f>
        <v/>
      </c>
      <c r="M95" s="12">
        <f>IF($A95="","",IFERROR(_xll.BDP($A95&amp;" Corp","MIN_PIECE")/1000,""))</f>
        <v/>
      </c>
      <c r="N95" s="13">
        <f>IF($A95="","",_xll.BDP($A95&amp;" Corp","PX_LAST"))</f>
        <v/>
      </c>
      <c r="O95" s="13">
        <f>IF($A95="","",_xll.BDP($A95&amp;" Corp","YAS_BOND_YLD","YAS_YLD_FLAG=15"))</f>
        <v/>
      </c>
      <c r="P95" s="13">
        <f>IF($A95="","",_xll.BDP($A95&amp;" Corp","YAS_MOD_DUR"))</f>
        <v/>
      </c>
      <c r="Q95" s="14">
        <f>IF($A95="","",_xll.BDP($A95&amp;" Corp","YAS_OAS_SPRD"))</f>
        <v/>
      </c>
      <c r="R95" s="14">
        <f>IF($A95="","",_xll.BDP($A95&amp;" Corp","YAS_OAS_SPRD","SETTLE_DT",$B$2))</f>
        <v/>
      </c>
      <c r="S95" s="15">
        <f>IF($A95="","",IF(OR(NOT(ISNUMBER($Q95)),NOT(ISNUMBER($R95))),"",$Q95-$R95))</f>
        <v/>
      </c>
      <c r="T95" s="13">
        <f>IF($A95="","",_xll.BDP($A95&amp;" Corp","YAS_BOND_YLD","YAS_YLD_FLAG=15","SETTLE_DT",$B$2))</f>
        <v/>
      </c>
      <c r="U95" s="16">
        <f>IF($A95="","",IF(OR(NOT(ISNUMBER($O95)),NOT(ISNUMBER($T95))),"",$O95-$T95))</f>
        <v/>
      </c>
    </row>
    <row r="96">
      <c r="A96" s="17" t="n"/>
      <c r="B96" s="18">
        <f>IF($A96="","",_xll.BDP($A96&amp;" Corp","SECURITY_DES"))</f>
        <v/>
      </c>
      <c r="C96" s="18">
        <f>IF($A96="","",PROPER(_xll.BDP($A96&amp;" Corp","NAME")))</f>
        <v/>
      </c>
      <c r="D96" s="19">
        <f>IF($A96="","",IFERROR(_xll.BDP($A96&amp;" Corp","CIE_DES"),""))</f>
        <v/>
      </c>
      <c r="E96" s="18">
        <f>IF($A96="","",_xll.BDP($A96&amp;" Corp","INDUSTRY_SECTOR"))</f>
        <v/>
      </c>
      <c r="F96" s="18">
        <f>IF($A96="","",_xll.BDP($A96&amp;" Corp","INDUSTRY_GROUP"))</f>
        <v/>
      </c>
      <c r="G96" s="18">
        <f>IF($A96="","",PROPER(_xll.BDP($A96&amp;" Corp","COUNTRY_FULL_NAME")))</f>
        <v/>
      </c>
      <c r="H96" s="18">
        <f>IF($A96="","",_xll.BDP($A96&amp;" Corp","CRNCY"))</f>
        <v/>
      </c>
      <c r="I96" s="18">
        <f>IF($A96="","",IFERROR(_xll.BDP($A96&amp;" Corp","BB_COMPOSITE"),_xll.BDP($A96&amp;" Corp","RTG_SP")))</f>
        <v/>
      </c>
      <c r="J96" s="18">
        <f>IF($A96="","",_xll.BDP($A96&amp;" Corp","PAYMENT_RANK"))</f>
        <v/>
      </c>
      <c r="K96" s="20">
        <f>IF($A96="","",_xll.BDP($A96&amp;" Corp","CPN"))</f>
        <v/>
      </c>
      <c r="L96" s="21">
        <f>IF($A96="","",_xll.BDP($A96&amp;" Corp","MATURITY"))</f>
        <v/>
      </c>
      <c r="M96" s="22">
        <f>IF($A96="","",IFERROR(_xll.BDP($A96&amp;" Corp","MIN_PIECE")/1000,""))</f>
        <v/>
      </c>
      <c r="N96" s="23">
        <f>IF($A96="","",_xll.BDP($A96&amp;" Corp","PX_LAST"))</f>
        <v/>
      </c>
      <c r="O96" s="23">
        <f>IF($A96="","",_xll.BDP($A96&amp;" Corp","YAS_BOND_YLD","YAS_YLD_FLAG=15"))</f>
        <v/>
      </c>
      <c r="P96" s="23">
        <f>IF($A96="","",_xll.BDP($A96&amp;" Corp","YAS_MOD_DUR"))</f>
        <v/>
      </c>
      <c r="Q96" s="24">
        <f>IF($A96="","",_xll.BDP($A96&amp;" Corp","YAS_OAS_SPRD"))</f>
        <v/>
      </c>
      <c r="R96" s="24">
        <f>IF($A96="","",_xll.BDP($A96&amp;" Corp","YAS_OAS_SPRD","SETTLE_DT",$B$2))</f>
        <v/>
      </c>
      <c r="S96" s="25">
        <f>IF($A96="","",IF(OR(NOT(ISNUMBER($Q96)),NOT(ISNUMBER($R96))),"",$Q96-$R96))</f>
        <v/>
      </c>
      <c r="T96" s="23">
        <f>IF($A96="","",_xll.BDP($A96&amp;" Corp","YAS_BOND_YLD","YAS_YLD_FLAG=15","SETTLE_DT",$B$2))</f>
        <v/>
      </c>
      <c r="U96" s="26">
        <f>IF($A96="","",IF(OR(NOT(ISNUMBER($O96)),NOT(ISNUMBER($T96))),"",$O96-$T96))</f>
        <v/>
      </c>
    </row>
    <row r="97">
      <c r="A97" s="7" t="n"/>
      <c r="B97" s="8">
        <f>IF($A97="","",_xll.BDP($A97&amp;" Corp","SECURITY_DES"))</f>
        <v/>
      </c>
      <c r="C97" s="8">
        <f>IF($A97="","",PROPER(_xll.BDP($A97&amp;" Corp","NAME")))</f>
        <v/>
      </c>
      <c r="D97" s="9">
        <f>IF($A97="","",IFERROR(_xll.BDP($A97&amp;" Corp","CIE_DES"),""))</f>
        <v/>
      </c>
      <c r="E97" s="8">
        <f>IF($A97="","",_xll.BDP($A97&amp;" Corp","INDUSTRY_SECTOR"))</f>
        <v/>
      </c>
      <c r="F97" s="8">
        <f>IF($A97="","",_xll.BDP($A97&amp;" Corp","INDUSTRY_GROUP"))</f>
        <v/>
      </c>
      <c r="G97" s="8">
        <f>IF($A97="","",PROPER(_xll.BDP($A97&amp;" Corp","COUNTRY_FULL_NAME")))</f>
        <v/>
      </c>
      <c r="H97" s="8">
        <f>IF($A97="","",_xll.BDP($A97&amp;" Corp","CRNCY"))</f>
        <v/>
      </c>
      <c r="I97" s="8">
        <f>IF($A97="","",IFERROR(_xll.BDP($A97&amp;" Corp","BB_COMPOSITE"),_xll.BDP($A97&amp;" Corp","RTG_SP")))</f>
        <v/>
      </c>
      <c r="J97" s="8">
        <f>IF($A97="","",_xll.BDP($A97&amp;" Corp","PAYMENT_RANK"))</f>
        <v/>
      </c>
      <c r="K97" s="10">
        <f>IF($A97="","",_xll.BDP($A97&amp;" Corp","CPN"))</f>
        <v/>
      </c>
      <c r="L97" s="11">
        <f>IF($A97="","",_xll.BDP($A97&amp;" Corp","MATURITY"))</f>
        <v/>
      </c>
      <c r="M97" s="12">
        <f>IF($A97="","",IFERROR(_xll.BDP($A97&amp;" Corp","MIN_PIECE")/1000,""))</f>
        <v/>
      </c>
      <c r="N97" s="13">
        <f>IF($A97="","",_xll.BDP($A97&amp;" Corp","PX_LAST"))</f>
        <v/>
      </c>
      <c r="O97" s="13">
        <f>IF($A97="","",_xll.BDP($A97&amp;" Corp","YAS_BOND_YLD","YAS_YLD_FLAG=15"))</f>
        <v/>
      </c>
      <c r="P97" s="13">
        <f>IF($A97="","",_xll.BDP($A97&amp;" Corp","YAS_MOD_DUR"))</f>
        <v/>
      </c>
      <c r="Q97" s="14">
        <f>IF($A97="","",_xll.BDP($A97&amp;" Corp","YAS_OAS_SPRD"))</f>
        <v/>
      </c>
      <c r="R97" s="14">
        <f>IF($A97="","",_xll.BDP($A97&amp;" Corp","YAS_OAS_SPRD","SETTLE_DT",$B$2))</f>
        <v/>
      </c>
      <c r="S97" s="15">
        <f>IF($A97="","",IF(OR(NOT(ISNUMBER($Q97)),NOT(ISNUMBER($R97))),"",$Q97-$R97))</f>
        <v/>
      </c>
      <c r="T97" s="13">
        <f>IF($A97="","",_xll.BDP($A97&amp;" Corp","YAS_BOND_YLD","YAS_YLD_FLAG=15","SETTLE_DT",$B$2))</f>
        <v/>
      </c>
      <c r="U97" s="16">
        <f>IF($A97="","",IF(OR(NOT(ISNUMBER($O97)),NOT(ISNUMBER($T97))),"",$O97-$T97))</f>
        <v/>
      </c>
    </row>
    <row r="98">
      <c r="A98" s="35" t="inlineStr">
        <is>
          <t>EUR summary</t>
        </is>
      </c>
    </row>
    <row r="99">
      <c r="A99" s="28" t="inlineStr">
        <is>
          <t>Bonds priced</t>
        </is>
      </c>
      <c r="B99" s="29">
        <f>COUNT($S$45:$S$97)&amp;" of "&amp;COUNTA($A$45:$A$97)</f>
        <v/>
      </c>
      <c r="C99" s="30" t="n"/>
      <c r="D99" s="31" t="n"/>
    </row>
    <row r="100">
      <c r="A100" s="28" t="inlineStr">
        <is>
          <t>Average spread change</t>
        </is>
      </c>
      <c r="B100" s="32">
        <f>IFERROR(AVERAGE($S$45:$S$97),"")</f>
        <v/>
      </c>
      <c r="C100" s="30" t="n"/>
      <c r="D100" s="31" t="n"/>
    </row>
    <row r="101">
      <c r="A101" s="28" t="inlineStr">
        <is>
          <t>Median spread change</t>
        </is>
      </c>
      <c r="B101" s="32">
        <f>IFERROR(MEDIAN($S$45:$S$97),"")</f>
        <v/>
      </c>
      <c r="C101" s="30" t="n"/>
      <c r="D101" s="31" t="n"/>
    </row>
    <row r="102">
      <c r="A102" s="28" t="inlineStr">
        <is>
          <t>Widened / tightened</t>
        </is>
      </c>
      <c r="B102" s="29">
        <f>COUNTIF($S$45:$S$97,"&gt;0")&amp;" wider / "&amp;COUNTIF($S$45:$S$97,"&lt;0")&amp;" tighter"</f>
        <v/>
      </c>
      <c r="C102" s="30" t="n"/>
      <c r="D102" s="31" t="n"/>
    </row>
    <row r="103">
      <c r="A103" s="28" t="inlineStr">
        <is>
          <t>Biggest widening</t>
        </is>
      </c>
      <c r="B103" s="33">
        <f>IFERROR(MAX($S$45:$S$97),"")</f>
        <v/>
      </c>
      <c r="C103" s="30" t="n"/>
      <c r="D103" s="31" t="n"/>
    </row>
    <row r="104">
      <c r="A104" s="28" t="inlineStr">
        <is>
          <t xml:space="preserve">  ... which bond</t>
        </is>
      </c>
      <c r="B104" s="29">
        <f>IFERROR(INDEX($A$45:$A$97,MATCH(MAX($S$45:$S$97),$S$45:$S$97,0))&amp;" - "&amp;INDEX($C$45:$C$97,MATCH(MAX($S$45:$S$97),$S$45:$S$97,0)),"")</f>
        <v/>
      </c>
      <c r="C104" s="30" t="n"/>
      <c r="D104" s="31" t="n"/>
    </row>
    <row r="105">
      <c r="A105" s="28" t="inlineStr">
        <is>
          <t>Biggest tightening</t>
        </is>
      </c>
      <c r="B105" s="33">
        <f>IFERROR(MIN($S$45:$S$97),"")</f>
        <v/>
      </c>
      <c r="C105" s="30" t="n"/>
      <c r="D105" s="31" t="n"/>
    </row>
    <row r="106">
      <c r="A106" s="28" t="inlineStr">
        <is>
          <t xml:space="preserve">  ... which bond</t>
        </is>
      </c>
      <c r="B106" s="29">
        <f>IFERROR(INDEX($A$45:$A$97,MATCH(MIN($S$45:$S$97),$S$45:$S$97,0))&amp;" - "&amp;INDEX($C$45:$C$97,MATCH(MIN($S$45:$S$97),$S$45:$S$97,0)),"")</f>
        <v/>
      </c>
      <c r="C106" s="30" t="n"/>
      <c r="D106" s="31" t="n"/>
    </row>
  </sheetData>
  <mergeCells count="16">
    <mergeCell ref="B33:D33"/>
    <mergeCell ref="B104:D104"/>
    <mergeCell ref="B36:D36"/>
    <mergeCell ref="B37:D37"/>
    <mergeCell ref="B99:D99"/>
    <mergeCell ref="B101:D101"/>
    <mergeCell ref="B102:D102"/>
    <mergeCell ref="B35:D35"/>
    <mergeCell ref="B32:D32"/>
    <mergeCell ref="B105:D105"/>
    <mergeCell ref="B100:D100"/>
    <mergeCell ref="B106:D106"/>
    <mergeCell ref="B39:D39"/>
    <mergeCell ref="B38:D38"/>
    <mergeCell ref="B103:D103"/>
    <mergeCell ref="B34:D34"/>
  </mergeCells>
  <conditionalFormatting sqref="S7:S3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U7:U3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S45:S9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U45:U97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FFF59E0B"/>
    <outlinePr summaryBelow="1" summaryRight="1"/>
    <pageSetUpPr/>
  </sheetPr>
  <dimension ref="A1:B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Spread variation since 14.07.2026</t>
        </is>
      </c>
      <c r="B1" s="36" t="inlineStr"/>
    </row>
    <row r="2">
      <c r="A2" s="2" t="inlineStr"/>
      <c r="B2" s="37" t="inlineStr"/>
    </row>
    <row r="3">
      <c r="A3" s="38" t="inlineStr">
        <is>
          <t>WHAT THIS IS</t>
        </is>
      </c>
      <c r="B3" s="36" t="inlineStr"/>
    </row>
    <row r="4">
      <c r="A4" s="2" t="inlineStr">
        <is>
          <t>Scope</t>
        </is>
      </c>
      <c r="B4" s="37" t="inlineStr">
        <is>
          <t>The two lists you supplied: 18 USD bonds and 47 EUR bonds. Nothing else.</t>
        </is>
      </c>
    </row>
    <row r="5">
      <c r="A5" s="2" t="inlineStr">
        <is>
          <t>One sheet, two tables</t>
        </is>
      </c>
      <c r="B5" s="37" t="inlineStr">
        <is>
          <t>tblUSD and tblEUR, each a real Excel table with its own filter arrows, so you can sort either block by spread change without touching the other.</t>
        </is>
      </c>
    </row>
    <row r="6">
      <c r="A6" s="2" t="inlineStr">
        <is>
          <t>Anchor date</t>
        </is>
      </c>
      <c r="B6" s="37" t="inlineStr">
        <is>
          <t>Cell B2 (blue on yellow) is the only input. Both tables pass it to Bloomberg as SETTLE_DT, and the two section titles restate it. The four "since" columns are headed "@ anchor" rather than a spelled-out date, because an Excel table header cannot hold a formula - so nothing goes stale when you change B2.</t>
        </is>
      </c>
    </row>
    <row r="7">
      <c r="A7" s="2" t="inlineStr">
        <is>
          <t>Spare rows</t>
        </is>
      </c>
      <c r="B7" s="37" t="inlineStr">
        <is>
          <t>6 live but empty rows at the bottom of each table - paste an ISIN in column A and the row fills itself.</t>
        </is>
      </c>
    </row>
    <row r="8">
      <c r="A8" s="2" t="inlineStr"/>
      <c r="B8" s="37" t="inlineStr"/>
    </row>
    <row r="9">
      <c r="A9" s="38" t="inlineStr">
        <is>
          <t>BLOOMBERG FIELDS</t>
        </is>
      </c>
      <c r="B9" s="36" t="inlineStr"/>
    </row>
    <row r="10">
      <c r="A10" s="2" t="inlineStr">
        <is>
          <t>B  Security</t>
        </is>
      </c>
      <c r="B10" s="37" t="inlineStr">
        <is>
          <t>BDP(ISIN &amp; " Corp","SECURITY_DES")</t>
        </is>
      </c>
    </row>
    <row r="11">
      <c r="A11" s="2" t="inlineStr">
        <is>
          <t>C  Company</t>
        </is>
      </c>
      <c r="B11" s="37" t="inlineStr">
        <is>
          <t>PROPER(BDP("NAME"))</t>
        </is>
      </c>
    </row>
    <row r="12">
      <c r="A12" s="2" t="inlineStr">
        <is>
          <t>D  Company description</t>
        </is>
      </c>
      <c r="B12" s="37" t="inlineStr">
        <is>
          <t>BDP("CIE_DES")</t>
        </is>
      </c>
    </row>
    <row r="13">
      <c r="A13" s="2" t="inlineStr">
        <is>
          <t>E  Sector / F Industry group</t>
        </is>
      </c>
      <c r="B13" s="37" t="inlineStr">
        <is>
          <t>BDP("INDUSTRY_SECTOR") / BDP("INDUSTRY_GROUP")</t>
        </is>
      </c>
    </row>
    <row r="14">
      <c r="A14" s="2" t="inlineStr">
        <is>
          <t>G  Country</t>
        </is>
      </c>
      <c r="B14" s="37" t="inlineStr">
        <is>
          <t>PROPER(BDP("COUNTRY_FULL_NAME"))</t>
        </is>
      </c>
    </row>
    <row r="15">
      <c r="A15" s="2" t="inlineStr">
        <is>
          <t>H  Ccy</t>
        </is>
      </c>
      <c r="B15" s="37" t="inlineStr">
        <is>
          <t>BDP("CRNCY")</t>
        </is>
      </c>
    </row>
    <row r="16">
      <c r="A16" s="2" t="inlineStr">
        <is>
          <t>I  Rating (comp.)</t>
        </is>
      </c>
      <c r="B16" s="37" t="inlineStr">
        <is>
          <t>BDP("BB_COMPOSITE"), falling back to BDP("RTG_SP")</t>
        </is>
      </c>
    </row>
    <row r="17">
      <c r="A17" s="2" t="inlineStr">
        <is>
          <t>J  Structure</t>
        </is>
      </c>
      <c r="B17" s="37" t="inlineStr">
        <is>
          <t>BDP("PAYMENT_RANK")</t>
        </is>
      </c>
    </row>
    <row r="18">
      <c r="A18" s="2" t="inlineStr">
        <is>
          <t>K  Coupon / L Maturity</t>
        </is>
      </c>
      <c r="B18" s="37" t="inlineStr">
        <is>
          <t>BDP("CPN") / BDP("MATURITY")</t>
        </is>
      </c>
    </row>
    <row r="19">
      <c r="A19" s="2" t="inlineStr">
        <is>
          <t>M  Den. (k)</t>
        </is>
      </c>
      <c r="B19" s="37" t="inlineStr">
        <is>
          <t>BDP("MIN_PIECE")/1000</t>
        </is>
      </c>
    </row>
    <row r="20">
      <c r="A20" s="2" t="inlineStr">
        <is>
          <t>N  Price</t>
        </is>
      </c>
      <c r="B20" s="37" t="inlineStr">
        <is>
          <t>BDP("PX_LAST")</t>
        </is>
      </c>
    </row>
    <row r="21">
      <c r="A21" s="2" t="inlineStr">
        <is>
          <t>O  YTW (%)</t>
        </is>
      </c>
      <c r="B21" s="37" t="inlineStr">
        <is>
          <t>BDP("YAS_BOND_YLD","YAS_YLD_FLAG=15")</t>
        </is>
      </c>
    </row>
    <row r="22">
      <c r="A22" s="2" t="inlineStr">
        <is>
          <t>P  Mod. dur.</t>
        </is>
      </c>
      <c r="B22" s="37" t="inlineStr">
        <is>
          <t>BDP("YAS_MOD_DUR")</t>
        </is>
      </c>
    </row>
    <row r="23">
      <c r="A23" s="2" t="inlineStr">
        <is>
          <t>Q  Spread today (bp)</t>
        </is>
      </c>
      <c r="B23" s="37" t="inlineStr">
        <is>
          <t>BDP("YAS_OAS_SPRD")</t>
        </is>
      </c>
    </row>
    <row r="24">
      <c r="A24" s="2" t="inlineStr">
        <is>
          <t>R  Spread on anchor (bp)</t>
        </is>
      </c>
      <c r="B24" s="37" t="inlineStr">
        <is>
          <t>BDP("YAS_OAS_SPRD","SETTLE_DT",$B$2)</t>
        </is>
      </c>
    </row>
    <row r="25">
      <c r="A25" s="2" t="inlineStr">
        <is>
          <t>S  Spread change (bp)</t>
        </is>
      </c>
      <c r="B25" s="37" t="inlineStr">
        <is>
          <t>Q - R. Positive = wider (red), negative = tighter (green).</t>
        </is>
      </c>
    </row>
    <row r="26">
      <c r="A26" s="2" t="inlineStr">
        <is>
          <t>T  YTW on anchor (%)</t>
        </is>
      </c>
      <c r="B26" s="37" t="inlineStr">
        <is>
          <t>BDP("YAS_BOND_YLD","YAS_YLD_FLAG=15","SETTLE_DT",$B$2)</t>
        </is>
      </c>
    </row>
    <row r="27">
      <c r="A27" s="2" t="inlineStr">
        <is>
          <t>U  YTW change (%)</t>
        </is>
      </c>
      <c r="B27" s="37" t="inlineStr">
        <is>
          <t>O - T</t>
        </is>
      </c>
    </row>
    <row r="28">
      <c r="A28" s="2" t="inlineStr"/>
      <c r="B28" s="37" t="inlineStr"/>
    </row>
    <row r="29">
      <c r="A29" s="38" t="inlineStr">
        <is>
          <t>NOTES</t>
        </is>
      </c>
      <c r="B29" s="36" t="inlineStr"/>
    </row>
    <row r="30">
      <c r="A30" s="2" t="inlineStr">
        <is>
          <t>Refresh</t>
        </is>
      </c>
      <c r="B30" s="37" t="inlineStr">
        <is>
          <t>Open with the Bloomberg add-in connected and press Ctrl+Alt+F9. Until then the cells are blank - _xll.BDP only resolves on a terminal.</t>
        </is>
      </c>
    </row>
    <row r="31">
      <c r="A31" s="2" t="inlineStr">
        <is>
          <t>Blank-guarded</t>
        </is>
      </c>
      <c r="B31" s="37" t="inlineStr">
        <is>
          <t>Every formula is wrapped in IF($A="","",...), so the spare rows stay empty rather than showing errors.</t>
        </is>
      </c>
    </row>
    <row r="32">
      <c r="A32" s="2" t="inlineStr">
        <is>
          <t>Changes are subtractions</t>
        </is>
      </c>
      <c r="B32" s="37" t="inlineStr">
        <is>
          <t>Spread change and YTW change subtract the two visible columns instead of making a third Bloomberg call, so the three numbers on a row always agree.</t>
        </is>
      </c>
    </row>
    <row r="33">
      <c r="A33" s="2" t="inlineStr">
        <is>
          <t>If a field comes back #N/A</t>
        </is>
      </c>
      <c r="B33" s="37" t="inlineStr">
        <is>
          <t>CIE_DES and BB_COMPOSITE are not populated for every issuer; those two are wrapped in IFERROR so one missing field cannot blank the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2026-08-28T07:00:30Z</dcterms:created>
  <dcterms:modified xsi:type="dcterms:W3CDTF">2026-08-28T07:00:30Z</dcterms:modified>
</cp:coreProperties>
</file>